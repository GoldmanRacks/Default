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Read Me" sheetId="1" state="visible" r:id="rId3"/>
    <sheet name="IC Summary" sheetId="2" state="visible" r:id="rId4"/>
    <sheet name="Holdco Summary" sheetId="3" state="visible" r:id="rId5"/>
    <sheet name="Macro Overlay" sheetId="4" state="visible" r:id="rId6"/>
    <sheet name="Assumptions" sheetId="5" state="visible" r:id="rId7"/>
    <sheet name="Defense Supercycle" sheetId="6" state="visible" r:id="rId8"/>
    <sheet name="Allocation" sheetId="7" state="visible" r:id="rId9"/>
    <sheet name="Portfolio Returns" sheetId="8" state="visible" r:id="rId10"/>
    <sheet name="Fund Economics" sheetId="9" state="visible" r:id="rId11"/>
    <sheet name="IQT Clusters" sheetId="10" state="visible" r:id="rId12"/>
    <sheet name="Weapons Sleeve" sheetId="11" state="visible" r:id="rId13"/>
    <sheet name="Faxon Build" sheetId="12" state="visible" r:id="rId14"/>
    <sheet name="Consumer Sleeve" sheetId="13" state="visible" r:id="rId15"/>
    <sheet name="PME, DPI &amp; Sensitivity" sheetId="14" state="visible" r:id="rId16"/>
    <sheet name="Scenario Summary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Microsoft Office User:
Raised 20%→25% (from Bear) for munitions shortage / defense supercycle / FMS backlog tilt. Applies holdco-wide (all three sleeves). Prior: Base 45 / Bull 20 / Bear 20 / Shock 15.</t>
        </r>
      </text>
    </comment>
    <comment ref="B19" authorId="0">
      <text>
        <r>
          <rPr>
            <sz val="10"/>
            <rFont val="Arial"/>
            <family val="2"/>
          </rPr>
          <t xml:space="preserve">Microsoft Office User:
Cut 20%→15%: multiyear munitions procurement and record FMS demand (FY2024 FMS system total $117.9B per CRS IF11437, https://www.congress.gov/crs_external_products/IF/PDF/IF11437/IF11437.4.pdf) reduce odds of a defense-spend downturn. Applies holdco-wide.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Post-money valuation $1.2B — per user instruction (IC input, 9/2026). Replaces prior ~$1.6B estimate (AIST: sales &gt;$1.3B, ~1,700 employees). Validate against term sheet.</t>
        </r>
      </text>
    </comment>
    <comment ref="B19" authorId="0">
      <text>
        <r>
          <rPr>
            <sz val="10"/>
            <rFont val="Arial"/>
            <family val="2"/>
          </rPr>
          <t xml:space="preserve">Microsoft Office User:
PLACEHOLDER — no public valuation data found for Superior &amp; Grand Valley. $400M EV is an assumed mid-market forging mark; replace with actual data.</t>
        </r>
      </text>
    </comment>
    <comment ref="C19" authorId="0">
      <text>
        <r>
          <rPr>
            <sz val="10"/>
            <rFont val="Arial"/>
            <family val="2"/>
          </rPr>
          <t xml:space="preserve">Trimmed $40M -&gt; $31M to fund the $9M Faxon Machining stake inside the fixed $390M sleeve. Rationale: S&amp;GV and Faxon are co-awardees on the same $149M large-penetrator warhead case IDIQ (Defence Blog, 2026), and S&amp;GV carries a placeholder mark; keeps case/forging exposure constant.</t>
        </r>
      </text>
    </comment>
    <comment ref="F18" authorId="0">
      <text>
        <r>
          <rPr>
            <sz val="10"/>
            <rFont val="Arial"/>
            <family val="2"/>
          </rPr>
          <t xml:space="preserve">Microsoft Office User:
Raised from 11% after $1.2B post-money. Entry discount vs prior $1.6B fair-value est. = (1600/1200)^(1/7)-1 ≈ 4.2%/yr of multiple arbitrage over 7 yrs; Base captures ~half (+2.0pp).</t>
        </r>
      </text>
    </comment>
    <comment ref="F21" authorId="0">
      <text>
        <r>
          <rPr>
            <sz val="10"/>
            <rFont val="Arial"/>
            <family val="2"/>
          </rPr>
          <t xml:space="preserve">Faxon F:I are NOT free inputs. They equal the Faxon Build 7-yr implied equity CAGR minus (exposure score x overlay uplift), so the munitions/FMS overlay is not double-counted: Adj. CAGR in S:V = Faxon Build CAGR exactly. Edit drivers on the Faxon Build tab.</t>
        </r>
      </text>
    </comment>
    <comment ref="G18" authorId="0">
      <text>
        <r>
          <rPr>
            <sz val="10"/>
            <rFont val="Arial"/>
            <family val="2"/>
          </rPr>
          <t xml:space="preserve">Microsoft Office User:
Raised from 18%: Bull captures ~full entry-discount re-rating (+4.0pp ≈ 4.2%/yr).</t>
        </r>
      </text>
    </comment>
    <comment ref="H18" authorId="0">
      <text>
        <r>
          <rPr>
            <sz val="10"/>
            <rFont val="Arial"/>
            <family val="2"/>
          </rPr>
          <t xml:space="preserve">Microsoft Office User:
Raised from 3%: Bear captures ~quarter of entry discount (+1.0pp) — lower entry = more downside cushion.</t>
        </r>
      </text>
    </comment>
    <comment ref="I18" authorId="0">
      <text>
        <r>
          <rPr>
            <sz val="10"/>
            <rFont val="Arial"/>
            <family val="2"/>
          </rPr>
          <t xml:space="preserve">Microsoft Office User:
Raised from 20%: TSMC-Shock +3.0pp — domestic forging capacity re-rates in a supply shock; entry discount mostly retained.</t>
        </r>
      </text>
    </comment>
    <comment ref="P4" authorId="0">
      <text>
        <r>
          <rPr>
            <sz val="10"/>
            <rFont val="Arial"/>
            <family val="2"/>
          </rPr>
          <t xml:space="preserve">Microsoft Office User:
Adj. CAGR = input CAGR (F:I) + exposure score × uplift/pt. Proceeds tables now run off Adj. columns S:V. Scores and uplifts are analyst judgments (blue). Context: FY2024 FMS system total $117.9B incl. $96.9B partner-funded (CRS IF11437, https://www.congress.gov/crs_external_products/IF/PDF/IF11437/IF11437.4.pdf); EO 14383 'America First Arms Transfer Strategy' (Feb-2026) ties arms transfers to expanding US production capacity (Taiwan Security Monitor, https://tsm.schar.gmu.edu/taiwan-arms-sale-backlog-february-2026-update-special-budget-complications-continue/).</t>
        </r>
      </text>
    </comment>
    <comment ref="P21" authorId="0">
      <text>
        <r>
          <rPr>
            <sz val="10"/>
            <rFont val="Arial"/>
            <family val="2"/>
          </rPr>
          <t xml:space="preserve">Munitions shortage 5: direct bomb-body / warhead-case supplier (BLU-136/B, MOP, NGP, LPWC IDIQ). FMS 4: TLAM export customers (Japan, Australia, Netherlands, UK) plus allied munitions buys. Scores are informational for Faxon (overlay is netted out in F:I).</t>
        </r>
      </text>
    </comment>
  </commentList>
</comments>
</file>

<file path=xl/sharedStrings.xml><?xml version="1.0" encoding="utf-8"?>
<sst xmlns="http://schemas.openxmlformats.org/spreadsheetml/2006/main" count="1258" uniqueCount="680">
  <si>
    <t xml:space="preserve">LEVIATHAN FUND — CORE PE VEHICLE</t>
  </si>
  <si>
    <t xml:space="preserve">IQT-Backed Deep-Tech Acquisition-Stake Portfolio  |  5 / 7 / 10-Year Holds  |  Defense-Supercycle Overlay</t>
  </si>
  <si>
    <t xml:space="preserve">Anchored by Substrate, Inc.   ·   Prepared 22-Sep-2026   ·   All figures USD millions unless noted</t>
  </si>
  <si>
    <t xml:space="preserve">PURPOSE</t>
  </si>
  <si>
    <t xml:space="preserve">Leviathan's core PE holdco is an $840M vehicle across THREE sub-funds: IQT-mirror deep-tech ($250M), Weapons ($390M), and Consumer/Value ($200M). All three sleeves are modeled bottom-up from individual holdings — IQT-mirror (nine In-Q-Tel names), Weapons (ten physical-layer holdings, incl. The Ellwood Group and Superior &amp; Grand Valley for missile-procurement metal forging, and Faxon Machining for NGP / MOP / TLAM / BLU-136 warhead-case and missile machining), Consumer/Value (nine DTC/spending-cycle names) — each across four scenarios, 5/7/10-yr holds, gross-to-net waterfall, and PME, and roll up to a blended holdco return on the Holdco Summary tab. Start there for the top-down view; the sleeve tabs hold the detail.</t>
  </si>
  <si>
    <t xml:space="preserve">Scope: Leviathan runs four vehicles (~$1.5B AUM total); this workbook models only the core PE holdco vehicle ($840M) and its equity targets — not the other three vehicles.</t>
  </si>
  <si>
    <t xml:space="preserve">THE DEFENSE-SUPERCYCLE THESIS (now wired into returns)</t>
  </si>
  <si>
    <t xml:space="preserve">The book is built to be long the US side of the AI / semiconductor race with China and structurally hedged against a Taiwan contingency or loss of TSMC access. The Defense Supercycle tab scores every name on five strategic axes — China-race criticality, Taiwan/TSMC-insulation value, government/defense embeddedness, CFIUS-clean US-sovereignty, and supply-chain chokepoint leverage. Those scores drive a composite, which drives each name's re-rating in the TSMC-Shock scenario. Change a score and the shock returns move.</t>
  </si>
  <si>
    <t xml:space="preserve">HOW THE MODEL IS WIRED (edit blue cells only)</t>
  </si>
  <si>
    <t xml:space="preserve">• IC Summary — one-page holdco dashboard: net IRR / MOIC / proceeds / KS-PME by hold x scenario, sleeve gross MOIC, scenario weights and model integrity checks. Start here.
• Assumptions — fund terms + per-name entry marks, checks, ownership, and Base/Bull/Bear CAGRs. TSMC-Shock CAGR is computed from the Supercycle tab.</t>
  </si>
  <si>
    <t xml:space="preserve">• Defense Supercycle — strategic scoring matrix, axis weights, shock calibration levers, and the four scenario probability weights. This is the thesis engine.</t>
  </si>
  <si>
    <t xml:space="preserve">• Allocation — nine positions, tranche, ownership, domicile, structuring/CFIUS flags.</t>
  </si>
  <si>
    <t xml:space="preserve">• Portfolio Returns — per-name proceeds, MOIC, gross IRR for each hold x four scenarios.</t>
  </si>
  <si>
    <t xml:space="preserve">• Fund Economics — gross-&gt;net waterfall (2% fee, 8% pref, 20% carry) per vehicle x scenario, plus prob-weighted Expected.</t>
  </si>
  <si>
    <t xml:space="preserve">• Scenario Summary — dashboard across all vehicles, all four cases, and the Expected column.</t>
  </si>
  <si>
    <t xml:space="preserve">• Faxon Build — program-level model for the $9M / ~9.8% Faxon Machining stake ($92M post): BLU-136/B, GBU-57 MOP, NGP GBU-76/B (with production-award step), Tomahawk (TLAM), penetrator IDIQ and FMS lines tied to supercycle drivers -&gt; revenue, EBITDA, exit value -&gt; implied CAGR feeding Weapons Sleeve row 21.</t>
  </si>
  <si>
    <t xml:space="preserve">RETURN &amp; SHOCK MECHANICS</t>
  </si>
  <si>
    <t xml:space="preserve">Proceeds = Check x (1 + CAGR)^Hold x Retention (IQT-mirror retention 0.85/0.78/0.68 and Weapons 0.92/0.88/0.82 at 5/7/10yr, for dilution net of the follow-on reserve). TSMC-Shock CAGR = Base CAGR + (Composite score − Pivot) x Premium-per-point. Weapons CAGRs additionally carry a Munitions/FMS overlay (Weapons Sleeve P4:V20): Adj. CAGR = input CAGR + exposure score (avg of munitions-shortage and FMS-backlog scores, 0-5) x uplift per point. Sovereign-chokepoint names (Substrate, EUV Tech, ThinTronics) re-rate up hard; TSMC-dependent / foreign-nexus names (EdgeCortix, DefendEye) get little or negative uplift. Expected = probability-weighted across the four scenarios.</t>
  </si>
  <si>
    <t xml:space="preserve">KEY CAVEATS</t>
  </si>
  <si>
    <t xml:space="preserve">1. TSMC-Shock is a deliberately LOW-PROBABILITY TAIL (default 15%). Its high CAGRs compounded over 10yr produce very large multiples by design — the point is convexity to a decoupling / Taiwan event, not a base case. Keep the probability weight honest.</t>
  </si>
  <si>
    <t xml:space="preserve">2. Six of nine entry valuations are estimates (flagged in Assumptions); confirm via primary cap-table access.</t>
  </si>
  <si>
    <t xml:space="preserve">3. Strategic scores are judgment calls grounded in the research brief (IQT/DoD/DIU/DARPA/CHIPS backing, domicile, chokepoint role) — they are levers, not facts. Stress them.</t>
  </si>
  <si>
    <t xml:space="preserve">4. Domicile: EdgeCortix (Japan) &amp; Diraq (Australia) are allied-nation, minority-only; DefendEye (Polish mfg/EU cap table) needs Blue UAS/NDAA provenance work. The four US semis names are the CFIUS-clean sovereign core.</t>
  </si>
  <si>
    <t xml:space="preserve">5. Simplified whole-fund European waterfall (no GP catch-up). Not investment advice — an internal IC planning model.</t>
  </si>
  <si>
    <t xml:space="preserve">LEVIATHAN CORE PE HOLDCO — IC SUMMARY</t>
  </si>
  <si>
    <t xml:space="preserve">$840M tripartite holdco (IQT-mirror / Weapons / Consumer-Value). USD $M. Expected = probability-weighted across Base/Bull/Bear/TSMC-Shock (weights on Defense Supercycle tab). Every figure links live to the model — no inputs on this page.</t>
  </si>
  <si>
    <t xml:space="preserve">HEADLINE — RECOMMENDED 7-YEAR VEHICLE (Expected case, net to LP)</t>
  </si>
  <si>
    <t xml:space="preserve">Metric</t>
  </si>
  <si>
    <t xml:space="preserve">Net IRR</t>
  </si>
  <si>
    <t xml:space="preserve">Net MOIC</t>
  </si>
  <si>
    <t xml:space="preserve">Net proceeds</t>
  </si>
  <si>
    <t xml:space="preserve">KS-PME basket</t>
  </si>
  <si>
    <t xml:space="preserve">KS-PME SPX</t>
  </si>
  <si>
    <t xml:space="preserve">Holdco — 7-yr, probability-weighted</t>
  </si>
  <si>
    <t xml:space="preserve">HOLDCO NET IRR TO LP</t>
  </si>
  <si>
    <t xml:space="preserve">Vehicle</t>
  </si>
  <si>
    <t xml:space="preserve">Base</t>
  </si>
  <si>
    <t xml:space="preserve">Bull</t>
  </si>
  <si>
    <t xml:space="preserve">Bear</t>
  </si>
  <si>
    <t xml:space="preserve">TSMC-Shock</t>
  </si>
  <si>
    <t xml:space="preserve">Expected</t>
  </si>
  <si>
    <t xml:space="preserve">5-Year Hold</t>
  </si>
  <si>
    <t xml:space="preserve">7-Year Hold</t>
  </si>
  <si>
    <t xml:space="preserve">10-Year Hold</t>
  </si>
  <si>
    <t xml:space="preserve">HOLDCO NET MOIC TO LP</t>
  </si>
  <si>
    <t xml:space="preserve">HOLDCO NET PROCEEDS TO LP ($M)</t>
  </si>
  <si>
    <t xml:space="preserve">KS-PME vs DEFENSE+SEMIS BASKET (&gt;1.00x = beat the thematic ETFs)</t>
  </si>
  <si>
    <t xml:space="preserve">KS-PME vs S&amp;P 500 (&gt;1.00x = beat)</t>
  </si>
  <si>
    <t xml:space="preserve">SLEEVE SIZING</t>
  </si>
  <si>
    <t xml:space="preserve">Sleeve</t>
  </si>
  <si>
    <t xml:space="preserve">Size ($M)</t>
  </si>
  <si>
    <t xml:space="preserve">% Holdco</t>
  </si>
  <si>
    <t xml:space="preserve"># Positions</t>
  </si>
  <si>
    <t xml:space="preserve">Total holdco</t>
  </si>
  <si>
    <t xml:space="preserve">SLEEVE GROSS MOIC — 5-YEAR HOLD (gross proceeds / committed)</t>
  </si>
  <si>
    <t xml:space="preserve">IQT-mirror</t>
  </si>
  <si>
    <t xml:space="preserve">Weapons</t>
  </si>
  <si>
    <t xml:space="preserve">Consumer / Value</t>
  </si>
  <si>
    <t xml:space="preserve">Holdco gross</t>
  </si>
  <si>
    <t xml:space="preserve">SLEEVE GROSS MOIC — 7-YEAR HOLD (gross proceeds / committed)</t>
  </si>
  <si>
    <t xml:space="preserve">SLEEVE GROSS MOIC — 10-YEAR HOLD (gross proceeds / committed)</t>
  </si>
  <si>
    <t xml:space="preserve">SCENARIO PROBABILITY WEIGHTS (edit on Defense Supercycle tab)</t>
  </si>
  <si>
    <t xml:space="preserve">Total</t>
  </si>
  <si>
    <t xml:space="preserve">Probability</t>
  </si>
  <si>
    <t xml:space="preserve">MODEL INTEGRITY CHECKS</t>
  </si>
  <si>
    <t xml:space="preserve">Check</t>
  </si>
  <si>
    <t xml:space="preserve">Model</t>
  </si>
  <si>
    <t xml:space="preserve">Target</t>
  </si>
  <si>
    <t xml:space="preserve">Status</t>
  </si>
  <si>
    <t xml:space="preserve">Holdco size = $840M</t>
  </si>
  <si>
    <t xml:space="preserve">IQT-mirror deployed = committed</t>
  </si>
  <si>
    <t xml:space="preserve">Weapons deployed = committed</t>
  </si>
  <si>
    <t xml:space="preserve">Consumer deployed = committed</t>
  </si>
  <si>
    <t xml:space="preserve">Scenario probabilities = 100%</t>
  </si>
  <si>
    <t xml:space="preserve">Strategic axis weights = 100%</t>
  </si>
  <si>
    <t xml:space="preserve">IQT allocation % fund = 100%</t>
  </si>
  <si>
    <t xml:space="preserve">Holdco 7-yr gross ties to sleeves (Expected)</t>
  </si>
  <si>
    <t xml:space="preserve">Overall</t>
  </si>
  <si>
    <t xml:space="preserve">READ-THROUGH</t>
  </si>
  <si>
    <t xml:space="preserve">• Bear case is a capital-loss outcome at every hold (net MOIC &lt; 1.0x) — the downside is carried by the IQT seed names and Consumer; sizing, not the thesis, is the protection.</t>
  </si>
  <si>
    <t xml:space="preserve">• Six of nine IQT entry marks and most Weapons marks are estimates — see Assumptions col J / Weapons Sleeve col J. Confirm via primary diligence before IC vote.</t>
  </si>
  <si>
    <t xml:space="preserve">LEVIATHAN — CORE PE HOLDCO ($840M) — TRIPARTITE ROLL-UP</t>
  </si>
  <si>
    <t xml:space="preserve">Three sub-funds rolled up to a blended holdco return. Blue = lever. All three sleeves — IQT-mirror, Weapons, Consumer/Value — flow in bottom-up.</t>
  </si>
  <si>
    <t xml:space="preserve">HOLDCO STRUCTURE &amp; SIZING</t>
  </si>
  <si>
    <t xml:space="preserve">Sub-fund</t>
  </si>
  <si>
    <t xml:space="preserve">Return driver</t>
  </si>
  <si>
    <t xml:space="preserve">Duration</t>
  </si>
  <si>
    <t xml:space="preserve">Role</t>
  </si>
  <si>
    <t xml:space="preserve">IQT-mirror (deep-tech)</t>
  </si>
  <si>
    <t xml:space="preserve">Onshoring capex + Taiwan tail</t>
  </si>
  <si>
    <t xml:space="preserve">Longest</t>
  </si>
  <si>
    <t xml:space="preserve">Convex optionality / tail hedge</t>
  </si>
  <si>
    <t xml:space="preserve">Weapons (physical layer)</t>
  </si>
  <si>
    <t xml:space="preserve">Defense opex — budgets, conflict</t>
  </si>
  <si>
    <t xml:space="preserve">Medium</t>
  </si>
  <si>
    <t xml:space="preserve">Cash-generative supercycle core</t>
  </si>
  <si>
    <t xml:space="preserve">Consumer cycle + DTC/wellness</t>
  </si>
  <si>
    <t xml:space="preserve">Shortest</t>
  </si>
  <si>
    <t xml:space="preserve">Ballast + near-term DPI engine</t>
  </si>
  <si>
    <t xml:space="preserve">TOTAL (must = $840M)</t>
  </si>
  <si>
    <t xml:space="preserve">IQT-mirror: Substrate, EUV Tech, ThinTronics, EdgeCortix, Syntiant, Infleqtion, Diraq, Mueon, DefendEye</t>
  </si>
  <si>
    <t xml:space="preserve">Weapons: Epirus, Elta, Israel Aerospace Industries, Saronic, Helicon Chemical, Applied Research Associates, Heckler &amp; Koch, The Ellwood Group, Superior &amp; Grand Valley, Faxon Machining</t>
  </si>
  <si>
    <t xml:space="preserve">Consumer/Value: Quince, Thrive Market, The Farmer's Dog, Whoop, Plunge, Made In Cookware, Polymarket, Goat Group, Stripe</t>
  </si>
  <si>
    <t xml:space="preserve">SLEEVE RETURN ASSUMPTIONS — gross equity CAGR, net of dilution (blue)</t>
  </si>
  <si>
    <t xml:space="preserve">Weapons (memo — now bottom-up)</t>
  </si>
  <si>
    <t xml:space="preserve">Consumer / Value (memo — now bottom-up)</t>
  </si>
  <si>
    <t xml:space="preserve">IQT-mirror, Weapons, AND Consumer/Value are all modeled bottom-up (Portfolio Returns / Weapons Sleeve / Consumer Sleeve tabs) and flow in directly. Both rows above are memos only, kept for reference to the original sleeve-level placeholder assumptions they replaced.</t>
  </si>
  <si>
    <t xml:space="preserve">BENCHMARKS (KS-PME &gt; 1.0x = beat)</t>
  </si>
  <si>
    <t xml:space="preserve">S&amp;P 500 (SPX) total-return CAGR</t>
  </si>
  <si>
    <t xml:space="preserve">Nasdaq-100 (NDX) total-return CAGR</t>
  </si>
  <si>
    <t xml:space="preserve">Defense+Semis thematic basket CAGR (ITA/SOXX blend)</t>
  </si>
  <si>
    <t xml:space="preserve">Forward-tempered: 50/50 ITA/SOXX trailing 5yr is ~26% (ITA 18.2% / SOXX 34.5% to Jun-26), inflated by the AI+rearmament run; 15% forward. See Macro Overlay for comps &amp; drivers.</t>
  </si>
  <si>
    <t xml:space="preserve">5-YEAR HOLDCO ROLL-UP</t>
  </si>
  <si>
    <t xml:space="preserve">Line item ($M)</t>
  </si>
  <si>
    <t xml:space="preserve">IQT-mirror gross</t>
  </si>
  <si>
    <t xml:space="preserve">Weapons gross</t>
  </si>
  <si>
    <t xml:space="preserve">Consumer/Value gross</t>
  </si>
  <si>
    <t xml:space="preserve">HOLDCO gross proceeds</t>
  </si>
  <si>
    <t xml:space="preserve">(-) Return of capital</t>
  </si>
  <si>
    <t xml:space="preserve">(-) Preferred (8% comp.)</t>
  </si>
  <si>
    <t xml:space="preserve">Profit above pref</t>
  </si>
  <si>
    <t xml:space="preserve">(-) Carry (20%)</t>
  </si>
  <si>
    <t xml:space="preserve">(-) Mgmt fees (2%/yr)</t>
  </si>
  <si>
    <t xml:space="preserve">NET proceeds to LP</t>
  </si>
  <si>
    <t xml:space="preserve">Net DPI (=TVPI at exit)</t>
  </si>
  <si>
    <t xml:space="preserve">KS-PME vs SPX</t>
  </si>
  <si>
    <t xml:space="preserve">KS-PME vs NDX</t>
  </si>
  <si>
    <t xml:space="preserve">KS-PME vs Defense+Semis basket</t>
  </si>
  <si>
    <t xml:space="preserve">Direct Alpha vs basket (ann.)</t>
  </si>
  <si>
    <t xml:space="preserve">7-YEAR HOLDCO ROLL-UP</t>
  </si>
  <si>
    <t xml:space="preserve">10-YEAR HOLDCO ROLL-UP</t>
  </si>
  <si>
    <t xml:space="preserve">• The holdco is a tripartite barbell: two defense-supercycle sleeves (digital enablers + physical effectors) + a consumer/value ballast that is uncorrelated and carries the near-term DPI.</t>
  </si>
  <si>
    <t xml:space="preserve">• Judge the IQT sleeve on its marginal contribution here — convexity and a Taiwan/TSMC hedge — not on a standalone 'beat the Nasdaq' test. That test lives at the holdco level.</t>
  </si>
  <si>
    <t xml:space="preserve">• The KS-PME vs the Defense+Semis basket is the real scoreboard: it asks whether the holdco captures the sovereign-capital trend earlier and cheaper than the public thematic ETFs everyone else uses.</t>
  </si>
  <si>
    <t xml:space="preserve">• All three sleeves — IQT-mirror, Weapons, and Consumer/Value — are now modeled bottom-up from individual holdings; only the SPX/NDX/thematic-basket benchmarks remain top-down inputs.</t>
  </si>
  <si>
    <t xml:space="preserve">MACRO, GEOPOLITICAL &amp; DEFENSE-SUPERCYCLE OVERLAY</t>
  </si>
  <si>
    <t xml:space="preserve">Grounds the sleeve return assumptions in current comps and the geopolitical/macro picture. Figures as of ~Jun-Sep 2026; sourced below.</t>
  </si>
  <si>
    <t xml:space="preserve">1 | PUBLIC &amp; PRIVATE COMPS GROUNDING THE SLEEVE ASSUMPTIONS</t>
  </si>
  <si>
    <t xml:space="preserve">Comparable</t>
  </si>
  <si>
    <t xml:space="preserve">Value</t>
  </si>
  <si>
    <t xml:space="preserve">Note / relevance</t>
  </si>
  <si>
    <t xml:space="preserve">ITA (US Aero &amp; Defense ETF)</t>
  </si>
  <si>
    <t xml:space="preserve">Total return 1/5/10-yr</t>
  </si>
  <si>
    <t xml:space="preserve">29.3% / 18.2% / 15.7%</t>
  </si>
  <si>
    <t xml:space="preserve">Defense supercycle already priced into public primes (as of Jun-26)</t>
  </si>
  <si>
    <t xml:space="preserve">SOXX (Semiconductor ETF)</t>
  </si>
  <si>
    <t xml:space="preserve">169.6% / 34.5% / 36.6%</t>
  </si>
  <si>
    <t xml:space="preserve">AI-driven surge; forward mean-reversion risk off a huge base</t>
  </si>
  <si>
    <t xml:space="preserve">50/50 ITA/SOXX basket</t>
  </si>
  <si>
    <t xml:space="preserve">Trailing 5-yr blend</t>
  </si>
  <si>
    <t xml:space="preserve">~26.3%</t>
  </si>
  <si>
    <t xml:space="preserve">Thematic hurdle; model uses 15% FORWARD (tempered)</t>
  </si>
  <si>
    <t xml:space="preserve">SPX / NDX</t>
  </si>
  <si>
    <t xml:space="preserve">Forward CAGR (model)</t>
  </si>
  <si>
    <t xml:space="preserve">9.0% / 13.0%</t>
  </si>
  <si>
    <t xml:space="preserve">Broad-market floor benchmarks</t>
  </si>
  <si>
    <t xml:space="preserve">Rheinmetall (RHM)</t>
  </si>
  <si>
    <t xml:space="preserve">Rev growth / EV-Rev / EV-EBITDA</t>
  </si>
  <si>
    <t xml:space="preserve">40% / 4.0x / 17.3x</t>
  </si>
  <si>
    <t xml:space="preserve">European rearmament bellwether; $54B cap</t>
  </si>
  <si>
    <t xml:space="preserve">AeroVironment (AVAV)</t>
  </si>
  <si>
    <t xml:space="preserve">TTM rev / YoY</t>
  </si>
  <si>
    <t xml:space="preserve">$1.61B / +117%</t>
  </si>
  <si>
    <t xml:space="preserve">Drones/loitering munitions (incl. M&amp;A); supercycle demand</t>
  </si>
  <si>
    <t xml:space="preserve">L3Harris (LHX)</t>
  </si>
  <si>
    <t xml:space="preserve">EV-Rev / EV-EBITDA</t>
  </si>
  <si>
    <t xml:space="preserve">2.6x / 15.1x</t>
  </si>
  <si>
    <t xml:space="preserve">Established prime multiple anchor</t>
  </si>
  <si>
    <t xml:space="preserve">Saronic (private)</t>
  </si>
  <si>
    <t xml:space="preserve">Valuation / 2025 rev</t>
  </si>
  <si>
    <t xml:space="preserve">$9.25B / $200M (+1,500%)</t>
  </si>
  <si>
    <t xml:space="preserve">Naval autonomy hypergrowth (Series D, Mar-26)</t>
  </si>
  <si>
    <t xml:space="preserve">Anduril (private)</t>
  </si>
  <si>
    <t xml:space="preserve">$61B / $2.2B (+120%)</t>
  </si>
  <si>
    <t xml:space="preserve">Scale-up reference; $20B Army ceiling (Mar-26)</t>
  </si>
  <si>
    <t xml:space="preserve">Epirus (private)</t>
  </si>
  <si>
    <t xml:space="preserve">Directed energy / HPM</t>
  </si>
  <si>
    <t xml:space="preserve">Growth-stage</t>
  </si>
  <si>
    <t xml:space="preserve">Counter-drone; Weapons-sleeve holding</t>
  </si>
  <si>
    <t xml:space="preserve">Grounded sleeve assumptions (Base/Bull/Bear/Shock gross CAGR): Weapons 22/34/5/32% (original sleeve memo, reference only — model runs bottom-up per name with the munitions/FMS overlay); Consumer modeled bottom-up per-name, two now market-priced via Forge secondary (Quince 28/45/2/-18%, Whoop 27/42/-3/-16%, The Farmer's Dog 22/34/10/-5% @ $3.76B Forge-implied, Made In Cookware 14/26/-10/-14% est., Thrive Market 7/16/-5/-8% @ ~$945M Forge-implied (down from $1.29B Series C), Plunge 20/50/-22/-28% est.); thematic basket 15% fwd. IQT-mirror is bottom-up.</t>
  </si>
  <si>
    <t xml:space="preserve">2 | DEFENSE SUPERCYCLE DRIVERS</t>
  </si>
  <si>
    <t xml:space="preserve">• NATO 5%-of-GDP pledge (Hague summit, Jun-2025): 3.5% core defense + 1.5% defense-related, on a path to 2035 — a structural, decade-long step-up, not a cyclical bump.</t>
  </si>
  <si>
    <t xml:space="preserve">• European allies + Canada raised defense spending ~20% in 2025 alone; all allies now above the old 2% floor. Rheinmetall growing 40%/yr is the bellwether.</t>
  </si>
  <si>
    <t xml:space="preserve">• Munitions/energetics replenishment (Ukraine drawdown) + naval autonomy (Replicator) + counter-drone are the fastest-growing demand pools — directly the Weapons sleeve (Helicon, Saronic, Epirus).</t>
  </si>
  <si>
    <t xml:space="preserve">3 | CHINA &amp; GEOPOLITICAL PICTURE</t>
  </si>
  <si>
    <t xml:space="preserve">• China official defense budget ~1.78T yuan (~$245B) for 2025, +7.2% YoY (widely cited; pre-cutoff — confirm 2026 figure) — sustained double-digit real modernization for a decade.</t>
  </si>
  <si>
    <t xml:space="preserve">• 'Davidson window' (PLA capability vs. Taiwan by 2027) frames the tail-risk timeline the TSMC-Shock scenario models — the single point of failure is TSMC leading-edge capacity.</t>
  </si>
  <si>
    <t xml:space="preserve">• US-China tech decoupling: export controls on advanced semis/tooling, entity-list expansion, and reshoring incentives are the policy tailwind behind the IQT-mirror sleeve's sovereign-chokepoint names.</t>
  </si>
  <si>
    <t xml:space="preserve">4 | GLOBAL MACRO BACKDROP</t>
  </si>
  <si>
    <t xml:space="preserve">• Rates/exit markets: the Fed path drives PE exit windows and long-duration deep-tech valuations most — a higher-for-longer regime compresses the IQT sleeve's terminal multiples and delays exits (lengthens duration, lowers DPI timing).</t>
  </si>
  <si>
    <t xml:space="preserve">• USD &amp; inflation: a decoupling/Taiwan shock is inflationary (supply shock) and USD-volatile — negative for the Consumer sleeve overall, though now modeled per-name on the Consumer Sleeve tab: import/hardware-exposed names (Quince, Whoop, Made In, Plunge) take the sharper Shock hit via COGS/chip-supply, while staple/subscription names (Farmer's Dog, Thrive Market) are more defensive; Goat Group (discretionary resale demand + cross-border logistics) also skews Shock-worse-than-Bear, while Stripe (fee-based payments infra, not import-exposed) skews milder, in line with its tighter Bear/Shock spread on the Consumer Sleeve tab.</t>
  </si>
  <si>
    <t xml:space="preserve">• Reshoring / friend-shoring capital flows (CHIPS disbursement, allied industrial policy) are the domestic-capital trend the whole holdco front-runs — the barbell is long this structural reallocation.</t>
  </si>
  <si>
    <t xml:space="preserve">4B | CLASSIFIED / BLACK-BUDGET DIMENSION (from uploaded BX Tac Opps research)</t>
  </si>
  <si>
    <t xml:space="preserve">• US classified/black spending ~$170-215B in FY2026 (~16-20% of the ~$1.04T defense topline) and rising as a share (13-14% in 2013 -&gt; 16-20% now). Intelligence budget (NIP+MIP) FY26 request $115.5B, +14.2% YoY.</t>
  </si>
  <si>
    <t xml:space="preserve">• Why it matters for the IQT-mirror sleeve: IQT is the CIA's investment arm, funded within the NIP. A growing intelligence budget = a larger IQT deployment pipeline = more signal to mirror. The sleeve's edge scales WITH the black budget — a second, independent tailwind on top of the semis/China story.</t>
  </si>
  <si>
    <t xml:space="preserve">• Missile / energetics / EW / undersea ramp is largely classified and accelerating (AIM-424 Malice revealed Aug-26, Tomahawk Block Va/Vb combat-deployed Feb-26, LRSO, hypersonics; SSN-812 seabed warfare; EA-37B EW) — a direct tailwind to Weapons holdings: Helicon (energetics), Saronic (naval autonomy), Epirus (directed energy), Elta (EW/ISR).</t>
  </si>
  <si>
    <t xml:space="preserve">• Public-prime classified revenue (FY24 est) as demand proxy: Northrop $9-13B (25-35% of def rev — most 'black'), Lockheed $10-18B, RTX $4-9B, Boeing $4-5.5B, GD $3.5-5B, L3Harris $2.5-4.5B. The private holdings feed the same classified demand pools.</t>
  </si>
  <si>
    <t xml:space="preserve">5 | DRIVER x SLEEVE MAPPING (direction of impact)</t>
  </si>
  <si>
    <t xml:space="preserve">Driver</t>
  </si>
  <si>
    <t xml:space="preserve">NATO / EU rearmament</t>
  </si>
  <si>
    <t xml:space="preserve">+</t>
  </si>
  <si>
    <t xml:space="preserve">+ +</t>
  </si>
  <si>
    <t xml:space="preserve">0</t>
  </si>
  <si>
    <t xml:space="preserve">US budget / Replicator / munitions</t>
  </si>
  <si>
    <t xml:space="preserve">Classified / black-budget growth (+14% IC)</t>
  </si>
  <si>
    <t xml:space="preserve">+ + (IQT = CIA arm)</t>
  </si>
  <si>
    <t xml:space="preserve">China modernization / decoupling</t>
  </si>
  <si>
    <t xml:space="preserve">-</t>
  </si>
  <si>
    <t xml:space="preserve">Taiwan / TSMC shock</t>
  </si>
  <si>
    <t xml:space="preserve">+ + (convex)</t>
  </si>
  <si>
    <t xml:space="preserve">+ + (conflict demand)</t>
  </si>
  <si>
    <t xml:space="preserve">- (inflation/spend)</t>
  </si>
  <si>
    <t xml:space="preserve">CHIPS / reshoring capital</t>
  </si>
  <si>
    <t xml:space="preserve">Higher-for-longer rates</t>
  </si>
  <si>
    <t xml:space="preserve">- (long-duration)</t>
  </si>
  <si>
    <t xml:space="preserve">- / 0</t>
  </si>
  <si>
    <t xml:space="preserve">USD strength / inflation</t>
  </si>
  <si>
    <t xml:space="preserve">0 / -</t>
  </si>
  <si>
    <t xml:space="preserve">- -</t>
  </si>
  <si>
    <t xml:space="preserve">Consumer spending cycle</t>
  </si>
  <si>
    <t xml:space="preserve">+ + (primary driver)</t>
  </si>
  <si>
    <t xml:space="preserve">6 | KEY TAKEAWAY</t>
  </si>
  <si>
    <t xml:space="preserve">• The supercycle is already loudly priced in PUBLIC comps (ITA +29% 1yr, SOXX +170% 1yr) — so the edge is NOT the theme being undiscovered; it is capturing it at PRIVATE / VC-stage entry before the public re-rate. That is why the scoreboard is KS-PME vs the ITA/SOXX basket, not vs SPX.</t>
  </si>
  <si>
    <t xml:space="preserve">• The barbell's logic: Weapons + IQT are both long the geopolitical supercycle (opex + capex legs) and both convex to a Taiwan/TSMC shock; Consumer is the uncorrelated ballast that carries near-term DPI and is the one sleeve hurt by the shock. Net holdco is long the supercycle with a spending-cycle diversifier.</t>
  </si>
  <si>
    <t xml:space="preserve">• Biggest swing factors: (1) Weapons CAGR (largest sleeve), (2) the thematic-basket hurdle, (3) the rate path via IQT exit timing. All are levers on the Holdco Summary / Assumptions / PME tabs.</t>
  </si>
  <si>
    <t xml:space="preserve">Sources: iShares ITA &amp; SOXX fact sheets (Jun-30-2026); multiples.vc (Rheinmetall/L3Harris, Sep-2026); Macrotrends (AVAV); Sacra (Saronic $9.25B, Anduril $61B); NATO/Atlantic Council (Hague 5% pledge, +20% EU 2025); uploaded BX Tac Opps black-budget compilation (Sep-2026): classified spend ~$170-215B, IC +14.2%, contractor classified-revenue estimates. China budget &amp; Davidson window are widely-cited pre-cutoff figures — confirm current.</t>
  </si>
  <si>
    <t xml:space="preserve">ASSUMPTIONS &amp; INPUTS</t>
  </si>
  <si>
    <t xml:space="preserve">Blue = hardcoded input / lever. TSMC-Shock CAGR (col I) is computed on the Defense Supercycle tab. All $M.</t>
  </si>
  <si>
    <t xml:space="preserve">FUND TERMS (IQT-mirror sleeve)</t>
  </si>
  <si>
    <t xml:space="preserve">Committed capital ($M)</t>
  </si>
  <si>
    <t xml:space="preserve">IQT sleeve = 1 of 3 holdco sub-funds (see Holdco Summary)</t>
  </si>
  <si>
    <t xml:space="preserve">Initial deployment ($M)</t>
  </si>
  <si>
    <t xml:space="preserve">Memo — reserve embedded in retention</t>
  </si>
  <si>
    <t xml:space="preserve">Follow-on reserve ($M)</t>
  </si>
  <si>
    <t xml:space="preserve">Pro-rata defense on winners</t>
  </si>
  <si>
    <t xml:space="preserve">Mgmt fee (% of committed / yr)</t>
  </si>
  <si>
    <t xml:space="preserve">Charged over full vehicle life</t>
  </si>
  <si>
    <t xml:space="preserve">Carried interest (%)</t>
  </si>
  <si>
    <t xml:space="preserve">Over pref, no catch-up modeled</t>
  </si>
  <si>
    <t xml:space="preserve">Preferred return (% comp.)</t>
  </si>
  <si>
    <t xml:space="preserve">8% compounded hurdle</t>
  </si>
  <si>
    <t xml:space="preserve">Retention @ 5yr</t>
  </si>
  <si>
    <t xml:space="preserve">Ownership kept after dilution</t>
  </si>
  <si>
    <t xml:space="preserve">Retention @ 7yr</t>
  </si>
  <si>
    <t xml:space="preserve">Retention @ 10yr</t>
  </si>
  <si>
    <t xml:space="preserve">PORTFOLIO — ENTRY MARKS, CHECKS &amp; GROWTH ASSUMPTIONS</t>
  </si>
  <si>
    <t xml:space="preserve">Company</t>
  </si>
  <si>
    <t xml:space="preserve">Entry post-$M</t>
  </si>
  <si>
    <t xml:space="preserve">Check ($M)</t>
  </si>
  <si>
    <t xml:space="preserve">Own %</t>
  </si>
  <si>
    <t xml:space="preserve">Tranche</t>
  </si>
  <si>
    <t xml:space="preserve">Base CAGR</t>
  </si>
  <si>
    <t xml:space="preserve">Bull CAGR</t>
  </si>
  <si>
    <t xml:space="preserve">Bear CAGR</t>
  </si>
  <si>
    <t xml:space="preserve">Valuation basis</t>
  </si>
  <si>
    <t xml:space="preserve">Substrate (anchor)</t>
  </si>
  <si>
    <t xml:space="preserve">Anchor / growth</t>
  </si>
  <si>
    <t xml:space="preserve">Est. &gt;$1.0B post (Oct-25 round)</t>
  </si>
  <si>
    <t xml:space="preserve">EUV Tech</t>
  </si>
  <si>
    <t xml:space="preserve">Growth core</t>
  </si>
  <si>
    <t xml:space="preserve">Est. — undisclosed (rev-gen niche)</t>
  </si>
  <si>
    <t xml:space="preserve">ThinTronics</t>
  </si>
  <si>
    <t xml:space="preserve">Est. — undisclosed + $50M CHIPS LOI</t>
  </si>
  <si>
    <t xml:space="preserve">EdgeCortix</t>
  </si>
  <si>
    <t xml:space="preserve">Est. — undisclosed (&gt;$110M raised)</t>
  </si>
  <si>
    <t xml:space="preserve">Syntiant</t>
  </si>
  <si>
    <t xml:space="preserve">Pre-IPO / liquid</t>
  </si>
  <si>
    <t xml:space="preserve">$646M Dec-24; S-1 filed (SYTN)</t>
  </si>
  <si>
    <t xml:space="preserve">Infleqtion</t>
  </si>
  <si>
    <t xml:space="preserve">Public / liquid</t>
  </si>
  <si>
    <t xml:space="preserve">Public NYSE:INFQ (~$3.0B mkt cap)</t>
  </si>
  <si>
    <t xml:space="preserve">Diraq</t>
  </si>
  <si>
    <t xml:space="preserve">Quantum venture</t>
  </si>
  <si>
    <t xml:space="preserve">Never disclosed (unverified ~$107M)</t>
  </si>
  <si>
    <t xml:space="preserve">Mueon</t>
  </si>
  <si>
    <t xml:space="preserve">Seed optionality</t>
  </si>
  <si>
    <t xml:space="preserve">Est. — undisclosed ($15.5M seed)</t>
  </si>
  <si>
    <t xml:space="preserve">DefendEye</t>
  </si>
  <si>
    <t xml:space="preserve">Est. — undisclosed seed</t>
  </si>
  <si>
    <t xml:space="preserve">TOTAL DEPLOYED</t>
  </si>
  <si>
    <t xml:space="preserve">DEFENSE SUPERCYCLE — STRATEGIC SCORING &amp; SHOCK ENGINE</t>
  </si>
  <si>
    <t xml:space="preserve">Winning the US-China AI/semiconductor race + insulating against a Taiwan / loss-of-TSMC scenario. Blue = lever.</t>
  </si>
  <si>
    <t xml:space="preserve">STRATEGIC AXIS WEIGHTS (must sum to 100%)</t>
  </si>
  <si>
    <t xml:space="preserve">China AI/semi-race criticality</t>
  </si>
  <si>
    <t xml:space="preserve">Advances US lead in AI compute / advanced nodes</t>
  </si>
  <si>
    <t xml:space="preserve">Taiwan / TSMC-insulation value</t>
  </si>
  <si>
    <t xml:space="preserve">Reduces US dependence on Taiwan-based fabrication</t>
  </si>
  <si>
    <t xml:space="preserve">Government / defense embeddedness</t>
  </si>
  <si>
    <t xml:space="preserve">IQT + DoD/DIU/DARPA/CHIPS pull</t>
  </si>
  <si>
    <t xml:space="preserve">CFIUS-clean / US-sovereign</t>
  </si>
  <si>
    <t xml:space="preserve">US domicile &amp; ownership; acquirable by US gov/primes</t>
  </si>
  <si>
    <t xml:space="preserve">Supply-chain chokepoint leverage</t>
  </si>
  <si>
    <t xml:space="preserve">Sole/near-sole source at a critical node</t>
  </si>
  <si>
    <t xml:space="preserve">Sum (check = 100%)</t>
  </si>
  <si>
    <t xml:space="preserve">TSMC-SHOCK CALIBRATION</t>
  </si>
  <si>
    <t xml:space="preserve">Pivot score (neutral)</t>
  </si>
  <si>
    <t xml:space="preserve">Composite above pivot -&gt; positive re-rating; below -&gt; drag</t>
  </si>
  <si>
    <t xml:space="preserve">Premium per point (CAGR)</t>
  </si>
  <si>
    <t xml:space="preserve">CAGR uplift per composite point above pivot, added to Base CAGR</t>
  </si>
  <si>
    <t xml:space="preserve">SCENARIO PROBABILITY WEIGHTS (must sum to 100%)</t>
  </si>
  <si>
    <t xml:space="preserve">STRATEGIC SCORING MATRIX (1 = low, 5 = high; blue = lever)</t>
  </si>
  <si>
    <t xml:space="preserve">China Race</t>
  </si>
  <si>
    <t xml:space="preserve">TSMC Insul.</t>
  </si>
  <si>
    <t xml:space="preserve">Gov/Defense</t>
  </si>
  <si>
    <t xml:space="preserve">CFIUS-Clean</t>
  </si>
  <si>
    <t xml:space="preserve">Chokepoint</t>
  </si>
  <si>
    <t xml:space="preserve">Composite</t>
  </si>
  <si>
    <t xml:space="preserve">Shock prem.</t>
  </si>
  <si>
    <t xml:space="preserve">Shock CAGR</t>
  </si>
  <si>
    <t xml:space="preserve">Avg / weighted</t>
  </si>
  <si>
    <t xml:space="preserve">SCENARIO NARRATIVE — TSMC SHOCK / TAIWAN CONTINGENCY</t>
  </si>
  <si>
    <t xml:space="preserve">• Trigger: a Taiwan blockade/quarantine, kinetic event, or hard US-China tech decoupling that removes or severely constrains access to TSMC's leading-edge capacity — the single point of failure in the AI-compute supply chain.</t>
  </si>
  <si>
    <t xml:space="preserve">• Winners (large re-rate): the US sovereign-chokepoint names. Substrate (domestic X-ray litho / fabs), EUV Tech (at-wavelength EUV metrology — no fab qualifies without it), ThinTronics (US ABF/substrate materials vs Japan's Ajinomoto monopoly). Onshoring becomes a national-security imperative; demand + pricing power inflect.</t>
  </si>
  <si>
    <t xml:space="preserve">• Partial winners: Mueon (US advanced packaging / rack density), Infleqtion &amp; Diraq (quantum race convexity — the 'next' compute paradigm if classical leading-edge is contested), Syntiant (US-fab-flexible edge inference).</t>
  </si>
  <si>
    <t xml:space="preserve">• Laggards / drag: EdgeCortix (Japan HQ + TSMC-Kumamoto fab exposure, near-term supply hit and CFIUS ceiling) and DefendEye (foreign-nexus, low semiconductor-sovereignty relevance).</t>
  </si>
  <si>
    <t xml:space="preserve">• Portfolio design implication: the book is intentionally overweight the sovereign core, so a tail event that would hurt a generic tech portfolio is where this one is most convex. That asymmetry is the thesis.</t>
  </si>
  <si>
    <t xml:space="preserve">IQT WARTIME-FUNCTION MAP — SUBSTRATE-ANCHORED SLEEVE (from uploaded IQT strategic analysis)</t>
  </si>
  <si>
    <t xml:space="preserve">Strategic cluster</t>
  </si>
  <si>
    <t xml:space="preserve">Holdings</t>
  </si>
  <si>
    <t xml:space="preserve">Wartime function / why IQT funds it</t>
  </si>
  <si>
    <t xml:space="preserve">TSMC-alternative: packaging &amp; substrates</t>
  </si>
  <si>
    <t xml:space="preserve">Substrate, ThinTronics, EUV Tech</t>
  </si>
  <si>
    <t xml:space="preserve">Build &amp; package chips domestically if Taiwan is blockaded — X-ray litho (Substrate), CoWoS-alternative insulators for advanced packaging (ThinTronics, + $50M CHIPS LOI Jul-26), at-wavelength EUV metrology to keep domestic litho running (EUV Tech).</t>
  </si>
  <si>
    <t xml:space="preserve">Denied-environment edge AI</t>
  </si>
  <si>
    <t xml:space="preserve">Syntiant, EdgeCortix</t>
  </si>
  <si>
    <t xml:space="preserve">Onboard AI for autonomous weapons when GPS / cloud / comms are jammed by PLA electronic warfare — ultra-low-power SWaP-constrained inference on drones, missiles, naval sensors. Syntiant signed a Nov-2025 IQT strategic technology-development agreement; EdgeCortix's DNA accelerator targets defense/aerospace at the tactical edge.</t>
  </si>
  <si>
    <t xml:space="preserve">Post-Moore's next-gen compute</t>
  </si>
  <si>
    <t xml:space="preserve">Diraq, Mueon (+ Infleqtion)</t>
  </si>
  <si>
    <t xml:space="preserve">Bootstrap quantum on existing CMOS foundries (Diraq silicon spin qubits — no exotic materials) and ultra-dense secure domestic AI data-center compute (Mueon) — a hedge if China wins the legacy-silicon volume war.</t>
  </si>
  <si>
    <t xml:space="preserve">Strategic takeaway: IQT is using venture capital to construct a parallel, domestic 'fail-safe' tech stack so the US can build, package and deploy AI-driven weapons entirely from domestic supply chains through a 2026/27 Taiwan contingency. Mirroring the Substrate-anchored sleeve = owning that fail-safe at VC-stage entry. The scores above are lifted for the edge-AI and next-gen-compute names to reflect this direct, documented defense pull.</t>
  </si>
  <si>
    <t xml:space="preserve">ALLOCATION &amp; POSITION STRUCTURE</t>
  </si>
  <si>
    <t xml:space="preserve">Green = linked. Composite pulled from Defense Supercycle tab. Ownership &gt;15% = significant minority (seek board seat / observer).</t>
  </si>
  <si>
    <t xml:space="preserve">% Fund</t>
  </si>
  <si>
    <t xml:space="preserve">Supercycle</t>
  </si>
  <si>
    <t xml:space="preserve">Domicile</t>
  </si>
  <si>
    <t xml:space="preserve">Structuring / diligence flag</t>
  </si>
  <si>
    <t xml:space="preserve">USA (SF, CA)</t>
  </si>
  <si>
    <t xml:space="preserve">Anchor. Binary tech risk — capped ~32% of fund; the core sovereign-litho bet.</t>
  </si>
  <si>
    <t xml:space="preserve">USA (CA)</t>
  </si>
  <si>
    <t xml:space="preserve">Rev-generating niche leader — best risk-adjusted. ~17% stake = significant minority; seek a board seat.</t>
  </si>
  <si>
    <t xml:space="preserve">CHIPS $50M LOI catalyst. ~19% stake = significant minority; likely primary + secondary blend.</t>
  </si>
  <si>
    <t xml:space="preserve">JAPAN (Tokyo)</t>
  </si>
  <si>
    <t xml:space="preserve">CFIUS/allied flag — minority only. Renesas natural acquirer. TSMC-Kumamoto fab exposure.</t>
  </si>
  <si>
    <t xml:space="preserve">Pre-IPO secondary or SYTN cornerstone. Watch pricing vs $646M Dec-24 mark.</t>
  </si>
  <si>
    <t xml:space="preserve">USA (CO)</t>
  </si>
  <si>
    <t xml:space="preserve">Public (INFQ). PIPE/secondary. Listed quantum benchmark for Diraq.</t>
  </si>
  <si>
    <t xml:space="preserve">AUSTRALIA (Sydney)</t>
  </si>
  <si>
    <t xml:space="preserve">Allied flag — minority. NRFC sovereignty covenants. AUKUS-aligned quantum optionality.</t>
  </si>
  <si>
    <t xml:space="preserve">USA (OR)</t>
  </si>
  <si>
    <t xml:space="preserve">Seed. Milestone-gated. Needs a shipping Cubelet design-win to scale exposure.</t>
  </si>
  <si>
    <t xml:space="preserve">USA (FL)+POLAND</t>
  </si>
  <si>
    <t xml:space="preserve">EU cap table + Krakow mfg — Blue UAS/NDAA provenance diligence before US-defense thesis.</t>
  </si>
  <si>
    <t xml:space="preserve">TOTAL</t>
  </si>
  <si>
    <t xml:space="preserve">PORTFOLIO RETURNS BY HOLD &amp; SCENARIO</t>
  </si>
  <si>
    <t xml:space="preserve">Proceeds = Check x (1+CAGR)^Hold x Retention. MOIC = Proceeds/Check. Gross IRR = MOIC^(1/Hold)-1.</t>
  </si>
  <si>
    <t xml:space="preserve">5-YEAR HOLD VEHICLE</t>
  </si>
  <si>
    <t xml:space="preserve">Base $</t>
  </si>
  <si>
    <t xml:space="preserve">Base MOIC</t>
  </si>
  <si>
    <t xml:space="preserve">Base IRR</t>
  </si>
  <si>
    <t xml:space="preserve">Bull $</t>
  </si>
  <si>
    <t xml:space="preserve">Bull MOIC</t>
  </si>
  <si>
    <t xml:space="preserve">Bull IRR</t>
  </si>
  <si>
    <t xml:space="preserve">Bear $</t>
  </si>
  <si>
    <t xml:space="preserve">Bear MOIC</t>
  </si>
  <si>
    <t xml:space="preserve">Bear IRR</t>
  </si>
  <si>
    <t xml:space="preserve">Shock $</t>
  </si>
  <si>
    <t xml:space="preserve">Shock MOIC</t>
  </si>
  <si>
    <t xml:space="preserve">Shock IRR</t>
  </si>
  <si>
    <t xml:space="preserve">FUND TOTAL</t>
  </si>
  <si>
    <t xml:space="preserve">7-YEAR HOLD VEHICLE</t>
  </si>
  <si>
    <t xml:space="preserve">10-YEAR HOLD VEHICLE</t>
  </si>
  <si>
    <t xml:space="preserve">FUND ECONOMICS — GROSS-&gt;NET WATERFALL</t>
  </si>
  <si>
    <t xml:space="preserve">Whole-fund European waterfall: return of capital -&gt; 8% comp. pref -&gt; 20% carry (no catch-up). Expected = prob-weighted. $M.</t>
  </si>
  <si>
    <t xml:space="preserve">5-YEAR VEHICLE</t>
  </si>
  <si>
    <t xml:space="preserve">Gross exit proceeds</t>
  </si>
  <si>
    <t xml:space="preserve">(-) Return of committed capital</t>
  </si>
  <si>
    <t xml:space="preserve">(-) Preferred return (8% comp.)</t>
  </si>
  <si>
    <t xml:space="preserve">Profit above pref (carry base)</t>
  </si>
  <si>
    <t xml:space="preserve">(-) GP carried interest (20%)</t>
  </si>
  <si>
    <t xml:space="preserve">(-) Management fees</t>
  </si>
  <si>
    <t xml:space="preserve">Net proceeds to LPs</t>
  </si>
  <si>
    <t xml:space="preserve">Gross MOIC</t>
  </si>
  <si>
    <t xml:space="preserve">Net MOIC (to LP)</t>
  </si>
  <si>
    <t xml:space="preserve">Gross IRR</t>
  </si>
  <si>
    <t xml:space="preserve">Net IRR (to LP)</t>
  </si>
  <si>
    <t xml:space="preserve">DPI = TVPI at exit</t>
  </si>
  <si>
    <t xml:space="preserve">7-YEAR VEHICLE</t>
  </si>
  <si>
    <t xml:space="preserve">10-YEAR VEHICLE</t>
  </si>
  <si>
    <t xml:space="preserve">IQT SLEEVE — STRATEGIC-FUNCTION CLUSTER ROLL-UP</t>
  </si>
  <si>
    <t xml:space="preserve">The nine Substrate-anchored names grouped by wartime function (per the IQT strategic analysis). Green links to live per-name figures.</t>
  </si>
  <si>
    <t xml:space="preserve">SIZING &amp; STRATEGIC SCORE BY CLUSTER</t>
  </si>
  <si>
    <t xml:space="preserve">% Sleeve</t>
  </si>
  <si>
    <t xml:space="preserve">Avg composite</t>
  </si>
  <si>
    <t xml:space="preserve">Avg shock CAGR</t>
  </si>
  <si>
    <t xml:space="preserve">Infleqtion, Diraq, Mueon</t>
  </si>
  <si>
    <t xml:space="preserve">Autonomous sensing (adjacent)</t>
  </si>
  <si>
    <t xml:space="preserve">IQT SLEEVE TOTAL</t>
  </si>
  <si>
    <t xml:space="preserve">5-YEAR HOLD — CLUSTER GROSS PROCEEDS &amp; MOIC</t>
  </si>
  <si>
    <t xml:space="preserve">Cluster</t>
  </si>
  <si>
    <t xml:space="preserve">SLEEVE TOTAL</t>
  </si>
  <si>
    <t xml:space="preserve">7-YEAR HOLD — CLUSTER GROSS PROCEEDS &amp; MOIC</t>
  </si>
  <si>
    <t xml:space="preserve">10-YEAR HOLD — CLUSTER GROSS PROCEEDS &amp; MOIC</t>
  </si>
  <si>
    <t xml:space="preserve">Read: sized by strategic function, the sleeve is ~53% TSMC-alternative packaging/substrates (the sovereign core), ~25% denied-environment edge AI, ~20% next-gen compute, ~3% adjacent autonomy — a deliberate overweight to the domestic fail-safe chokepoints that re-rate hardest in a Taiwan/TSMC shock.</t>
  </si>
  <si>
    <t xml:space="preserve">WEAPONS SLEEVE — BOTTOM-UP ($390M)</t>
  </si>
  <si>
    <t xml:space="preserve">Physical-layer defense holdings. Blue = input. Most entry marks are estimates; several names are access-constrained (see flags). Proceeds use munitions/FMS-adjusted CAGRs (cols S:V).</t>
  </si>
  <si>
    <t xml:space="preserve">SLEEVE TERMS</t>
  </si>
  <si>
    <t xml:space="preserve">MUNITIONS / FMS OVERLAY — CAGR UPLIFT PER EXPOSURE POINT</t>
  </si>
  <si>
    <t xml:space="preserve">Committed ($M)</t>
  </si>
  <si>
    <t xml:space="preserve">Base uplift / pt</t>
  </si>
  <si>
    <t xml:space="preserve">Retention @5yr</t>
  </si>
  <si>
    <t xml:space="preserve">Bull uplift / pt</t>
  </si>
  <si>
    <t xml:space="preserve">Retention @7yr</t>
  </si>
  <si>
    <t xml:space="preserve">Bear uplift / pt (backlog cushion)</t>
  </si>
  <si>
    <t xml:space="preserve">Retention @10yr</t>
  </si>
  <si>
    <t xml:space="preserve">Shock uplift / pt</t>
  </si>
  <si>
    <t xml:space="preserve">HOLDINGS, ENTRY MARKS &amp; GROWTH ASSUMPTIONS</t>
  </si>
  <si>
    <t xml:space="preserve">Access / structure flag</t>
  </si>
  <si>
    <t xml:space="preserve">Shock</t>
  </si>
  <si>
    <t xml:space="preserve">Munitions shortage (0-5)</t>
  </si>
  <si>
    <t xml:space="preserve">FMS / export backlog (0-5)</t>
  </si>
  <si>
    <t xml:space="preserve">Exposure score</t>
  </si>
  <si>
    <t xml:space="preserve">Adj. Base</t>
  </si>
  <si>
    <t xml:space="preserve">Adj. Bull</t>
  </si>
  <si>
    <t xml:space="preserve">Adj. Bear</t>
  </si>
  <si>
    <t xml:space="preserve">Adj. Shock</t>
  </si>
  <si>
    <t xml:space="preserve">Saronic</t>
  </si>
  <si>
    <t xml:space="preserve">US clean; late/expensive — secondary or late primary</t>
  </si>
  <si>
    <t xml:space="preserve">Series D Mar-26 $9.25B post</t>
  </si>
  <si>
    <t xml:space="preserve">Epirus</t>
  </si>
  <si>
    <t xml:space="preserve">US clean; directed energy / HPM</t>
  </si>
  <si>
    <t xml:space="preserve">Est. — Series D 2025 (~$1.35B)</t>
  </si>
  <si>
    <t xml:space="preserve">Israel Aerospace Ind.</t>
  </si>
  <si>
    <t xml:space="preserve">IPO ATTEMPT (H2-26) — cornerstone/IPO allocation; ITAR/foreign-own. remains</t>
  </si>
  <si>
    <t xml:space="preserve">Est. — IPO-pending (Elbit-comp scale)</t>
  </si>
  <si>
    <t xml:space="preserve">Elta Systems</t>
  </si>
  <si>
    <t xml:space="preserve">IAI subsidiary — consolidates into IAI IPO; EW/ISR</t>
  </si>
  <si>
    <t xml:space="preserve">Est. notional (within IAI)</t>
  </si>
  <si>
    <t xml:space="preserve">Heckler &amp; Koch</t>
  </si>
  <si>
    <t xml:space="preserve">Listed; closely held (CDR) — secondary/block</t>
  </si>
  <si>
    <t xml:space="preserve">Est. EV — listed small-arms</t>
  </si>
  <si>
    <t xml:space="preserve">Helicon Chemical</t>
  </si>
  <si>
    <t xml:space="preserve">US clean; investable small — real stake</t>
  </si>
  <si>
    <t xml:space="preserve">Est. — early-growth energetics</t>
  </si>
  <si>
    <t xml:space="preserve">The Ellwood Group</t>
  </si>
  <si>
    <t xml:space="preserve">FAMILY-OWNED private (Ellwood City, PA) — minority/structured pref; missile-casing &amp; naval open/closed-die forgings</t>
  </si>
  <si>
    <t xml:space="preserve">Post-money $1.2B (user input); ~0.9x sales on &gt;$1.3B (AIST)</t>
  </si>
  <si>
    <t xml:space="preserve">Superior &amp; Grand Valley</t>
  </si>
  <si>
    <t xml:space="preserve">Private forger — missile procurement metal forging; entry mark unverified (placeholder)</t>
  </si>
  <si>
    <t xml:space="preserve">PLACEHOLDER — no disclosed mark</t>
  </si>
  <si>
    <t xml:space="preserve">Applied Research Assoc.</t>
  </si>
  <si>
    <t xml:space="preserve">EMPLOYEE-OWNED ESOP — structural, hard</t>
  </si>
  <si>
    <t xml:space="preserve">Est. EV (~$700M+ rev R&amp;D)</t>
  </si>
  <si>
    <t xml:space="preserve">Faxon Machining</t>
  </si>
  <si>
    <t xml:space="preserve">PRIVATE — CBI sub; ~9.8% minority; warhead-case &amp; missile machining: BLU-136/B, GBU-57 MOP, NGP GBU-76/B, TLAM, LPWC IDIQ; BLU-136 order period ends 30-Sep-26</t>
  </si>
  <si>
    <t xml:space="preserve">Post-money $92M (user input); contract-derived prob-wtd EV — see Faxon Build</t>
  </si>
  <si>
    <t xml:space="preserve">TOTAL (=$390M)</t>
  </si>
  <si>
    <t xml:space="preserve">5-YEAR HOLD — GROSS PROCEEDS</t>
  </si>
  <si>
    <t xml:space="preserve">7-YEAR HOLD — GROSS PROCEEDS</t>
  </si>
  <si>
    <t xml:space="preserve">10-YEAR HOLD — GROSS PROCEEDS</t>
  </si>
  <si>
    <t xml:space="preserve">FAXON MACHINING — PROGRAM-LEVEL STAKE BUILD ($9M @ $92M POST)</t>
  </si>
  <si>
    <t xml:space="preserve">Weapons-sleeve holding #10. Revenue is built by program — BLU-136/B, GBU-57 MOP, NGP GBU-76/B, Tomahawk (TLAM), penetrator IDIQ, FMS — each tied to a defense-supercycle driver. NGP carries an explicit production-award step. Blue = input; green = link; black = formula. USD $M. 7-yr implied equity CAGR feeds Weapons Sleeve row 21.</t>
  </si>
  <si>
    <t xml:space="preserve">DEAL TERMS &amp; ENTRY</t>
  </si>
  <si>
    <t xml:space="preserve">Item</t>
  </si>
  <si>
    <t xml:space="preserve">Source / basis</t>
  </si>
  <si>
    <t xml:space="preserve">Entry post-money valuation ($M)</t>
  </si>
  <si>
    <t xml:space="preserve">User input (IC, 9/2026). Probability-weighted EV from contract-derived valuation: Bear $21M / Base $76M / Bull $194M at 25/50/25.</t>
  </si>
  <si>
    <t xml:space="preserve">Check size ($M)</t>
  </si>
  <si>
    <t xml:space="preserve">User input: sub-$10M minority stake. Funded inside the fixed $390M sleeve by trimming Superior &amp; Grand Valley $40M -&gt; $31M.</t>
  </si>
  <si>
    <t xml:space="preserve">Ownership %</t>
  </si>
  <si>
    <t xml:space="preserve">Check / post-money.</t>
  </si>
  <si>
    <t xml:space="preserve">Net debt at entry ($M)</t>
  </si>
  <si>
    <t xml:space="preserve">Assumed debt-free (private, CBI-owned). Confirm in diligence.</t>
  </si>
  <si>
    <t xml:space="preserve">FY26E revenue ($M)</t>
  </si>
  <si>
    <t xml:space="preserve">Sum of program build below (contract-derived; aggregator figure of ~$21M judged stale vs $473M BLU-136/B award).</t>
  </si>
  <si>
    <t xml:space="preserve">FY26E EBITDA margin</t>
  </si>
  <si>
    <t xml:space="preserve">Estimate — FFP high-volume case machining; 10-18% range for defense precision machining.</t>
  </si>
  <si>
    <t xml:space="preserve">FY26E EBITDA ($M)</t>
  </si>
  <si>
    <t xml:space="preserve">Revenue x margin.</t>
  </si>
  <si>
    <t xml:space="preserve">Implied entry EV / EBITDA</t>
  </si>
  <si>
    <t xml:space="preserve">Entry multiple implied by the $92M mark.</t>
  </si>
  <si>
    <t xml:space="preserve">FCF conversion (% of EBITDA retained as cash)</t>
  </si>
  <si>
    <t xml:space="preserve">After tax and growth capex (large-case machining / deep-hole capacity for MOP &amp; NGP); retained on balance sheet, no dividends.</t>
  </si>
  <si>
    <t xml:space="preserve">Margin ramp period (yrs)</t>
  </si>
  <si>
    <t xml:space="preserve">EBITDA margin moves linearly from FY26E to scenario exit margin over this many years.</t>
  </si>
  <si>
    <t xml:space="preserve">SUPERCYCLE DRIVERS — ANNUAL PROGRAM / END-MARKET GROWTH BY SCENARIO (blue = lever)</t>
  </si>
  <si>
    <t xml:space="preserve">Basis / evidence</t>
  </si>
  <si>
    <t xml:space="preserve">1  US munitions procurement (bomb bodies / area-attack)</t>
  </si>
  <si>
    <t xml:space="preserve">Stockpile replenishment after 2025-26 Iran strikes; multiyear munitions buys.</t>
  </si>
  <si>
    <t xml:space="preserve">2  TLAM production ramp (Tomahawk MYP)</t>
  </si>
  <si>
    <t xml:space="preserve">RTX $22.9B 7-yr Tomahawk multiyear to 1,000+/yr (Manufacturing Dive / Armada, Aug-26): ~4x from low-hundreds/yr =&gt; ~20%+/yr over 7 yrs.</t>
  </si>
  <si>
    <t xml:space="preserve">3  Other missile production (SM-6 / PAC-3 / PrSM)</t>
  </si>
  <si>
    <t xml:space="preserve">Multiyear missile procurement; tier-2 deep-hole &amp; flowform content.</t>
  </si>
  <si>
    <t xml:space="preserve">4  GBU-57 MOP replenishment</t>
  </si>
  <si>
    <t xml:space="preserve">USAF buying more bunker busters after Iran nuclear strikes (Defense News, 13-Feb-26); MOP bridges to NGP.</t>
  </si>
  <si>
    <t xml:space="preserve">5  NGP GBU-76/B development / LRIP</t>
  </si>
  <si>
    <t xml:space="preserve">ARA system design agent (Sep-25, 24-mo); full-scale static tests FY26; GBU-76/B production sources-sought 1-Jun-26. Production step modeled separately below.</t>
  </si>
  <si>
    <t xml:space="preserve">6  FMS / allied export demand</t>
  </si>
  <si>
    <t xml:space="preserve">Record FMS (FY24 $117.9B per CRS IF11437); TLAM export buyers (Japan, Australia, Netherlands, UK); Israel / NATO replenishment.</t>
  </si>
  <si>
    <t xml:space="preserve">7  Commercial &amp; other defense industrial</t>
  </si>
  <si>
    <t xml:space="preserve">GD / L3Harris / Northrop / Lockheed machining work, vehicle and firearm components.</t>
  </si>
  <si>
    <t xml:space="preserve">PROGRAM REVENUE — FY26E BASE &amp; PROGRAM CAGR = DRIVER GROWTH + SHARE GAIN</t>
  </si>
  <si>
    <t xml:space="preserve">Program / segment</t>
  </si>
  <si>
    <t xml:space="preserve">FY26E rev ($M)</t>
  </si>
  <si>
    <t xml:space="preserve">Driver #</t>
  </si>
  <si>
    <t xml:space="preserve">Share gain Base</t>
  </si>
  <si>
    <t xml:space="preserve">Share gain Bull</t>
  </si>
  <si>
    <t xml:space="preserve">Share gain Bear</t>
  </si>
  <si>
    <t xml:space="preserve">Share gain Shock</t>
  </si>
  <si>
    <t xml:space="preserve">CAGR Base</t>
  </si>
  <si>
    <t xml:space="preserve">CAGR Bull</t>
  </si>
  <si>
    <t xml:space="preserve">CAGR Bear</t>
  </si>
  <si>
    <t xml:space="preserve">CAGR Shock</t>
  </si>
  <si>
    <t xml:space="preserve">% FY26E</t>
  </si>
  <si>
    <t xml:space="preserve">Basis</t>
  </si>
  <si>
    <t xml:space="preserve">BLU-136/B area-attack warhead cases (USAF)</t>
  </si>
  <si>
    <t xml:space="preserve">$473M BLU-136/B bomb bodies &amp; containers (Local12); order period ends 30-Sep-26 -&gt; Bear = partial loss on recompete.</t>
  </si>
  <si>
    <t xml:space="preserve">GBU-57 MOP penetrator case machining</t>
  </si>
  <si>
    <t xml:space="preserve">MOP exposure per user (IC, 9/2026). Low-volume / high-value Eglin-steel cases; replenishment buy.</t>
  </si>
  <si>
    <t xml:space="preserve">NGP GBU-76/B prototype &amp; dev cases</t>
  </si>
  <si>
    <t xml:space="preserve">NGP exposure per user (IC, 9/2026). Sub-scale / full-scale prototype cases; production phase in NGP step below.</t>
  </si>
  <si>
    <t xml:space="preserve">Tomahawk (TLAM) components</t>
  </si>
  <si>
    <t xml:space="preserve">TLAM exposure per user (IC, 9/2026); part scope to confirm in diligence (not in public contract data). Tracks Tomahawk ramp.</t>
  </si>
  <si>
    <t xml:space="preserve">Other penetrators — LPWC IDIQ (BLU-137 / BLU-109)</t>
  </si>
  <si>
    <t xml:space="preserve">1 of 4 awardees on $149M large penetrator warhead case IDIQ (Defence Blog, 2026).</t>
  </si>
  <si>
    <t xml:space="preserve">Other missile structures / flowform (tier-2)</t>
  </si>
  <si>
    <t xml:space="preserve">Precision machining for primes; sister co. American Flowform (ex-ATI).</t>
  </si>
  <si>
    <t xml:space="preserve">FMS / allied export pull-through</t>
  </si>
  <si>
    <t xml:space="preserve">Allied buys of US bomb bodies / warheads routed via FMS.</t>
  </si>
  <si>
    <t xml:space="preserve">Commercial &amp; other defense</t>
  </si>
  <si>
    <t xml:space="preserve">Legacy contract machining (since 1978).</t>
  </si>
  <si>
    <t xml:space="preserve">TOTAL FY26E revenue / revenue-weighted program CAGR</t>
  </si>
  <si>
    <t xml:space="preserve">Memo: NGP + MOP + TLAM share of FY26E revenue</t>
  </si>
  <si>
    <t xml:space="preserve">NGP GBU-76/B PRODUCTION STEP — ADDED ON TOP OF PROGRAM CAGR</t>
  </si>
  <si>
    <t xml:space="preserve">First production year for Faxon (t, years from FY26)</t>
  </si>
  <si>
    <t xml:space="preserve">Base: production award FY28, deliveries FY29 after FY26-27 test program. Bear 99 = no Faxon production share.</t>
  </si>
  <si>
    <t xml:space="preserve">Faxon full-rate NGP revenue ($M/yr)</t>
  </si>
  <si>
    <t xml:space="preserve">Case machining content at full rate; B-21 carriage implies larger quantities than MOP. Shock = wartime surge.</t>
  </si>
  <si>
    <t xml:space="preserve">Ramp to full rate (yrs)</t>
  </si>
  <si>
    <t xml:space="preserve">Linear ramp from first production year.</t>
  </si>
  <si>
    <t xml:space="preserve">EXIT ASSUMPTIONS BY SCENARIO</t>
  </si>
  <si>
    <t xml:space="preserve">Exit EBITDA margin</t>
  </si>
  <si>
    <t xml:space="preserve">Operating leverage on volume; MOP/NGP large-case work carries premium pricing. Bear = under-absorbed capacity after BLU-136 step-down.</t>
  </si>
  <si>
    <t xml:space="preserve">Exit EV / EBITDA</t>
  </si>
  <si>
    <t xml:space="preserve">Base ~ entry multiple; Bull/Shock = scarcity premium (sole-/few-source MOP, NGP &amp; TLAM content) to a prime / strategic; Bear = generic job-shop.</t>
  </si>
  <si>
    <t xml:space="preserve">PROJECTIONS — YEAR 0 (FY26E) TO YEAR 10, BY SCENARIO</t>
  </si>
  <si>
    <t xml:space="preserve">Year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</si>
  <si>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</si>
  <si>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</si>
  <si>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</si>
  <si>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</si>
  <si>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</si>
  <si>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</si>
  <si>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</si>
  <si>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</si>
  <si>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</si>
  <si>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</si>
  <si>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Year index (t)</t>
  </si>
  <si>
    <t xml:space="preserve">BASE</t>
  </si>
  <si>
    <t xml:space="preserve">Program revenue ex-NGP production ($M)</t>
  </si>
  <si>
    <t xml:space="preserve">NGP production revenue ($M)</t>
  </si>
  <si>
    <t xml:space="preserve">Total revenue ($M)</t>
  </si>
  <si>
    <t xml:space="preserve">EBITDA margin</t>
  </si>
  <si>
    <t xml:space="preserve">EBITDA ($M)</t>
  </si>
  <si>
    <t xml:space="preserve">Cumulative retained cash ($M)</t>
  </si>
  <si>
    <t xml:space="preserve">Enterprise value @ exit multiple ($M)</t>
  </si>
  <si>
    <t xml:space="preserve">Equity value ($M)</t>
  </si>
  <si>
    <t xml:space="preserve">BULL</t>
  </si>
  <si>
    <t xml:space="preserve">BEAR</t>
  </si>
  <si>
    <t xml:space="preserve">TSMC-SHOCK</t>
  </si>
  <si>
    <t xml:space="preserve">OUTPUT — IMPLIED EQUITY CAGR (entry $92M -&gt; equity value in year t), FEEDS WEAPONS SLEEVE</t>
  </si>
  <si>
    <t xml:space="preserve">Hold (yrs)</t>
  </si>
  <si>
    <t xml:space="preserve">Implied equity CAGR — 5-yr</t>
  </si>
  <si>
    <t xml:space="preserve">Implied equity CAGR — 7-yr (feeds sleeve)</t>
  </si>
  <si>
    <t xml:space="preserve">Implied equity CAGR — 10-yr</t>
  </si>
  <si>
    <t xml:space="preserve">Year-7 revenue ($M)</t>
  </si>
  <si>
    <t xml:space="preserve">Year-7 NGP production share of revenue</t>
  </si>
  <si>
    <t xml:space="preserve">STAKE RETURNS — $9M CHECK (from Weapons Sleeve, incl. dilution retention 0.92 / 0.88 / 0.82)</t>
  </si>
  <si>
    <t xml:space="preserve">Hold</t>
  </si>
  <si>
    <t xml:space="preserve">TSMC-Shock $</t>
  </si>
  <si>
    <t xml:space="preserve">Expected $</t>
  </si>
  <si>
    <t xml:space="preserve">Exp. MOIC</t>
  </si>
  <si>
    <t xml:space="preserve">Exp. IRR</t>
  </si>
  <si>
    <t xml:space="preserve">5-year hold</t>
  </si>
  <si>
    <t xml:space="preserve">7-year hold</t>
  </si>
  <si>
    <t xml:space="preserve">10-year hold</t>
  </si>
  <si>
    <t xml:space="preserve">Stake MOIC by scenario — 7-yr</t>
  </si>
  <si>
    <t xml:space="preserve">CHECKS</t>
  </si>
  <si>
    <t xml:space="preserve">Sleeve Adj. Base CAGR = build 7-yr Base CAGR</t>
  </si>
  <si>
    <t xml:space="preserve">Weapons sleeve still fully deployed ($390M)</t>
  </si>
  <si>
    <t xml:space="preserve">Stake &lt; $10M (user constraint)</t>
  </si>
  <si>
    <t xml:space="preserve">Program shares sum to 100%</t>
  </si>
  <si>
    <t xml:space="preserve">• Swing factors: (1) BLU-136/B follow-on after 30-Sep-26; (2) NGP production-share award timing and size; (3) TLAM content per missile as Tomahawk ramps to 1,000+/yr.</t>
  </si>
  <si>
    <t xml:space="preserve">• Munitions/FMS overlay on the Weapons Sleeve is netted out of Faxon F:I, so the supercycle is counted once — here, in the driver table.</t>
  </si>
  <si>
    <t xml:space="preserve">CONSUMER / VALUE SLEEVE — BOTTOM-UP ($200M)</t>
  </si>
  <si>
    <t xml:space="preserve">Spending-cycle / DTC-value holdings. Blue = input. Quince &amp; Whoop = confirmed 2026 primary rounds; Farmer's Dog &amp; Thrive Market = Forge secondary-market pricing (22-Sep-26); Made In &amp; Plunge remain estimates — no market exists. Polymarket added (Sep-26) — prediction-market secondary at ~$14-21B. Goat Group added (stale Series F Jun-21 mark, $3.73B post, no live secondary) and Stripe added (MARKET-PRICED, $159B Feb-26 employee tender) — both funded by trimming the other seven checks pro-rata (×0.7×) to hold the sleeve at its $200M cap.</t>
  </si>
  <si>
    <t xml:space="preserve">Channel / access note</t>
  </si>
  <si>
    <t xml:space="preserve">Quince</t>
  </si>
  <si>
    <t xml:space="preserve">Direct secondary/late-primary; watch ICONIQ round terms</t>
  </si>
  <si>
    <t xml:space="preserve">Series E Mar-26 $10.1B post (ICONIQ-led $500M; &gt;$1B ARR, M2C manufacturer-to-consumer model)</t>
  </si>
  <si>
    <t xml:space="preserve">Whoop</t>
  </si>
  <si>
    <t xml:space="preserve">Direct secondary/late-primary; IPO window = public-exit optionality</t>
  </si>
  <si>
    <t xml:space="preserve">Series G Mar-26 $10.1B post ($575M raise; IPO-track, medical-grade/glucose-monitoring expansion)</t>
  </si>
  <si>
    <t xml:space="preserve">The Farmer's Dog</t>
  </si>
  <si>
    <t xml:space="preserve">WALMART.COM LAUNCH (2025) — DTC-only to omni-channel; secondary access</t>
  </si>
  <si>
    <t xml:space="preserve">MARKET-PRICED — Forge secondary $23.64/sh (22-Sep-26) = $3.76B implied, up from $2.5B Series E ($15.72/sh, Jun-22); profitable, &gt;$1B ann. revenue</t>
  </si>
  <si>
    <t xml:space="preserve">Made In Cookware</t>
  </si>
  <si>
    <t xml:space="preserve">DTC + wholesale/restaurant placements; secondary access, thin float</t>
  </si>
  <si>
    <t xml:space="preserve">Est. EV — only ~$8.3M ever raised ($5M 2019 seed, KarpReilly-backed 2017); NO secondary market exists — least-grounded mark in the sleeve</t>
  </si>
  <si>
    <t xml:space="preserve">Thrive Market</t>
  </si>
  <si>
    <t xml:space="preserve">Membership DTC; IPO-candidate, pre-IPO secondary</t>
  </si>
  <si>
    <t xml:space="preserve">MARKET-PRICED — Forge secondary $17.98/sh (21-Sep-26) implies ~$945M, DOWN ~27% from Series C $1.29B post ($24.60/sh, Jul-21) despite revenue growth $400M→$700M+ — real multiple compression</t>
  </si>
  <si>
    <t xml:space="preserve">Plunge</t>
  </si>
  <si>
    <t xml:space="preserve">Wefunder community round (2025) — direct primary access, small check</t>
  </si>
  <si>
    <t xml:space="preserve">Est. — NO priced VC round exists (only $4.75M raised incl. crowdfunding); 2021 Shark Tank ask was $10M (declined) vs. ~$200M lifetime sales by 2025 — mostly self-funded growth, entry mark is a rough estimate</t>
  </si>
  <si>
    <t xml:space="preserve">Polymarket</t>
  </si>
  <si>
    <t xml:space="preserve">Secondary / late-primary; prediction-market expansion (US regulated + ICE distribution)</t>
  </si>
  <si>
    <t xml:space="preserve">MARKET-PRICED — secondary ~$14-21B range (Sep-26); ICE-backed; US regulated expansion &amp; sports/politics volume convexity</t>
  </si>
  <si>
    <t xml:space="preserve">Goat Group</t>
  </si>
  <si>
    <t xml:space="preserve">Secondary access, thin float; last priced Series F (Jun-21); no active secondary quote — re-underwrite before check</t>
  </si>
  <si>
    <t xml:space="preserve">Est. — last priced Series F 24-Jun-21 $3.73B post ($5.82/sh; $195M raise, Dragoneer/Franklin Templeton); Forge Global lists GOAT with no live secondary match ("price not yet available") — 5-yr-stale mark, least-grounded alongside Made In/Plunge; no IPO filed</t>
  </si>
  <si>
    <t xml:space="preserve">Stripe</t>
  </si>
  <si>
    <t xml:space="preserve">Employee/investor tender access; most liquid, most de-risked name in the sleeve — recurring annual tender cadence gives a real-time mark</t>
  </si>
  <si>
    <t xml:space="preserve">MARKET-PRICED — Feb-26 employee tender $159B post (Bloomberg/CNBC, 24-Feb-26), up from ~$140B guided 9-Feb-26 and ~$91.5B Feb-25 tender; total payment volume +34% YoY (~$1.9-2T annualized); IPO-track, profitable at scale</t>
  </si>
  <si>
    <t xml:space="preserve">TOTAL (=$200M)</t>
  </si>
  <si>
    <t xml:space="preserve">METHODOLOGY / DATA-CONFIDENCE NOTE</t>
  </si>
  <si>
    <t xml:space="preserve">Marks are now tiered by evidence quality. Quince and Whoop are confirmed 2026 primary rounds (both $10.1B post-money, Mar-26). The Farmer's Dog and Thrive Market are MARKET-PRICED off live Forge Global secondary quotes (22-Sep-26): Farmer's Dog implies $3.76B (up from its $2.5B Series E in Jun-22 — real appreciation, and its Walmart.com launch in 2025 is the modeled upside catalyst); Thrive Market implies ~$945M (DOWN ~27% from its $1.29B Series C post-money in Jul-21, despite revenue growing from $400M to $700M+ over the same period — genuine multiple compression, not a data gap, which is why its Base/Bull CAGRs were cut and its Bear turned negative). Made In Cookware and Plunge remain unpriced: Made In has raised only ~$8.3M total (no institutional round large enough to anchor an EV) and Plunge has raised just $4.75M against an estimated ~$200M in lifetime sales by 2025 (mostly self-funded) — both entry marks are directional estimates with no market to check them against, and are the first things to re-underwrite before a check is cut. Bear vs. Shock differ by name rather than using one sleeve-wide spread: staple/subscription names (Farmer's Dog, Thrive Market) see Shock milder than Bear — food/grocery spend is defensive and some trade-down benefit offsets inflation; import- or hardware-exposed names (Quince's direct-factory M2C sourcing, Whoop's own chip-dependent hardware, Made In's imported cookware inputs, Plunge's hardware BOM) see Shock worse than Bear — a Taiwan/decoupling scenario hits their COGS and supply chain directly, on top of softer discretionary demand. Polymarket added at $15M check (~$18B entry mark, mid of $14-21B secondary range Sep-26); Base 25%/Bull 40%/Bear -5%/Shock -12% — volume/fee leverage + US expansion convexity, with regulatory/competitive risk in Bear/Shock. Goat Group and Stripe were added Sep-26: Goat Group's last priced round is its Series F (24-Jun-21, $3.73B post, $195M raise); Forge Global shows no active secondary match for it, so — like Made In and Plunge — it is an unpriced, stale mark and among the first names to re-underwrite. Stripe is the opposite end of the confidence spectrum: MARKET-PRICED off a live, recurring employee tender ($159B post, 24-Feb-26, up from ~$140B guided 9-Feb-26 and ~$91.5B in the Feb-25 tender), with payment volume +34% YoY — the most liquid, best-evidenced mark in the sleeve. Both checks were funded by trimming the other seven positions pro-rata (×0.7× of prior check size) so total sleeve checks stay at exactly $200M, matching the Holdco Summary sleeve cap.</t>
  </si>
  <si>
    <t xml:space="preserve">PME, DPI &amp; PROBABILITY PRESSURE TEST</t>
  </si>
  <si>
    <t xml:space="preserve">DPI/TVPI, KS-PME &amp; Direct Alpha vs SPX/NDX, and Expected Net IRR sensitivity to the TSMC-Shock probability. Rows 11-69 = IQT-mirror sleeve ($250M) only; rows 72+ = total $840M holdco (all three sleeves) — ties to IC Summary headline.</t>
  </si>
  <si>
    <t xml:space="preserve">PUBLIC-MARKET BENCHMARK ASSUMPTIONS (blue = lever)</t>
  </si>
  <si>
    <t xml:space="preserve">Long-run total-return assumptions; edit to your house view. KS-PME&gt;1.0x = beat the index.</t>
  </si>
  <si>
    <t xml:space="preserve">Method: single terminal exit -&gt; KS-PME = Net MOIC / index total-return multiple over the hold; Direct Alpha = KS-PME^(1/Hold)-1 (annualized outperformance). Paid-in assumed fully drawn = committed, so Net DPI = Net MOIC and RVPI=0 at exit (TVPI=DPI).</t>
  </si>
  <si>
    <t xml:space="preserve">IQT-MIRROR SLEEVE ($250M) — 5-YEAR DPI &amp; PME</t>
  </si>
  <si>
    <t xml:space="preserve">Net DPI (to LP; =TVPI at exit)</t>
  </si>
  <si>
    <t xml:space="preserve">Gross DPI (deal-level)</t>
  </si>
  <si>
    <t xml:space="preserve">SPX total-return multiple</t>
  </si>
  <si>
    <t xml:space="preserve">Net KS-PME vs SPX</t>
  </si>
  <si>
    <t xml:space="preserve">Direct Alpha vs SPX (ann.)</t>
  </si>
  <si>
    <t xml:space="preserve">NDX total-return multiple</t>
  </si>
  <si>
    <t xml:space="preserve">Net KS-PME vs NDX</t>
  </si>
  <si>
    <t xml:space="preserve">Direct Alpha vs NDX (ann.)</t>
  </si>
  <si>
    <t xml:space="preserve">memo: Gross KS-PME vs SPX</t>
  </si>
  <si>
    <t xml:space="preserve">memo: Gross KS-PME vs NDX</t>
  </si>
  <si>
    <t xml:space="preserve">IQT-MIRROR SLEEVE ($250M) — 7-YEAR DPI &amp; PME</t>
  </si>
  <si>
    <t xml:space="preserve">IQT-MIRROR SLEEVE ($250M) — 10-YEAR DPI &amp; PME</t>
  </si>
  <si>
    <t xml:space="preserve">IQT-MIRROR SLEEVE ($250M) — TSMC-SHOCK PROBABILITY PRESSURE TEST</t>
  </si>
  <si>
    <t xml:space="preserve">Expected Net IRR to LP (IQT-mirror sleeve only) as the TSMC-Shock probability varies. Base/Bull/Bear keep their current relative weights; shock takes the remainder. The row flagged 'current base case' matches Defense Supercycle!B20.</t>
  </si>
  <si>
    <t xml:space="preserve">Shock probability</t>
  </si>
  <si>
    <t xml:space="preserve">5-yr Net IRR</t>
  </si>
  <si>
    <t xml:space="preserve">7-yr Net IRR</t>
  </si>
  <si>
    <t xml:space="preserve">10-yr Net IRR</t>
  </si>
  <si>
    <t xml:space="preserve">Note</t>
  </si>
  <si>
    <t xml:space="preserve">shock excluded</t>
  </si>
  <si>
    <t xml:space="preserve">TOTAL HOLDCO ($840M) — DPI &amp; PME BY HOLD (Expected, probability-weighted)</t>
  </si>
  <si>
    <t xml:space="preserve">5-yr</t>
  </si>
  <si>
    <t xml:space="preserve">7-yr</t>
  </si>
  <si>
    <t xml:space="preserve">10-yr</t>
  </si>
  <si>
    <t xml:space="preserve">Net KS-PME vs Defense+Semis basket</t>
  </si>
  <si>
    <t xml:space="preserve">Links to Holdco Summary roll-ups (rows 38-44 / 59-65 / 80-86). Holdco = IQT-mirror + Weapons + Consumer/Value, 2%/8%/20% on $840M.</t>
  </si>
  <si>
    <t xml:space="preserve">TOTAL HOLDCO ($840M) — TSMC-SHOCK PROBABILITY PRESSURE TEST</t>
  </si>
  <si>
    <t xml:space="preserve">Expected holdco Net IRR to LP as the TSMC-Shock probability varies (all three sleeves). Base/Bull/Bear keep their current relative weights; shock takes the remainder.</t>
  </si>
  <si>
    <t xml:space="preserve">WEAPONS BOOK SLEEVE ($390M) — DPI &amp; PME BY HOLD (Expected, probability-weighted)</t>
  </si>
  <si>
    <t xml:space="preserve">Gross = sleeve proceeds from Weapons Sleeve tab. Net = gross × holdco expected net/gross ratio (pro-rata allocation of carry + fees; fees/carry are charged at holdco level).</t>
  </si>
  <si>
    <t xml:space="preserve">Hold period (yrs)</t>
  </si>
  <si>
    <t xml:space="preserve">Capital committed ($M)</t>
  </si>
  <si>
    <t xml:space="preserve">Expected gross proceeds ($M)</t>
  </si>
  <si>
    <t xml:space="preserve">Net/gross allocation factor (holdco)</t>
  </si>
  <si>
    <t xml:space="preserve">Allocated net proceeds to LP ($M)</t>
  </si>
  <si>
    <t xml:space="preserve">Net MOIC / DPI (=TVPI at exit)</t>
  </si>
  <si>
    <t xml:space="preserve">WEAPONS BOOK SLEEVE — 7-YR BY SCENARIO (Gross)</t>
  </si>
  <si>
    <t xml:space="preserve">Scenario weight</t>
  </si>
  <si>
    <t xml:space="preserve">Gross proceeds ($M)</t>
  </si>
  <si>
    <t xml:space="preserve">Gross KS-PME vs Defense+Semis basket</t>
  </si>
  <si>
    <t xml:space="preserve">IQT-MIRROR SLEEVE — SCENARIO SUMMARY</t>
  </si>
  <si>
    <t xml:space="preserve">IQT-mirror sleeve ($250M) net-to-LP across 5/7/10-yr vehicles, four cases + probability-weighted Expected. Holdco-level results are on the IC Summary / Holdco Summary tabs. Green links to Fund Economics.</t>
  </si>
  <si>
    <t xml:space="preserve">NET IRR TO LP</t>
  </si>
  <si>
    <t xml:space="preserve">NET MOIC TO LP</t>
  </si>
  <si>
    <t xml:space="preserve">NET PROCEEDS TO LP ($M)</t>
  </si>
  <si>
    <t xml:space="preserve">• Expected (prob-weighted) is the number to underwrite to; the four scenario columns show the distribution around it.</t>
  </si>
  <si>
    <t xml:space="preserve">• TSMC-Shock is the convexity leg — it lifts Expected returns materially precisely because the book is overweight the US sovereign-chokepoint core (Substrate, EUV Tech, ThinTronics). Dial its probability on the Supercycle tab.</t>
  </si>
  <si>
    <t xml:space="preserve">• Base still clears a mid-teens net IRR; Bear is cushioned by the rev-generating semis names; seed names approach write-off in Bear but are sized small.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</si>
</sst>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%;\(0.0%\);\-"/>
    <numFmt numFmtId="166" formatCode="0.00\x"/>
    <numFmt numFmtId="167" formatCode="\$#,##0.0;&quot;($&quot;#,##0.0\);\-"/>
    <numFmt numFmtId="168" formatCode="\$#,##0;&quot;($&quot;#,##0\);\-"/>
    <numFmt numFmtId="169" formatCode="0"/>
    <numFmt numFmtId="170" formatCode="\$#,##0.0"/>
    <numFmt numFmtId="171" formatCode="\$#,##0;&quot;($&quot;#,##0\);\-"/>
    <numFmt numFmtId="172" formatCode="0.0%"/>
    <numFmt numFmtId="173" formatCode="\$#,##0.0;&quot;($&quot;#,##0.0\);\-"/>
    <numFmt numFmtId="174" formatCode="0.00"/>
    <numFmt numFmtId="175" formatCode="0.0"/>
    <numFmt numFmtId="176" formatCode="0.0\x"/>
    <numFmt numFmtId="177" formatCode="0%"/>
    <numFmt numFmtId="178" formatCode="\$#,##0.0"/>
    <numFmt numFmtId="179" formatCode="0.00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5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FF"/>
      <name val="Arial"/>
      <family val="2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FF"/>
      <name val="Arial"/>
      <family val="2"/>
      <charset val="1"/>
    </font>
    <font>
      <sz val="9"/>
      <color rgb="FF555555"/>
      <name val="Arial"/>
      <family val="0"/>
      <charset val="1"/>
    </font>
    <font>
      <b val="true"/>
      <sz val="15"/>
      <color rgb="FF1F2A44"/>
      <name val="Arial"/>
      <family val="2"/>
      <charset val="1"/>
    </font>
    <font>
      <b val="true"/>
      <sz val="10"/>
      <color rgb="FF1F2A4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i val="true"/>
      <sz val="9"/>
      <color rgb="FF555555"/>
      <name val="Arial"/>
      <family val="2"/>
      <charset val="1"/>
    </font>
    <font>
      <i val="true"/>
      <sz val="10"/>
      <color rgb="FF555555"/>
      <name val="Arial"/>
      <family val="2"/>
      <charset val="1"/>
    </font>
    <font>
      <b val="true"/>
      <sz val="11"/>
      <color rgb="FF1F2A44"/>
      <name val="Calibri"/>
      <family val="2"/>
      <charset val="1"/>
    </font>
    <font>
      <i val="true"/>
      <sz val="11"/>
      <color rgb="FF555555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EAEEF5"/>
        <bgColor rgb="FFF2F2F2"/>
      </patternFill>
    </fill>
    <fill>
      <patternFill patternType="solid">
        <fgColor rgb="FFFCE9DD"/>
        <bgColor rgb="FFFCE4E4"/>
      </patternFill>
    </fill>
    <fill>
      <patternFill patternType="solid">
        <fgColor rgb="FFFFF2CC"/>
        <bgColor rgb="FFFCE9DD"/>
      </patternFill>
    </fill>
    <fill>
      <patternFill patternType="solid">
        <fgColor rgb="FF2E4374"/>
        <bgColor rgb="FF1F2A44"/>
      </patternFill>
    </fill>
    <fill>
      <patternFill patternType="solid">
        <fgColor rgb="FFE2EFDA"/>
        <bgColor rgb="FFEAF2E6"/>
      </patternFill>
    </fill>
    <fill>
      <patternFill patternType="solid">
        <fgColor rgb="FF7A3B2E"/>
        <bgColor rgb="FF993366"/>
      </patternFill>
    </fill>
    <fill>
      <patternFill patternType="solid">
        <fgColor rgb="FFF2F2F2"/>
        <bgColor rgb="FFEAEEF5"/>
      </patternFill>
    </fill>
    <fill>
      <patternFill patternType="solid">
        <fgColor rgb="FF3E5C3A"/>
        <bgColor rgb="FF3E5E3A"/>
      </patternFill>
    </fill>
    <fill>
      <patternFill patternType="solid">
        <fgColor rgb="FFEAF2E6"/>
        <bgColor rgb="FFEAEEF5"/>
      </patternFill>
    </fill>
    <fill>
      <patternFill patternType="solid">
        <fgColor rgb="FFFCE4E4"/>
        <bgColor rgb="FFFCE9DD"/>
      </patternFill>
    </fill>
    <fill>
      <patternFill patternType="solid">
        <fgColor rgb="FFD9E8D4"/>
        <bgColor rgb="FFE2EFDA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F2A44"/>
      </top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BBBBB"/>
      </bottom>
      <diagonal/>
    </border>
    <border diagonalUp="false" diagonalDown="false">
      <left/>
      <right/>
      <top style="thin">
        <color rgb="FFBBBBBB"/>
      </top>
      <bottom style="thin">
        <color rgb="FFBBBBBB"/>
      </bottom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2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15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3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2E6"/>
      <rgbColor rgb="FF660066"/>
      <rgbColor rgb="FFFF8080"/>
      <rgbColor rgb="FF0066CC"/>
      <rgbColor rgb="FFD9E8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5"/>
      <rgbColor rgb="FFE2EFDA"/>
      <rgbColor rgb="FFFCE9DD"/>
      <rgbColor rgb="FFBBBBBB"/>
      <rgbColor rgb="FFF2F2F2"/>
      <rgbColor rgb="FFCC99FF"/>
      <rgbColor rgb="FFFCE4E4"/>
      <rgbColor rgb="FF3366FF"/>
      <rgbColor rgb="FF33CCCC"/>
      <rgbColor rgb="FF99CC00"/>
      <rgbColor rgb="FFFFCC00"/>
      <rgbColor rgb="FFFF9900"/>
      <rgbColor rgb="FFC65911"/>
      <rgbColor rgb="FF555555"/>
      <rgbColor rgb="FF969696"/>
      <rgbColor rgb="FF003366"/>
      <rgbColor rgb="FF3E5E3A"/>
      <rgbColor rgb="FF003300"/>
      <rgbColor rgb="FF3E5C3A"/>
      <rgbColor rgb="FF7A3B2E"/>
      <rgbColor rgb="FF993366"/>
      <rgbColor rgb="FF2E4374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6"/>
  </cols>
  <sheetData>
    <row r="1" customFormat="false" ht="21.75" hidden="false" customHeight="true" outlineLevel="0" collapsed="false">
      <c r="A1" s="1"/>
      <c r="B1" s="2" t="s">
        <v>0</v>
      </c>
    </row>
    <row r="2" customFormat="false" ht="30.75" hidden="false" customHeight="true" outlineLevel="0" collapsed="false">
      <c r="A2" s="1"/>
      <c r="B2" s="3" t="s">
        <v>1</v>
      </c>
    </row>
    <row r="3" customFormat="false" ht="15" hidden="false" customHeight="true" outlineLevel="0" collapsed="false">
      <c r="A3" s="1"/>
      <c r="B3" s="4" t="s">
        <v>2</v>
      </c>
    </row>
    <row r="4" customFormat="false" ht="15" hidden="false" customHeight="true" outlineLevel="0" collapsed="false">
      <c r="A4" s="1"/>
      <c r="B4" s="1"/>
    </row>
    <row r="5" customFormat="false" ht="15" hidden="false" customHeight="true" outlineLevel="0" collapsed="false">
      <c r="A5" s="1"/>
      <c r="B5" s="5" t="s">
        <v>3</v>
      </c>
    </row>
    <row r="6" customFormat="false" ht="78.75" hidden="false" customHeight="true" outlineLevel="0" collapsed="false">
      <c r="A6" s="1"/>
      <c r="B6" s="6" t="s">
        <v>4</v>
      </c>
    </row>
    <row r="7" customFormat="false" ht="25.5" hidden="false" customHeight="true" outlineLevel="0" collapsed="false">
      <c r="A7" s="1"/>
      <c r="B7" s="4" t="s">
        <v>5</v>
      </c>
    </row>
    <row r="8" customFormat="false" ht="15" hidden="false" customHeight="true" outlineLevel="0" collapsed="false">
      <c r="A8" s="1"/>
      <c r="B8" s="7" t="s">
        <v>6</v>
      </c>
    </row>
    <row r="9" customFormat="false" ht="66" hidden="false" customHeight="true" outlineLevel="0" collapsed="false">
      <c r="A9" s="1"/>
      <c r="B9" s="6" t="s">
        <v>7</v>
      </c>
    </row>
    <row r="10" customFormat="false" ht="15" hidden="false" customHeight="true" outlineLevel="0" collapsed="false">
      <c r="A10" s="1"/>
      <c r="B10" s="1"/>
    </row>
    <row r="11" customFormat="false" ht="15" hidden="false" customHeight="true" outlineLevel="0" collapsed="false">
      <c r="A11" s="1"/>
      <c r="B11" s="5" t="s">
        <v>8</v>
      </c>
    </row>
    <row r="12" customFormat="false" ht="27.75" hidden="false" customHeight="true" outlineLevel="0" collapsed="false">
      <c r="A12" s="1"/>
      <c r="B12" s="8" t="s">
        <v>9</v>
      </c>
    </row>
    <row r="13" customFormat="false" ht="27.75" hidden="false" customHeight="true" outlineLevel="0" collapsed="false">
      <c r="A13" s="1"/>
      <c r="B13" s="6" t="s">
        <v>10</v>
      </c>
    </row>
    <row r="14" customFormat="false" ht="15" hidden="false" customHeight="true" outlineLevel="0" collapsed="false">
      <c r="A14" s="1"/>
      <c r="B14" s="6" t="s">
        <v>11</v>
      </c>
    </row>
    <row r="15" customFormat="false" ht="15" hidden="false" customHeight="true" outlineLevel="0" collapsed="false">
      <c r="A15" s="1"/>
      <c r="B15" s="6" t="s">
        <v>12</v>
      </c>
    </row>
    <row r="16" customFormat="false" ht="27.75" hidden="false" customHeight="true" outlineLevel="0" collapsed="false">
      <c r="A16" s="1"/>
      <c r="B16" s="6" t="s">
        <v>13</v>
      </c>
    </row>
    <row r="17" customFormat="false" ht="15" hidden="false" customHeight="true" outlineLevel="0" collapsed="false">
      <c r="A17" s="1"/>
      <c r="B17" s="6" t="s">
        <v>14</v>
      </c>
    </row>
    <row r="18" customFormat="false" ht="15" hidden="false" customHeight="true" outlineLevel="0" collapsed="false">
      <c r="A18" s="1"/>
      <c r="B18" s="6" t="s">
        <v>15</v>
      </c>
    </row>
    <row r="19" customFormat="false" ht="15" hidden="false" customHeight="true" outlineLevel="0" collapsed="false">
      <c r="A19" s="1"/>
      <c r="B19" s="5" t="s">
        <v>16</v>
      </c>
    </row>
    <row r="20" customFormat="false" ht="66" hidden="false" customHeight="true" outlineLevel="0" collapsed="false">
      <c r="A20" s="1"/>
      <c r="B20" s="6" t="s">
        <v>17</v>
      </c>
    </row>
    <row r="21" customFormat="false" ht="15" hidden="false" customHeight="true" outlineLevel="0" collapsed="false">
      <c r="A21" s="1"/>
      <c r="B21" s="1"/>
    </row>
    <row r="22" customFormat="false" ht="15" hidden="false" customHeight="true" outlineLevel="0" collapsed="false">
      <c r="A22" s="1"/>
      <c r="B22" s="9" t="s">
        <v>18</v>
      </c>
    </row>
    <row r="23" customFormat="false" ht="40.5" hidden="false" customHeight="true" outlineLevel="0" collapsed="false">
      <c r="A23" s="1"/>
      <c r="B23" s="6" t="s">
        <v>19</v>
      </c>
    </row>
    <row r="24" customFormat="false" ht="27.75" hidden="false" customHeight="true" outlineLevel="0" collapsed="false">
      <c r="A24" s="1"/>
      <c r="B24" s="6" t="s">
        <v>20</v>
      </c>
    </row>
    <row r="25" customFormat="false" ht="27.75" hidden="false" customHeight="true" outlineLevel="0" collapsed="false">
      <c r="A25" s="1"/>
      <c r="B25" s="6" t="s">
        <v>21</v>
      </c>
    </row>
    <row r="26" customFormat="false" ht="40.5" hidden="false" customHeight="true" outlineLevel="0" collapsed="false">
      <c r="A26" s="1"/>
      <c r="B26" s="6" t="s">
        <v>22</v>
      </c>
    </row>
    <row r="27" customFormat="false" ht="27.75" hidden="false" customHeight="true" outlineLevel="0" collapsed="false">
      <c r="A27" s="1"/>
      <c r="B27" s="6" t="s">
        <v>23</v>
      </c>
    </row>
  </sheetData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G8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</cols>
  <sheetData>
    <row r="1" customFormat="false" ht="18.75" hidden="false" customHeight="true" outlineLevel="0" collapsed="false">
      <c r="A1" s="10" t="s">
        <v>24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11" t="s">
        <v>25</v>
      </c>
      <c r="B2" s="11"/>
      <c r="C2" s="11"/>
      <c r="D2" s="11"/>
      <c r="E2" s="11"/>
      <c r="F2" s="11"/>
      <c r="G2" s="1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2" t="s">
        <v>26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27</v>
      </c>
      <c r="B5" s="15" t="s">
        <v>28</v>
      </c>
      <c r="C5" s="15" t="s">
        <v>29</v>
      </c>
      <c r="D5" s="15" t="s">
        <v>30</v>
      </c>
      <c r="E5" s="15" t="s">
        <v>31</v>
      </c>
      <c r="F5" s="15" t="s">
        <v>32</v>
      </c>
      <c r="G5" s="15"/>
    </row>
    <row r="6" customFormat="false" ht="15" hidden="false" customHeight="false" outlineLevel="0" collapsed="false">
      <c r="A6" s="16" t="s">
        <v>33</v>
      </c>
      <c r="B6" s="17" t="n">
        <f aca="false">'Holdco Summary'!F61</f>
        <v>0.194652720360569</v>
      </c>
      <c r="C6" s="18" t="n">
        <f aca="false">'Holdco Summary'!F59</f>
        <v>3.47289565262861</v>
      </c>
      <c r="D6" s="19" t="n">
        <f aca="false">'Holdco Summary'!F58</f>
        <v>2917.23234820803</v>
      </c>
      <c r="E6" s="18" t="n">
        <f aca="false">'Holdco Summary'!F64</f>
        <v>1.30559011161098</v>
      </c>
      <c r="F6" s="18" t="n">
        <f aca="false">'Holdco Summary'!F62</f>
        <v>1.89979285075533</v>
      </c>
      <c r="G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</row>
    <row r="8" customFormat="false" ht="15" hidden="false" customHeight="false" outlineLevel="0" collapsed="false">
      <c r="A8" s="12" t="s">
        <v>34</v>
      </c>
      <c r="B8" s="13"/>
      <c r="C8" s="13"/>
      <c r="D8" s="13"/>
      <c r="E8" s="13"/>
      <c r="F8" s="13"/>
      <c r="G8" s="13"/>
    </row>
    <row r="9" customFormat="false" ht="15" hidden="false" customHeight="false" outlineLevel="0" collapsed="false">
      <c r="A9" s="14" t="s">
        <v>35</v>
      </c>
      <c r="B9" s="15" t="s">
        <v>36</v>
      </c>
      <c r="C9" s="15" t="s">
        <v>37</v>
      </c>
      <c r="D9" s="15" t="s">
        <v>38</v>
      </c>
      <c r="E9" s="15" t="s">
        <v>39</v>
      </c>
      <c r="F9" s="15" t="s">
        <v>40</v>
      </c>
      <c r="G9" s="15"/>
    </row>
    <row r="10" customFormat="false" ht="15" hidden="false" customHeight="false" outlineLevel="0" collapsed="false">
      <c r="A10" s="20" t="s">
        <v>41</v>
      </c>
      <c r="B10" s="21" t="n">
        <f aca="false">'Holdco Summary'!B40</f>
        <v>0.157339269213003</v>
      </c>
      <c r="C10" s="21" t="n">
        <f aca="false">'Holdco Summary'!C40</f>
        <v>0.27428658831713</v>
      </c>
      <c r="D10" s="21" t="n">
        <f aca="false">'Holdco Summary'!D40</f>
        <v>-0.0523453905389164</v>
      </c>
      <c r="E10" s="21" t="n">
        <f aca="false">'Holdco Summary'!E40</f>
        <v>0.214355832416136</v>
      </c>
      <c r="F10" s="17" t="n">
        <f aca="false">'Holdco Summary'!F40</f>
        <v>0.179727022553126</v>
      </c>
      <c r="G10" s="1"/>
    </row>
    <row r="11" customFormat="false" ht="15" hidden="false" customHeight="false" outlineLevel="0" collapsed="false">
      <c r="A11" s="20" t="s">
        <v>42</v>
      </c>
      <c r="B11" s="21" t="n">
        <f aca="false">'Holdco Summary'!B61</f>
        <v>0.16130616532457</v>
      </c>
      <c r="C11" s="21" t="n">
        <f aca="false">'Holdco Summary'!C61</f>
        <v>0.283047231841675</v>
      </c>
      <c r="D11" s="21" t="n">
        <f aca="false">'Holdco Summary'!D61</f>
        <v>-0.0494637815384494</v>
      </c>
      <c r="E11" s="21" t="n">
        <f aca="false">'Holdco Summary'!E61</f>
        <v>0.234350090993351</v>
      </c>
      <c r="F11" s="17" t="n">
        <f aca="false">'Holdco Summary'!F61</f>
        <v>0.194652720360569</v>
      </c>
      <c r="G11" s="1"/>
    </row>
    <row r="12" customFormat="false" ht="15" hidden="false" customHeight="false" outlineLevel="0" collapsed="false">
      <c r="A12" s="20" t="s">
        <v>43</v>
      </c>
      <c r="B12" s="21" t="n">
        <f aca="false">'Holdco Summary'!B82</f>
        <v>0.166980417765083</v>
      </c>
      <c r="C12" s="21" t="n">
        <f aca="false">'Holdco Summary'!C82</f>
        <v>0.29410141429248</v>
      </c>
      <c r="D12" s="21" t="n">
        <f aca="false">'Holdco Summary'!D82</f>
        <v>-0.0449281064013584</v>
      </c>
      <c r="E12" s="21" t="n">
        <f aca="false">'Holdco Summary'!E82</f>
        <v>0.257298629469196</v>
      </c>
      <c r="F12" s="17" t="n">
        <f aca="false">'Holdco Summary'!F82</f>
        <v>0.214407003929896</v>
      </c>
      <c r="G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</row>
    <row r="14" customFormat="false" ht="15" hidden="false" customHeight="false" outlineLevel="0" collapsed="false">
      <c r="A14" s="12" t="s">
        <v>44</v>
      </c>
      <c r="B14" s="13"/>
      <c r="C14" s="13"/>
      <c r="D14" s="13"/>
      <c r="E14" s="13"/>
      <c r="F14" s="13"/>
      <c r="G14" s="13"/>
    </row>
    <row r="15" customFormat="false" ht="15" hidden="false" customHeight="false" outlineLevel="0" collapsed="false">
      <c r="A15" s="14" t="s">
        <v>35</v>
      </c>
      <c r="B15" s="15" t="s">
        <v>36</v>
      </c>
      <c r="C15" s="15" t="s">
        <v>37</v>
      </c>
      <c r="D15" s="15" t="s">
        <v>38</v>
      </c>
      <c r="E15" s="15" t="s">
        <v>39</v>
      </c>
      <c r="F15" s="15" t="s">
        <v>40</v>
      </c>
      <c r="G15" s="15"/>
    </row>
    <row r="16" customFormat="false" ht="15" hidden="false" customHeight="false" outlineLevel="0" collapsed="false">
      <c r="A16" s="20" t="s">
        <v>41</v>
      </c>
      <c r="B16" s="22" t="n">
        <f aca="false">'Holdco Summary'!B38</f>
        <v>2.07636378842861</v>
      </c>
      <c r="C16" s="22" t="n">
        <f aca="false">'Holdco Summary'!C38</f>
        <v>3.3599712492824</v>
      </c>
      <c r="D16" s="22" t="n">
        <f aca="false">'Holdco Summary'!D38</f>
        <v>0.76427630791383</v>
      </c>
      <c r="E16" s="22" t="n">
        <f aca="false">'Holdco Summary'!E38</f>
        <v>2.64076536356232</v>
      </c>
      <c r="F16" s="18" t="n">
        <f aca="false">'Holdco Summary'!F38</f>
        <v>2.2851127678349</v>
      </c>
      <c r="G16" s="1"/>
    </row>
    <row r="17" customFormat="false" ht="15" hidden="false" customHeight="false" outlineLevel="0" collapsed="false">
      <c r="A17" s="20" t="s">
        <v>42</v>
      </c>
      <c r="B17" s="22" t="n">
        <f aca="false">'Holdco Summary'!B59</f>
        <v>2.84857148043464</v>
      </c>
      <c r="C17" s="22" t="n">
        <f aca="false">'Holdco Summary'!C59</f>
        <v>5.72398527879642</v>
      </c>
      <c r="D17" s="22" t="n">
        <f aca="false">'Holdco Summary'!D59</f>
        <v>0.701101161584116</v>
      </c>
      <c r="E17" s="22" t="n">
        <f aca="false">'Holdco Summary'!E59</f>
        <v>4.36584661664198</v>
      </c>
      <c r="F17" s="18" t="n">
        <f aca="false">'Holdco Summary'!F59</f>
        <v>3.47289565262861</v>
      </c>
      <c r="G17" s="1"/>
    </row>
    <row r="18" customFormat="false" ht="15" hidden="false" customHeight="false" outlineLevel="0" collapsed="false">
      <c r="A18" s="20" t="s">
        <v>43</v>
      </c>
      <c r="B18" s="22" t="n">
        <f aca="false">'Holdco Summary'!B80</f>
        <v>4.68420275655465</v>
      </c>
      <c r="C18" s="22" t="n">
        <f aca="false">'Holdco Summary'!C80</f>
        <v>13.1729522739643</v>
      </c>
      <c r="D18" s="22" t="n">
        <f aca="false">'Holdco Summary'!D80</f>
        <v>0.631481520303096</v>
      </c>
      <c r="E18" s="22" t="n">
        <f aca="false">'Holdco Summary'!E80</f>
        <v>9.87152890374393</v>
      </c>
      <c r="F18" s="18" t="n">
        <f aca="false">'Holdco Summary'!F80</f>
        <v>6.97658087254771</v>
      </c>
      <c r="G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2" t="s">
        <v>45</v>
      </c>
      <c r="B20" s="13"/>
      <c r="C20" s="13"/>
      <c r="D20" s="13"/>
      <c r="E20" s="13"/>
      <c r="F20" s="13"/>
      <c r="G20" s="13"/>
    </row>
    <row r="21" customFormat="false" ht="15" hidden="false" customHeight="false" outlineLevel="0" collapsed="false">
      <c r="A21" s="14" t="s">
        <v>35</v>
      </c>
      <c r="B21" s="15" t="s">
        <v>36</v>
      </c>
      <c r="C21" s="15" t="s">
        <v>37</v>
      </c>
      <c r="D21" s="15" t="s">
        <v>38</v>
      </c>
      <c r="E21" s="15" t="s">
        <v>39</v>
      </c>
      <c r="F21" s="15" t="s">
        <v>40</v>
      </c>
      <c r="G21" s="15"/>
    </row>
    <row r="22" customFormat="false" ht="15" hidden="false" customHeight="false" outlineLevel="0" collapsed="false">
      <c r="A22" s="20" t="s">
        <v>41</v>
      </c>
      <c r="B22" s="23" t="n">
        <f aca="false">'Holdco Summary'!B37</f>
        <v>1744.14558228004</v>
      </c>
      <c r="C22" s="23" t="n">
        <f aca="false">'Holdco Summary'!C37</f>
        <v>2822.37584939722</v>
      </c>
      <c r="D22" s="23" t="n">
        <f aca="false">'Holdco Summary'!D37</f>
        <v>641.992098647617</v>
      </c>
      <c r="E22" s="23" t="n">
        <f aca="false">'Holdco Summary'!E37</f>
        <v>2218.24290539235</v>
      </c>
      <c r="F22" s="19" t="n">
        <f aca="false">'Holdco Summary'!F37</f>
        <v>1919.49472498131</v>
      </c>
      <c r="G22" s="1"/>
    </row>
    <row r="23" customFormat="false" ht="15" hidden="false" customHeight="false" outlineLevel="0" collapsed="false">
      <c r="A23" s="20" t="s">
        <v>42</v>
      </c>
      <c r="B23" s="23" t="n">
        <f aca="false">'Holdco Summary'!B58</f>
        <v>2392.8000435651</v>
      </c>
      <c r="C23" s="23" t="n">
        <f aca="false">'Holdco Summary'!C58</f>
        <v>4808.14763418899</v>
      </c>
      <c r="D23" s="23" t="n">
        <f aca="false">'Holdco Summary'!D58</f>
        <v>588.924975730658</v>
      </c>
      <c r="E23" s="23" t="n">
        <f aca="false">'Holdco Summary'!E58</f>
        <v>3667.31115797926</v>
      </c>
      <c r="F23" s="19" t="n">
        <f aca="false">'Holdco Summary'!F58</f>
        <v>2917.23234820803</v>
      </c>
      <c r="G23" s="1"/>
    </row>
    <row r="24" customFormat="false" ht="15" hidden="false" customHeight="false" outlineLevel="0" collapsed="false">
      <c r="A24" s="20" t="s">
        <v>43</v>
      </c>
      <c r="B24" s="23" t="n">
        <f aca="false">'Holdco Summary'!B79</f>
        <v>3934.7303155059</v>
      </c>
      <c r="C24" s="23" t="n">
        <f aca="false">'Holdco Summary'!C79</f>
        <v>11065.27991013</v>
      </c>
      <c r="D24" s="23" t="n">
        <f aca="false">'Holdco Summary'!D79</f>
        <v>530.444477054601</v>
      </c>
      <c r="E24" s="23" t="n">
        <f aca="false">'Holdco Summary'!E79</f>
        <v>8292.0842791449</v>
      </c>
      <c r="F24" s="19" t="n">
        <f aca="false">'Holdco Summary'!F79</f>
        <v>5860.32793294008</v>
      </c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2" t="s">
        <v>46</v>
      </c>
      <c r="B26" s="13"/>
      <c r="C26" s="13"/>
      <c r="D26" s="13"/>
      <c r="E26" s="13"/>
      <c r="F26" s="13"/>
      <c r="G26" s="13"/>
    </row>
    <row r="27" customFormat="false" ht="15" hidden="false" customHeight="false" outlineLevel="0" collapsed="false">
      <c r="A27" s="14" t="s">
        <v>35</v>
      </c>
      <c r="B27" s="15" t="s">
        <v>36</v>
      </c>
      <c r="C27" s="15" t="s">
        <v>37</v>
      </c>
      <c r="D27" s="15" t="s">
        <v>38</v>
      </c>
      <c r="E27" s="15" t="s">
        <v>39</v>
      </c>
      <c r="F27" s="15" t="s">
        <v>40</v>
      </c>
      <c r="G27" s="15"/>
    </row>
    <row r="28" customFormat="false" ht="15" hidden="false" customHeight="false" outlineLevel="0" collapsed="false">
      <c r="A28" s="20" t="s">
        <v>41</v>
      </c>
      <c r="B28" s="22" t="n">
        <f aca="false">'Holdco Summary'!B43</f>
        <v>1.03231976962253</v>
      </c>
      <c r="C28" s="22" t="n">
        <f aca="false">'Holdco Summary'!C43</f>
        <v>1.67049953641434</v>
      </c>
      <c r="D28" s="22" t="n">
        <f aca="false">'Holdco Summary'!D43</f>
        <v>0.379980399634428</v>
      </c>
      <c r="E28" s="22" t="n">
        <f aca="false">'Holdco Summary'!E43</f>
        <v>1.31292710214472</v>
      </c>
      <c r="F28" s="18" t="n">
        <f aca="false">'Holdco Summary'!F43</f>
        <v>1.13610490570059</v>
      </c>
      <c r="G28" s="1"/>
    </row>
    <row r="29" customFormat="false" ht="15" hidden="false" customHeight="false" outlineLevel="0" collapsed="false">
      <c r="A29" s="20" t="s">
        <v>42</v>
      </c>
      <c r="B29" s="22" t="n">
        <f aca="false">'Holdco Summary'!B64</f>
        <v>1.07088353036394</v>
      </c>
      <c r="C29" s="22" t="n">
        <f aca="false">'Holdco Summary'!C64</f>
        <v>2.15185808227408</v>
      </c>
      <c r="D29" s="22" t="n">
        <f aca="false">'Holdco Summary'!D64</f>
        <v>0.263569895372574</v>
      </c>
      <c r="E29" s="22" t="n">
        <f aca="false">'Holdco Summary'!E64</f>
        <v>1.64128345381863</v>
      </c>
      <c r="F29" s="18" t="n">
        <f aca="false">'Holdco Summary'!F64</f>
        <v>1.30559011161098</v>
      </c>
      <c r="G29" s="1"/>
    </row>
    <row r="30" customFormat="false" ht="15" hidden="false" customHeight="false" outlineLevel="0" collapsed="false">
      <c r="A30" s="20" t="s">
        <v>43</v>
      </c>
      <c r="B30" s="22" t="n">
        <f aca="false">'Holdco Summary'!B85</f>
        <v>1.15786328179419</v>
      </c>
      <c r="C30" s="22" t="n">
        <f aca="false">'Holdco Summary'!C85</f>
        <v>3.25615233659722</v>
      </c>
      <c r="D30" s="22" t="n">
        <f aca="false">'Holdco Summary'!D85</f>
        <v>0.15609257401751</v>
      </c>
      <c r="E30" s="22" t="n">
        <f aca="false">'Holdco Summary'!E85</f>
        <v>2.44009097104545</v>
      </c>
      <c r="F30" s="18" t="n">
        <f aca="false">'Holdco Summary'!F85</f>
        <v>1.72450409271614</v>
      </c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2" t="s">
        <v>47</v>
      </c>
      <c r="B32" s="13"/>
      <c r="C32" s="13"/>
      <c r="D32" s="13"/>
      <c r="E32" s="13"/>
      <c r="F32" s="13"/>
      <c r="G32" s="13"/>
    </row>
    <row r="33" customFormat="false" ht="15" hidden="false" customHeight="false" outlineLevel="0" collapsed="false">
      <c r="A33" s="14" t="s">
        <v>35</v>
      </c>
      <c r="B33" s="15" t="s">
        <v>36</v>
      </c>
      <c r="C33" s="15" t="s">
        <v>37</v>
      </c>
      <c r="D33" s="15" t="s">
        <v>38</v>
      </c>
      <c r="E33" s="15" t="s">
        <v>39</v>
      </c>
      <c r="F33" s="15" t="s">
        <v>40</v>
      </c>
      <c r="G33" s="15"/>
    </row>
    <row r="34" customFormat="false" ht="15" hidden="false" customHeight="false" outlineLevel="0" collapsed="false">
      <c r="A34" s="20" t="s">
        <v>41</v>
      </c>
      <c r="B34" s="22" t="n">
        <f aca="false">'Holdco Summary'!B41</f>
        <v>1.34949399547309</v>
      </c>
      <c r="C34" s="22" t="n">
        <f aca="false">'Holdco Summary'!C41</f>
        <v>2.18375077196869</v>
      </c>
      <c r="D34" s="22" t="n">
        <f aca="false">'Holdco Summary'!D41</f>
        <v>0.496727160317416</v>
      </c>
      <c r="E34" s="22" t="n">
        <f aca="false">'Holdco Summary'!E41</f>
        <v>1.71631629362871</v>
      </c>
      <c r="F34" s="18" t="n">
        <f aca="false">'Holdco Summary'!F41</f>
        <v>1.48516650904698</v>
      </c>
      <c r="G34" s="1"/>
    </row>
    <row r="35" customFormat="false" ht="15" hidden="false" customHeight="false" outlineLevel="0" collapsed="false">
      <c r="A35" s="20" t="s">
        <v>42</v>
      </c>
      <c r="B35" s="22" t="n">
        <f aca="false">'Holdco Summary'!B62</f>
        <v>1.55826614868177</v>
      </c>
      <c r="C35" s="22" t="n">
        <f aca="false">'Holdco Summary'!C62</f>
        <v>3.13121596448066</v>
      </c>
      <c r="D35" s="22" t="n">
        <f aca="false">'Holdco Summary'!D62</f>
        <v>0.38352634448594</v>
      </c>
      <c r="E35" s="22" t="n">
        <f aca="false">'Holdco Summary'!E62</f>
        <v>2.3882676070365</v>
      </c>
      <c r="F35" s="18" t="n">
        <f aca="false">'Holdco Summary'!F62</f>
        <v>1.89979285075533</v>
      </c>
      <c r="G35" s="1"/>
    </row>
    <row r="36" customFormat="false" ht="15" hidden="false" customHeight="false" outlineLevel="0" collapsed="false">
      <c r="A36" s="20" t="s">
        <v>43</v>
      </c>
      <c r="B36" s="22" t="n">
        <f aca="false">'Holdco Summary'!B83</f>
        <v>1.97865786605926</v>
      </c>
      <c r="C36" s="22" t="n">
        <f aca="false">'Holdco Summary'!C83</f>
        <v>5.56439739924364</v>
      </c>
      <c r="D36" s="22" t="n">
        <f aca="false">'Holdco Summary'!D83</f>
        <v>0.266744618530947</v>
      </c>
      <c r="E36" s="22" t="n">
        <f aca="false">'Holdco Summary'!E83</f>
        <v>4.16984048952459</v>
      </c>
      <c r="F36" s="18" t="n">
        <f aca="false">'Holdco Summary'!F83</f>
        <v>2.94698315574591</v>
      </c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2" t="s">
        <v>48</v>
      </c>
      <c r="B38" s="13"/>
      <c r="C38" s="13"/>
      <c r="D38" s="13"/>
      <c r="E38" s="13"/>
      <c r="F38" s="13"/>
      <c r="G38" s="13"/>
    </row>
    <row r="39" customFormat="false" ht="15" hidden="false" customHeight="false" outlineLevel="0" collapsed="false">
      <c r="A39" s="14" t="s">
        <v>49</v>
      </c>
      <c r="B39" s="15" t="s">
        <v>50</v>
      </c>
      <c r="C39" s="15" t="s">
        <v>51</v>
      </c>
      <c r="D39" s="15" t="s">
        <v>52</v>
      </c>
      <c r="E39" s="15"/>
      <c r="F39" s="15"/>
      <c r="G39" s="15"/>
    </row>
    <row r="40" customFormat="false" ht="15" hidden="false" customHeight="false" outlineLevel="0" collapsed="false">
      <c r="A40" s="24" t="str">
        <f aca="false">'Holdco Summary'!A6</f>
        <v>IQT-mirror (deep-tech)</v>
      </c>
      <c r="B40" s="25" t="n">
        <f aca="false">'Holdco Summary'!B6</f>
        <v>250</v>
      </c>
      <c r="C40" s="21" t="n">
        <f aca="false">'Holdco Summary'!C6</f>
        <v>0.297619047619048</v>
      </c>
      <c r="D40" s="26" t="n">
        <f aca="false">COUNT(Assumptions!C18:C26)</f>
        <v>9</v>
      </c>
      <c r="E40" s="1"/>
      <c r="F40" s="1"/>
      <c r="G40" s="1"/>
    </row>
    <row r="41" customFormat="false" ht="15" hidden="false" customHeight="false" outlineLevel="0" collapsed="false">
      <c r="A41" s="24" t="str">
        <f aca="false">'Holdco Summary'!A7</f>
        <v>Weapons (physical layer)</v>
      </c>
      <c r="B41" s="25" t="n">
        <f aca="false">'Holdco Summary'!B7</f>
        <v>390</v>
      </c>
      <c r="C41" s="21" t="n">
        <f aca="false">'Holdco Summary'!C7</f>
        <v>0.464285714285714</v>
      </c>
      <c r="D41" s="26" t="n">
        <f aca="false">COUNT('Weapons Sleeve'!C12:C21)</f>
        <v>10</v>
      </c>
      <c r="E41" s="1"/>
      <c r="F41" s="1"/>
      <c r="G41" s="1"/>
    </row>
    <row r="42" customFormat="false" ht="15" hidden="false" customHeight="false" outlineLevel="0" collapsed="false">
      <c r="A42" s="24" t="str">
        <f aca="false">'Holdco Summary'!A8</f>
        <v>Consumer / Value</v>
      </c>
      <c r="B42" s="25" t="n">
        <f aca="false">'Holdco Summary'!B8</f>
        <v>200</v>
      </c>
      <c r="C42" s="21" t="n">
        <f aca="false">'Holdco Summary'!C8</f>
        <v>0.238095238095238</v>
      </c>
      <c r="D42" s="26" t="n">
        <f aca="false">COUNT('Consumer Sleeve'!C12:C20)</f>
        <v>9</v>
      </c>
      <c r="E42" s="1"/>
      <c r="F42" s="1"/>
      <c r="G42" s="1"/>
    </row>
    <row r="43" customFormat="false" ht="15" hidden="false" customHeight="false" outlineLevel="0" collapsed="false">
      <c r="A43" s="27" t="s">
        <v>53</v>
      </c>
      <c r="B43" s="28" t="n">
        <f aca="false">SUM(B40:B42)</f>
        <v>840</v>
      </c>
      <c r="C43" s="29" t="n">
        <f aca="false">SUM(C40:C42)</f>
        <v>1</v>
      </c>
      <c r="D43" s="30" t="n">
        <f aca="false">SUM(D40:D42)</f>
        <v>28</v>
      </c>
      <c r="E43" s="1"/>
      <c r="F43" s="1"/>
      <c r="G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5" hidden="false" customHeight="false" outlineLevel="0" collapsed="false">
      <c r="A45" s="12" t="s">
        <v>54</v>
      </c>
      <c r="B45" s="13"/>
      <c r="C45" s="13"/>
      <c r="D45" s="13"/>
      <c r="E45" s="13"/>
      <c r="F45" s="13"/>
      <c r="G45" s="13"/>
    </row>
    <row r="46" customFormat="false" ht="15" hidden="false" customHeight="false" outlineLevel="0" collapsed="false">
      <c r="A46" s="14" t="s">
        <v>49</v>
      </c>
      <c r="B46" s="15" t="s">
        <v>36</v>
      </c>
      <c r="C46" s="15" t="s">
        <v>37</v>
      </c>
      <c r="D46" s="15" t="s">
        <v>38</v>
      </c>
      <c r="E46" s="15" t="s">
        <v>39</v>
      </c>
      <c r="F46" s="15" t="s">
        <v>40</v>
      </c>
      <c r="G46" s="15"/>
    </row>
    <row r="47" customFormat="false" ht="15" hidden="false" customHeight="false" outlineLevel="0" collapsed="false">
      <c r="A47" s="20" t="s">
        <v>55</v>
      </c>
      <c r="B47" s="31" t="n">
        <f aca="false">'Holdco Summary'!B28/'Holdco Summary'!$B$6</f>
        <v>2.26332311902102</v>
      </c>
      <c r="C47" s="31" t="n">
        <f aca="false">'Holdco Summary'!C28/'Holdco Summary'!$B$6</f>
        <v>3.61744566519502</v>
      </c>
      <c r="D47" s="31" t="n">
        <f aca="false">'Holdco Summary'!D28/'Holdco Summary'!$B$6</f>
        <v>0.50517410275635</v>
      </c>
      <c r="E47" s="31" t="n">
        <f aca="false">'Holdco Summary'!E28/'Holdco Summary'!$B$6</f>
        <v>3.66162525500086</v>
      </c>
      <c r="F47" s="31" t="n">
        <f aca="false">'Holdco Summary'!F28/'Holdco Summary'!$B$6</f>
        <v>2.54787672352179</v>
      </c>
      <c r="G47" s="1"/>
    </row>
    <row r="48" customFormat="false" ht="15" hidden="false" customHeight="false" outlineLevel="0" collapsed="false">
      <c r="A48" s="20" t="s">
        <v>56</v>
      </c>
      <c r="B48" s="31" t="n">
        <f aca="false">'Holdco Summary'!B29/'Holdco Summary'!$B$7</f>
        <v>2.40251324064305</v>
      </c>
      <c r="C48" s="31" t="n">
        <f aca="false">'Holdco Summary'!C29/'Holdco Summary'!$B$7</f>
        <v>3.9899006702817</v>
      </c>
      <c r="D48" s="31" t="n">
        <f aca="false">'Holdco Summary'!D29/'Holdco Summary'!$B$7</f>
        <v>1.12415296579454</v>
      </c>
      <c r="E48" s="31" t="n">
        <f aca="false">'Holdco Summary'!E29/'Holdco Summary'!$B$7</f>
        <v>3.9973937389976</v>
      </c>
      <c r="F48" s="31" t="n">
        <f aca="false">'Holdco Summary'!F29/'Holdco Summary'!$B$7</f>
        <v>2.84683813157862</v>
      </c>
      <c r="G48" s="1"/>
    </row>
    <row r="49" customFormat="false" ht="15" hidden="false" customHeight="false" outlineLevel="0" collapsed="false">
      <c r="A49" s="20" t="s">
        <v>57</v>
      </c>
      <c r="B49" s="31" t="n">
        <f aca="false">'Holdco Summary'!B30/'Holdco Summary'!$B$8</f>
        <v>2.36906069058</v>
      </c>
      <c r="C49" s="31" t="n">
        <f aca="false">'Holdco Summary'!C30/'Holdco Summary'!$B$8</f>
        <v>4.3199411895495</v>
      </c>
      <c r="D49" s="31" t="n">
        <f aca="false">'Holdco Summary'!D30/'Holdco Summary'!$B$8</f>
        <v>0.8063945814933</v>
      </c>
      <c r="E49" s="31" t="n">
        <f aca="false">'Holdco Summary'!E30/'Holdco Summary'!$B$8</f>
        <v>0.474274318265775</v>
      </c>
      <c r="F49" s="31" t="n">
        <f aca="false">'Holdco Summary'!F30/'Holdco Summary'!$B$8</f>
        <v>2.33816294311224</v>
      </c>
      <c r="G49" s="1"/>
    </row>
    <row r="50" customFormat="false" ht="15" hidden="false" customHeight="false" outlineLevel="0" collapsed="false">
      <c r="A50" s="27" t="s">
        <v>58</v>
      </c>
      <c r="B50" s="32" t="n">
        <f aca="false">'Holdco Summary'!B31/'Holdco Summary'!$B$9</f>
        <v>2.35312271633577</v>
      </c>
      <c r="C50" s="32" t="n">
        <f aca="false">'Holdco Summary'!C31/'Holdco Summary'!$B$9</f>
        <v>3.957632042403</v>
      </c>
      <c r="D50" s="32" t="n">
        <f aca="false">'Holdco Summary'!D31/'Holdco Summary'!$B$9</f>
        <v>0.86427630791383</v>
      </c>
      <c r="E50" s="32" t="n">
        <f aca="false">'Holdco Summary'!E31/'Holdco Summary'!$B$9</f>
        <v>3.0586246852529</v>
      </c>
      <c r="F50" s="32" t="n">
        <f aca="false">'Holdco Summary'!F31/'Holdco Summary'!$B$9</f>
        <v>2.63674838192685</v>
      </c>
      <c r="G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5" hidden="false" customHeight="false" outlineLevel="0" collapsed="false">
      <c r="A52" s="12" t="s">
        <v>59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A53" s="14" t="s">
        <v>49</v>
      </c>
      <c r="B53" s="15" t="s">
        <v>36</v>
      </c>
      <c r="C53" s="15" t="s">
        <v>37</v>
      </c>
      <c r="D53" s="15" t="s">
        <v>38</v>
      </c>
      <c r="E53" s="15" t="s">
        <v>39</v>
      </c>
      <c r="F53" s="15" t="s">
        <v>40</v>
      </c>
      <c r="G53" s="15"/>
    </row>
    <row r="54" customFormat="false" ht="15" hidden="false" customHeight="false" outlineLevel="0" collapsed="false">
      <c r="A54" s="20" t="s">
        <v>55</v>
      </c>
      <c r="B54" s="31" t="n">
        <f aca="false">'Holdco Summary'!B49/'Holdco Summary'!$B$6</f>
        <v>3.11252308590553</v>
      </c>
      <c r="C54" s="31" t="n">
        <f aca="false">'Holdco Summary'!C49/'Holdco Summary'!$B$6</f>
        <v>5.98802118638125</v>
      </c>
      <c r="D54" s="31" t="n">
        <f aca="false">'Holdco Summary'!D49/'Holdco Summary'!$B$6</f>
        <v>0.400134752774432</v>
      </c>
      <c r="E54" s="31" t="n">
        <f aca="false">'Holdco Summary'!E49/'Holdco Summary'!$B$6</f>
        <v>6.16979009734327</v>
      </c>
      <c r="F54" s="31" t="n">
        <f aca="false">'Holdco Summary'!F49/'Holdco Summary'!$B$6</f>
        <v>3.88312941277046</v>
      </c>
      <c r="G54" s="1"/>
    </row>
    <row r="55" customFormat="false" ht="15" hidden="false" customHeight="false" outlineLevel="0" collapsed="false">
      <c r="A55" s="20" t="s">
        <v>56</v>
      </c>
      <c r="B55" s="31" t="n">
        <f aca="false">'Holdco Summary'!B50/'Holdco Summary'!$B$7</f>
        <v>3.43064593066365</v>
      </c>
      <c r="C55" s="31" t="n">
        <f aca="false">'Holdco Summary'!C50/'Holdco Summary'!$B$7</f>
        <v>7.06600597882881</v>
      </c>
      <c r="D55" s="31" t="n">
        <f aca="false">'Holdco Summary'!D50/'Holdco Summary'!$B$7</f>
        <v>1.17244625943172</v>
      </c>
      <c r="E55" s="31" t="n">
        <f aca="false">'Holdco Summary'!E50/'Holdco Summary'!$B$7</f>
        <v>7.07334766159288</v>
      </c>
      <c r="F55" s="31" t="n">
        <f aca="false">'Holdco Summary'!F50/'Holdco Summary'!$B$7</f>
        <v>4.54716125165954</v>
      </c>
      <c r="G55" s="1"/>
    </row>
    <row r="56" customFormat="false" ht="15" hidden="false" customHeight="false" outlineLevel="0" collapsed="false">
      <c r="A56" s="20" t="s">
        <v>57</v>
      </c>
      <c r="B56" s="31" t="n">
        <f aca="false">'Holdco Summary'!B51/'Holdco Summary'!$B$8</f>
        <v>3.31007136788734</v>
      </c>
      <c r="C56" s="31" t="n">
        <f aca="false">'Holdco Summary'!C51/'Holdco Summary'!$B$8</f>
        <v>7.72266908976995</v>
      </c>
      <c r="D56" s="31" t="n">
        <f aca="false">'Holdco Summary'!D51/'Holdco Summary'!$B$8</f>
        <v>0.746186231793402</v>
      </c>
      <c r="E56" s="31" t="n">
        <f aca="false">'Holdco Summary'!E51/'Holdco Summary'!$B$8</f>
        <v>0.350913693366684</v>
      </c>
      <c r="F56" s="31" t="n">
        <f aca="false">'Holdco Summary'!F51/'Holdco Summary'!$B$8</f>
        <v>3.5847643767658</v>
      </c>
      <c r="G56" s="1"/>
    </row>
    <row r="57" customFormat="false" ht="15" hidden="false" customHeight="false" outlineLevel="0" collapsed="false">
      <c r="A57" s="27" t="s">
        <v>58</v>
      </c>
      <c r="B57" s="32" t="n">
        <f aca="false">'Holdco Summary'!B52/'Holdco Summary'!$B$9</f>
        <v>3.30725828334842</v>
      </c>
      <c r="C57" s="32" t="n">
        <f aca="false">'Holdco Summary'!C52/'Holdco Summary'!$B$9</f>
        <v>6.90152553130064</v>
      </c>
      <c r="D57" s="32" t="n">
        <f aca="false">'Holdco Summary'!D52/'Holdco Summary'!$B$9</f>
        <v>0.841101161584116</v>
      </c>
      <c r="E57" s="32" t="n">
        <f aca="false">'Holdco Summary'!E52/'Holdco Summary'!$B$9</f>
        <v>5.20385220360759</v>
      </c>
      <c r="F57" s="32" t="n">
        <f aca="false">'Holdco Summary'!F52/'Holdco Summary'!$B$9</f>
        <v>4.12039061511071</v>
      </c>
      <c r="G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</row>
    <row r="59" customFormat="false" ht="15" hidden="false" customHeight="false" outlineLevel="0" collapsed="false">
      <c r="A59" s="12" t="s">
        <v>60</v>
      </c>
      <c r="B59" s="13"/>
      <c r="C59" s="13"/>
      <c r="D59" s="13"/>
      <c r="E59" s="13"/>
      <c r="F59" s="13"/>
      <c r="G59" s="13"/>
    </row>
    <row r="60" customFormat="false" ht="15" hidden="false" customHeight="false" outlineLevel="0" collapsed="false">
      <c r="A60" s="14" t="s">
        <v>49</v>
      </c>
      <c r="B60" s="15" t="s">
        <v>36</v>
      </c>
      <c r="C60" s="15" t="s">
        <v>37</v>
      </c>
      <c r="D60" s="15" t="s">
        <v>38</v>
      </c>
      <c r="E60" s="15" t="s">
        <v>39</v>
      </c>
      <c r="F60" s="15" t="s">
        <v>40</v>
      </c>
      <c r="G60" s="15"/>
    </row>
    <row r="61" customFormat="false" ht="15" hidden="false" customHeight="false" outlineLevel="0" collapsed="false">
      <c r="A61" s="20" t="s">
        <v>55</v>
      </c>
      <c r="B61" s="31" t="n">
        <f aca="false">'Holdco Summary'!B70/'Holdco Summary'!$B$6</f>
        <v>5.04582374384358</v>
      </c>
      <c r="C61" s="31" t="n">
        <f aca="false">'Holdco Summary'!C70/'Holdco Summary'!$B$6</f>
        <v>12.7907887559756</v>
      </c>
      <c r="D61" s="31" t="n">
        <f aca="false">'Holdco Summary'!D70/'Holdco Summary'!$B$6</f>
        <v>0.295853415765215</v>
      </c>
      <c r="E61" s="31" t="n">
        <f aca="false">'Holdco Summary'!E70/'Holdco Summary'!$B$6</f>
        <v>13.6724058244776</v>
      </c>
      <c r="F61" s="31" t="n">
        <f aca="false">'Holdco Summary'!F70/'Holdco Summary'!$B$6</f>
        <v>7.56355675975994</v>
      </c>
      <c r="G61" s="1"/>
    </row>
    <row r="62" customFormat="false" ht="15" hidden="false" customHeight="false" outlineLevel="0" collapsed="false">
      <c r="A62" s="20" t="s">
        <v>56</v>
      </c>
      <c r="B62" s="31" t="n">
        <f aca="false">'Holdco Summary'!B71/'Holdco Summary'!$B$7</f>
        <v>5.93401236172685</v>
      </c>
      <c r="C62" s="31" t="n">
        <f aca="false">'Holdco Summary'!C71/'Holdco Summary'!$B$7</f>
        <v>17.0792939038826</v>
      </c>
      <c r="D62" s="31" t="n">
        <f aca="false">'Holdco Summary'!D71/'Holdco Summary'!$B$7</f>
        <v>1.25139621843807</v>
      </c>
      <c r="E62" s="31" t="n">
        <f aca="false">'Holdco Summary'!E71/'Holdco Summary'!$B$7</f>
        <v>17.0728311240104</v>
      </c>
      <c r="F62" s="31" t="n">
        <f aca="false">'Holdco Summary'!F71/'Holdco Summary'!$B$7</f>
        <v>9.68876314011498</v>
      </c>
      <c r="G62" s="1"/>
    </row>
    <row r="63" customFormat="false" ht="15" hidden="false" customHeight="false" outlineLevel="0" collapsed="false">
      <c r="A63" s="20" t="s">
        <v>57</v>
      </c>
      <c r="B63" s="31" t="n">
        <f aca="false">'Holdco Summary'!B72/'Holdco Summary'!$B$8</f>
        <v>5.49658943960364</v>
      </c>
      <c r="C63" s="31" t="n">
        <f aca="false">'Holdco Summary'!C72/'Holdco Summary'!$B$8</f>
        <v>18.6480191336354</v>
      </c>
      <c r="D63" s="31" t="n">
        <f aca="false">'Holdco Summary'!D72/'Holdco Summary'!$B$8</f>
        <v>0.682182989612256</v>
      </c>
      <c r="E63" s="31" t="n">
        <f aca="false">'Holdco Summary'!E72/'Holdco Summary'!$B$8</f>
        <v>0.226127525102004</v>
      </c>
      <c r="F63" s="31" t="n">
        <f aca="false">'Holdco Summary'!F72/'Holdco Summary'!$B$8</f>
        <v>7.27171660843763</v>
      </c>
      <c r="G63" s="1"/>
    </row>
    <row r="64" customFormat="false" ht="15" hidden="false" customHeight="false" outlineLevel="0" collapsed="false">
      <c r="A64" s="27" t="s">
        <v>58</v>
      </c>
      <c r="B64" s="32" t="n">
        <f aca="false">'Holdco Summary'!B73/'Holdco Summary'!$B$9</f>
        <v>5.56552219637511</v>
      </c>
      <c r="C64" s="32" t="n">
        <f aca="false">'Holdco Summary'!C73/'Holdco Summary'!$B$9</f>
        <v>16.1764590931371</v>
      </c>
      <c r="D64" s="32" t="n">
        <f aca="false">'Holdco Summary'!D73/'Holdco Summary'!$B$9</f>
        <v>0.831481520303096</v>
      </c>
      <c r="E64" s="32" t="n">
        <f aca="false">'Holdco Summary'!E73/'Holdco Summary'!$B$9</f>
        <v>12.0496798803617</v>
      </c>
      <c r="F64" s="32" t="n">
        <f aca="false">'Holdco Summary'!F73/'Holdco Summary'!$B$9</f>
        <v>8.4807739717528</v>
      </c>
      <c r="G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</row>
    <row r="66" customFormat="false" ht="15" hidden="false" customHeight="false" outlineLevel="0" collapsed="false">
      <c r="A66" s="12" t="s">
        <v>61</v>
      </c>
      <c r="B66" s="13"/>
      <c r="C66" s="13"/>
      <c r="D66" s="13"/>
      <c r="E66" s="13"/>
      <c r="F66" s="13"/>
      <c r="G66" s="13"/>
    </row>
    <row r="67" customFormat="false" ht="15" hidden="false" customHeight="false" outlineLevel="0" collapsed="false">
      <c r="A67" s="14"/>
      <c r="B67" s="15" t="s">
        <v>36</v>
      </c>
      <c r="C67" s="15" t="s">
        <v>37</v>
      </c>
      <c r="D67" s="15" t="s">
        <v>38</v>
      </c>
      <c r="E67" s="15" t="s">
        <v>39</v>
      </c>
      <c r="F67" s="15" t="s">
        <v>62</v>
      </c>
      <c r="G67" s="15"/>
    </row>
    <row r="68" customFormat="false" ht="15" hidden="false" customHeight="false" outlineLevel="0" collapsed="false">
      <c r="A68" s="20" t="s">
        <v>63</v>
      </c>
      <c r="B68" s="21" t="n">
        <f aca="false">'Defense Supercycle'!B17</f>
        <v>0.45</v>
      </c>
      <c r="C68" s="21" t="n">
        <f aca="false">'Defense Supercycle'!B18</f>
        <v>0.25</v>
      </c>
      <c r="D68" s="21" t="n">
        <f aca="false">'Defense Supercycle'!B19</f>
        <v>0.15</v>
      </c>
      <c r="E68" s="21" t="n">
        <f aca="false">'Defense Supercycle'!B20</f>
        <v>0.15</v>
      </c>
      <c r="F68" s="33" t="n">
        <f aca="false">SUM(B68:E68)</f>
        <v>1</v>
      </c>
      <c r="G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</row>
    <row r="70" customFormat="false" ht="15" hidden="false" customHeight="false" outlineLevel="0" collapsed="false">
      <c r="A70" s="12" t="s">
        <v>64</v>
      </c>
      <c r="B70" s="13"/>
      <c r="C70" s="13"/>
      <c r="D70" s="13"/>
      <c r="E70" s="13"/>
      <c r="F70" s="13"/>
      <c r="G70" s="13"/>
    </row>
    <row r="71" customFormat="false" ht="15" hidden="false" customHeight="false" outlineLevel="0" collapsed="false">
      <c r="A71" s="14" t="s">
        <v>65</v>
      </c>
      <c r="B71" s="15" t="s">
        <v>66</v>
      </c>
      <c r="C71" s="15" t="s">
        <v>67</v>
      </c>
      <c r="D71" s="15" t="s">
        <v>68</v>
      </c>
      <c r="E71" s="15"/>
      <c r="F71" s="15"/>
      <c r="G71" s="15"/>
    </row>
    <row r="72" customFormat="false" ht="15" hidden="false" customHeight="false" outlineLevel="0" collapsed="false">
      <c r="A72" s="20" t="s">
        <v>69</v>
      </c>
      <c r="B72" s="34" t="n">
        <f aca="false">'Holdco Summary'!B9</f>
        <v>840</v>
      </c>
      <c r="C72" s="35" t="n">
        <v>840</v>
      </c>
      <c r="D72" s="36" t="str">
        <f aca="false">IF(ABS(B72-C72)&lt;0.001,"OK","CHECK")</f>
        <v>OK</v>
      </c>
      <c r="E72" s="1"/>
      <c r="F72" s="1"/>
      <c r="G72" s="1"/>
    </row>
    <row r="73" customFormat="false" ht="15" hidden="false" customHeight="false" outlineLevel="0" collapsed="false">
      <c r="A73" s="20" t="s">
        <v>70</v>
      </c>
      <c r="B73" s="34" t="n">
        <f aca="false">Assumptions!C27</f>
        <v>250</v>
      </c>
      <c r="C73" s="34" t="n">
        <f aca="false">Assumptions!B5</f>
        <v>250</v>
      </c>
      <c r="D73" s="36" t="str">
        <f aca="false">IF(ABS(B73-C73)&lt;0.001,"OK","CHECK")</f>
        <v>OK</v>
      </c>
      <c r="E73" s="1"/>
      <c r="F73" s="1"/>
      <c r="G73" s="1"/>
    </row>
    <row r="74" customFormat="false" ht="15" hidden="false" customHeight="false" outlineLevel="0" collapsed="false">
      <c r="A74" s="20" t="s">
        <v>71</v>
      </c>
      <c r="B74" s="34" t="n">
        <f aca="false">'Weapons Sleeve'!C22</f>
        <v>390</v>
      </c>
      <c r="C74" s="34" t="n">
        <f aca="false">'Weapons Sleeve'!B5</f>
        <v>390</v>
      </c>
      <c r="D74" s="36" t="str">
        <f aca="false">IF(ABS(B74-C74)&lt;0.001,"OK","CHECK")</f>
        <v>OK</v>
      </c>
      <c r="E74" s="1"/>
      <c r="F74" s="1"/>
      <c r="G74" s="1"/>
    </row>
    <row r="75" customFormat="false" ht="15" hidden="false" customHeight="false" outlineLevel="0" collapsed="false">
      <c r="A75" s="20" t="s">
        <v>72</v>
      </c>
      <c r="B75" s="34" t="n">
        <f aca="false">'Consumer Sleeve'!C21</f>
        <v>200</v>
      </c>
      <c r="C75" s="34" t="n">
        <f aca="false">'Consumer Sleeve'!B5</f>
        <v>200</v>
      </c>
      <c r="D75" s="36" t="str">
        <f aca="false">IF(ABS(B75-C75)&lt;0.001,"OK","CHECK")</f>
        <v>OK</v>
      </c>
      <c r="E75" s="1"/>
      <c r="F75" s="1"/>
      <c r="G75" s="1"/>
    </row>
    <row r="76" customFormat="false" ht="15" hidden="false" customHeight="false" outlineLevel="0" collapsed="false">
      <c r="A76" s="20" t="s">
        <v>73</v>
      </c>
      <c r="B76" s="21" t="n">
        <f aca="false">'Defense Supercycle'!B21</f>
        <v>1</v>
      </c>
      <c r="C76" s="37" t="n">
        <v>1</v>
      </c>
      <c r="D76" s="36" t="str">
        <f aca="false">IF(ABS(B76-C76)&lt;0.001,"OK","CHECK")</f>
        <v>OK</v>
      </c>
      <c r="E76" s="1"/>
      <c r="F76" s="1"/>
      <c r="G76" s="1"/>
    </row>
    <row r="77" customFormat="false" ht="15" hidden="false" customHeight="false" outlineLevel="0" collapsed="false">
      <c r="A77" s="20" t="s">
        <v>74</v>
      </c>
      <c r="B77" s="21" t="n">
        <f aca="false">'Defense Supercycle'!B10</f>
        <v>1</v>
      </c>
      <c r="C77" s="37" t="n">
        <v>1</v>
      </c>
      <c r="D77" s="36" t="str">
        <f aca="false">IF(ABS(B77-C77)&lt;0.001,"OK","CHECK")</f>
        <v>OK</v>
      </c>
      <c r="E77" s="1"/>
      <c r="F77" s="1"/>
      <c r="G77" s="1"/>
    </row>
    <row r="78" customFormat="false" ht="15" hidden="false" customHeight="false" outlineLevel="0" collapsed="false">
      <c r="A78" s="20" t="s">
        <v>75</v>
      </c>
      <c r="B78" s="21" t="n">
        <f aca="false">Allocation!D14</f>
        <v>1</v>
      </c>
      <c r="C78" s="37" t="n">
        <v>1</v>
      </c>
      <c r="D78" s="36" t="str">
        <f aca="false">IF(ABS(B78-C78)&lt;0.001,"OK","CHECK")</f>
        <v>OK</v>
      </c>
      <c r="E78" s="1"/>
      <c r="F78" s="1"/>
      <c r="G78" s="1"/>
    </row>
    <row r="79" customFormat="false" ht="15" hidden="false" customHeight="false" outlineLevel="0" collapsed="false">
      <c r="A79" s="20" t="s">
        <v>76</v>
      </c>
      <c r="B79" s="34" t="n">
        <f aca="false">'Holdco Summary'!F52</f>
        <v>3461.12811669299</v>
      </c>
      <c r="C79" s="34" t="n">
        <f aca="false">'Fund Economics'!F22+'Holdco Summary'!F50+'Holdco Summary'!F51</f>
        <v>3461.12811669299</v>
      </c>
      <c r="D79" s="36" t="str">
        <f aca="false">IF(ABS(B79-C79)&lt;0.001,"OK","CHECK")</f>
        <v>OK</v>
      </c>
      <c r="E79" s="1"/>
      <c r="F79" s="1"/>
      <c r="G79" s="1"/>
    </row>
    <row r="80" customFormat="false" ht="15" hidden="false" customHeight="false" outlineLevel="0" collapsed="false">
      <c r="A80" s="27" t="s">
        <v>77</v>
      </c>
      <c r="B80" s="38"/>
      <c r="C80" s="38"/>
      <c r="D80" s="39" t="str">
        <f aca="false">IF(COUNTIF(D72:D79,"OK")=8,"ALL PASS","REVIEW")</f>
        <v>ALL PASS</v>
      </c>
      <c r="E80" s="1"/>
      <c r="F80" s="1"/>
      <c r="G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</row>
    <row r="82" customFormat="false" ht="15" hidden="false" customHeight="false" outlineLevel="0" collapsed="false">
      <c r="A82" s="12" t="s">
        <v>78</v>
      </c>
      <c r="B82" s="13"/>
      <c r="C82" s="13"/>
      <c r="D82" s="13"/>
      <c r="E82" s="13"/>
      <c r="F82" s="13"/>
      <c r="G82" s="13"/>
    </row>
    <row r="83" customFormat="false" ht="27" hidden="false" customHeight="true" outlineLevel="0" collapsed="false">
      <c r="A83" s="40" t="str">
        <f aca="false">"• Underwrite to Expected: 7-yr holdco net IRR "&amp;TEXT('Holdco Summary'!F61,"0.0%")&amp;" / "&amp;TEXT('Holdco Summary'!F59,"0.00")&amp;"x net MOIC; Base "&amp;TEXT('Holdco Summary'!B61,"0.0%")&amp;", Bear "&amp;TEXT('Holdco Summary'!D61,"0.0%")&amp;"."</f>
        <v>• Underwrite to Expected: 7-yr holdco net IRR 19.5% / 3.47x net MOIC; Base 16.1%, Bear -4.9%.</v>
      </c>
      <c r="B83" s="40"/>
      <c r="C83" s="40"/>
      <c r="D83" s="40"/>
      <c r="E83" s="40"/>
      <c r="F83" s="40"/>
      <c r="G83" s="40"/>
    </row>
    <row r="84" customFormat="false" ht="27" hidden="false" customHeight="true" outlineLevel="0" collapsed="false">
      <c r="A84" s="40" t="str">
        <f aca="false">"• Thematic scoreboard: 7-yr Expected KS-PME vs Defense+Semis basket "&amp;TEXT('Holdco Summary'!F64,"0.00")&amp;"x (Base "&amp;TEXT('Holdco Summary'!B64,"0.00")&amp;"x) — &gt;1.00x means the holdco beats owning ITA/SOXX."</f>
        <v>• Thematic scoreboard: 7-yr Expected KS-PME vs Defense+Semis basket 1.31x (Base 1.07x) — &gt;1.00x means the holdco beats owning ITA/SOXX.</v>
      </c>
      <c r="B84" s="40"/>
      <c r="C84" s="40"/>
      <c r="D84" s="40"/>
      <c r="E84" s="40"/>
      <c r="F84" s="40"/>
      <c r="G84" s="40"/>
    </row>
    <row r="85" customFormat="false" ht="27" hidden="false" customHeight="true" outlineLevel="0" collapsed="false">
      <c r="A85" s="40" t="s">
        <v>79</v>
      </c>
      <c r="B85" s="40"/>
      <c r="C85" s="40"/>
      <c r="D85" s="40"/>
      <c r="E85" s="40"/>
      <c r="F85" s="40"/>
      <c r="G85" s="40"/>
    </row>
    <row r="86" customFormat="false" ht="27" hidden="false" customHeight="true" outlineLevel="0" collapsed="false">
      <c r="A86" s="40" t="str">
        <f aca="false">"• TSMC-Shock is a low-probability tail ("&amp;TEXT('Defense Supercycle'!B20,"0%")&amp;") that lifts Expected because the book is overweight US sovereign-chokepoint names; Consumer is the one sleeve hurt in that case."</f>
        <v>• TSMC-Shock is a low-probability tail (15%) that lifts Expected because the book is overweight US sovereign-chokepoint names; Consumer is the one sleeve hurt in that case.</v>
      </c>
      <c r="B86" s="40"/>
      <c r="C86" s="40"/>
      <c r="D86" s="40"/>
      <c r="E86" s="40"/>
      <c r="F86" s="40"/>
      <c r="G86" s="40"/>
    </row>
    <row r="87" customFormat="false" ht="27" hidden="false" customHeight="true" outlineLevel="0" collapsed="false">
      <c r="A87" s="40" t="s">
        <v>80</v>
      </c>
      <c r="B87" s="40"/>
      <c r="C87" s="40"/>
      <c r="D87" s="40"/>
      <c r="E87" s="40"/>
      <c r="F87" s="40"/>
      <c r="G87" s="40"/>
    </row>
  </sheetData>
  <mergeCells count="6">
    <mergeCell ref="A2:G2"/>
    <mergeCell ref="A83:G83"/>
    <mergeCell ref="A84:G84"/>
    <mergeCell ref="A85:G85"/>
    <mergeCell ref="A86:G86"/>
    <mergeCell ref="A87:G87"/>
  </mergeCells>
  <printOptions headings="false" gridLines="false" gridLinesSet="true" horizontalCentered="true" verticalCentered="false"/>
  <pageMargins left="0.4" right="0.4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F9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8" hidden="false" customHeight="true" outlineLevel="0" collapsed="false">
      <c r="A1" s="10" t="s">
        <v>81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41" t="s">
        <v>82</v>
      </c>
      <c r="B2" s="1"/>
      <c r="C2" s="1"/>
      <c r="D2" s="1"/>
      <c r="E2" s="1"/>
      <c r="F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</row>
    <row r="4" customFormat="false" ht="15" hidden="false" customHeight="true" outlineLevel="0" collapsed="false">
      <c r="A4" s="42" t="s">
        <v>83</v>
      </c>
      <c r="B4" s="1"/>
      <c r="C4" s="1"/>
      <c r="D4" s="1"/>
      <c r="E4" s="1"/>
      <c r="F4" s="1"/>
    </row>
    <row r="5" customFormat="false" ht="15" hidden="false" customHeight="true" outlineLevel="0" collapsed="false">
      <c r="A5" s="43" t="s">
        <v>84</v>
      </c>
      <c r="B5" s="43" t="s">
        <v>50</v>
      </c>
      <c r="C5" s="43" t="s">
        <v>51</v>
      </c>
      <c r="D5" s="43" t="s">
        <v>85</v>
      </c>
      <c r="E5" s="43" t="s">
        <v>86</v>
      </c>
      <c r="F5" s="43" t="s">
        <v>87</v>
      </c>
    </row>
    <row r="6" customFormat="false" ht="27.75" hidden="false" customHeight="true" outlineLevel="0" collapsed="false">
      <c r="A6" s="44" t="s">
        <v>88</v>
      </c>
      <c r="B6" s="45" t="n">
        <v>250</v>
      </c>
      <c r="C6" s="46" t="n">
        <f aca="false">B6/$B$9</f>
        <v>0.297619047619048</v>
      </c>
      <c r="D6" s="47" t="s">
        <v>89</v>
      </c>
      <c r="E6" s="48" t="s">
        <v>90</v>
      </c>
      <c r="F6" s="47" t="s">
        <v>91</v>
      </c>
    </row>
    <row r="7" customFormat="false" ht="27.75" hidden="false" customHeight="true" outlineLevel="0" collapsed="false">
      <c r="A7" s="44" t="s">
        <v>92</v>
      </c>
      <c r="B7" s="49" t="n">
        <v>390</v>
      </c>
      <c r="C7" s="46" t="n">
        <f aca="false">B7/$B$9</f>
        <v>0.464285714285714</v>
      </c>
      <c r="D7" s="47" t="s">
        <v>93</v>
      </c>
      <c r="E7" s="48" t="s">
        <v>94</v>
      </c>
      <c r="F7" s="47" t="s">
        <v>95</v>
      </c>
    </row>
    <row r="8" customFormat="false" ht="27.75" hidden="false" customHeight="true" outlineLevel="0" collapsed="false">
      <c r="A8" s="44" t="s">
        <v>57</v>
      </c>
      <c r="B8" s="45" t="n">
        <v>200</v>
      </c>
      <c r="C8" s="46" t="n">
        <f aca="false">B8/$B$9</f>
        <v>0.238095238095238</v>
      </c>
      <c r="D8" s="47" t="s">
        <v>96</v>
      </c>
      <c r="E8" s="48" t="s">
        <v>97</v>
      </c>
      <c r="F8" s="47" t="s">
        <v>98</v>
      </c>
    </row>
    <row r="9" customFormat="false" ht="15" hidden="false" customHeight="true" outlineLevel="0" collapsed="false">
      <c r="A9" s="16" t="s">
        <v>99</v>
      </c>
      <c r="B9" s="50" t="n">
        <f aca="false">SUM(B6:B8)</f>
        <v>840</v>
      </c>
      <c r="C9" s="51" t="n">
        <f aca="false">SUM(C6:C8)</f>
        <v>1</v>
      </c>
      <c r="D9" s="1"/>
      <c r="E9" s="1"/>
      <c r="F9" s="1"/>
    </row>
    <row r="10" customFormat="false" ht="15" hidden="false" customHeight="true" outlineLevel="0" collapsed="false">
      <c r="A10" s="52" t="s">
        <v>100</v>
      </c>
      <c r="B10" s="52"/>
      <c r="C10" s="52"/>
      <c r="D10" s="52"/>
      <c r="E10" s="52"/>
      <c r="F10" s="52"/>
    </row>
    <row r="11" customFormat="false" ht="15" hidden="false" customHeight="true" outlineLevel="0" collapsed="false">
      <c r="A11" s="52" t="s">
        <v>101</v>
      </c>
      <c r="B11" s="52"/>
      <c r="C11" s="52"/>
      <c r="D11" s="52"/>
      <c r="E11" s="52"/>
      <c r="F11" s="52"/>
    </row>
    <row r="12" customFormat="false" ht="15" hidden="false" customHeight="true" outlineLevel="0" collapsed="false">
      <c r="A12" s="52" t="s">
        <v>102</v>
      </c>
      <c r="B12" s="52"/>
      <c r="C12" s="52"/>
      <c r="D12" s="52"/>
      <c r="E12" s="52"/>
      <c r="F12" s="52"/>
    </row>
    <row r="13" customFormat="false" ht="15" hidden="false" customHeight="true" outlineLevel="0" collapsed="false">
      <c r="A13" s="1"/>
      <c r="B13" s="1"/>
      <c r="C13" s="1"/>
      <c r="D13" s="1"/>
      <c r="E13" s="1"/>
      <c r="F13" s="1"/>
    </row>
    <row r="14" customFormat="false" ht="15" hidden="false" customHeight="true" outlineLevel="0" collapsed="false">
      <c r="A14" s="42" t="s">
        <v>103</v>
      </c>
      <c r="B14" s="1"/>
      <c r="C14" s="1"/>
      <c r="D14" s="1"/>
      <c r="E14" s="1"/>
      <c r="F14" s="1"/>
    </row>
    <row r="15" customFormat="false" ht="15" hidden="false" customHeight="true" outlineLevel="0" collapsed="false">
      <c r="A15" s="43" t="s">
        <v>49</v>
      </c>
      <c r="B15" s="43" t="s">
        <v>36</v>
      </c>
      <c r="C15" s="43" t="s">
        <v>37</v>
      </c>
      <c r="D15" s="43" t="s">
        <v>38</v>
      </c>
      <c r="E15" s="53" t="s">
        <v>39</v>
      </c>
      <c r="F15" s="54"/>
    </row>
    <row r="16" customFormat="false" ht="15" hidden="false" customHeight="true" outlineLevel="0" collapsed="false">
      <c r="A16" s="55" t="s">
        <v>104</v>
      </c>
      <c r="B16" s="56" t="n">
        <v>0.22</v>
      </c>
      <c r="C16" s="56" t="n">
        <v>0.34</v>
      </c>
      <c r="D16" s="56" t="n">
        <v>0.05</v>
      </c>
      <c r="E16" s="56" t="n">
        <v>0.32</v>
      </c>
      <c r="F16" s="1"/>
    </row>
    <row r="17" customFormat="false" ht="15" hidden="false" customHeight="true" outlineLevel="0" collapsed="false">
      <c r="A17" s="55" t="s">
        <v>105</v>
      </c>
      <c r="B17" s="56" t="n">
        <v>0.14</v>
      </c>
      <c r="C17" s="56" t="n">
        <v>0.25</v>
      </c>
      <c r="D17" s="56" t="n">
        <v>-0.1</v>
      </c>
      <c r="E17" s="56" t="n">
        <v>-0.04</v>
      </c>
      <c r="F17" s="1"/>
    </row>
    <row r="18" customFormat="false" ht="25.5" hidden="false" customHeight="true" outlineLevel="0" collapsed="false">
      <c r="A18" s="11" t="s">
        <v>106</v>
      </c>
      <c r="B18" s="11"/>
      <c r="C18" s="11"/>
      <c r="D18" s="11"/>
      <c r="E18" s="11"/>
      <c r="F18" s="11"/>
    </row>
    <row r="19" customFormat="false" ht="15" hidden="false" customHeight="true" outlineLevel="0" collapsed="false">
      <c r="A19" s="1"/>
      <c r="B19" s="1"/>
      <c r="C19" s="1"/>
      <c r="D19" s="1"/>
      <c r="E19" s="1"/>
      <c r="F19" s="1"/>
    </row>
    <row r="20" customFormat="false" ht="15" hidden="false" customHeight="true" outlineLevel="0" collapsed="false">
      <c r="A20" s="42" t="s">
        <v>107</v>
      </c>
      <c r="B20" s="1"/>
      <c r="C20" s="1"/>
      <c r="D20" s="1"/>
      <c r="E20" s="1"/>
      <c r="F20" s="1"/>
    </row>
    <row r="21" customFormat="false" ht="15" hidden="false" customHeight="true" outlineLevel="0" collapsed="false">
      <c r="A21" s="57" t="s">
        <v>108</v>
      </c>
      <c r="B21" s="58" t="n">
        <f aca="false">'PME, DPI &amp; Sensitivity'!$B$5</f>
        <v>0.09</v>
      </c>
      <c r="C21" s="1"/>
      <c r="D21" s="1"/>
      <c r="E21" s="1"/>
      <c r="F21" s="1"/>
    </row>
    <row r="22" customFormat="false" ht="15" hidden="false" customHeight="true" outlineLevel="0" collapsed="false">
      <c r="A22" s="57" t="s">
        <v>109</v>
      </c>
      <c r="B22" s="58" t="n">
        <f aca="false">'PME, DPI &amp; Sensitivity'!$B$6</f>
        <v>0.13</v>
      </c>
      <c r="C22" s="1"/>
      <c r="D22" s="1"/>
      <c r="E22" s="1"/>
      <c r="F22" s="1"/>
    </row>
    <row r="23" customFormat="false" ht="15" hidden="false" customHeight="true" outlineLevel="0" collapsed="false">
      <c r="A23" s="57" t="s">
        <v>110</v>
      </c>
      <c r="B23" s="59" t="n">
        <v>0.15</v>
      </c>
      <c r="C23" s="1"/>
      <c r="D23" s="1"/>
      <c r="E23" s="1"/>
      <c r="F23" s="1"/>
    </row>
    <row r="24" customFormat="false" ht="25.5" hidden="false" customHeight="true" outlineLevel="0" collapsed="false">
      <c r="A24" s="11" t="s">
        <v>111</v>
      </c>
      <c r="B24" s="11"/>
      <c r="C24" s="11"/>
      <c r="D24" s="11"/>
      <c r="E24" s="11"/>
      <c r="F24" s="11"/>
    </row>
    <row r="25" customFormat="false" ht="15" hidden="false" customHeight="true" outlineLevel="0" collapsed="false">
      <c r="A25" s="1"/>
      <c r="B25" s="1"/>
      <c r="C25" s="1"/>
      <c r="D25" s="1"/>
      <c r="E25" s="1"/>
      <c r="F25" s="1"/>
    </row>
    <row r="26" customFormat="false" ht="15" hidden="false" customHeight="true" outlineLevel="0" collapsed="false">
      <c r="A26" s="60" t="s">
        <v>112</v>
      </c>
      <c r="B26" s="1"/>
      <c r="C26" s="1"/>
      <c r="D26" s="1"/>
      <c r="E26" s="1"/>
      <c r="F26" s="1"/>
    </row>
    <row r="27" customFormat="false" ht="15" hidden="false" customHeight="true" outlineLevel="0" collapsed="false">
      <c r="A27" s="43" t="s">
        <v>113</v>
      </c>
      <c r="B27" s="43" t="s">
        <v>36</v>
      </c>
      <c r="C27" s="43" t="s">
        <v>37</v>
      </c>
      <c r="D27" s="43" t="s">
        <v>38</v>
      </c>
      <c r="E27" s="53" t="s">
        <v>39</v>
      </c>
      <c r="F27" s="61" t="s">
        <v>40</v>
      </c>
    </row>
    <row r="28" customFormat="false" ht="15" hidden="false" customHeight="true" outlineLevel="0" collapsed="false">
      <c r="A28" s="44" t="s">
        <v>114</v>
      </c>
      <c r="B28" s="62" t="n">
        <f aca="false">'Fund Economics'!B6</f>
        <v>565.830779755255</v>
      </c>
      <c r="C28" s="62" t="n">
        <f aca="false">'Fund Economics'!C6</f>
        <v>904.361416298755</v>
      </c>
      <c r="D28" s="62" t="n">
        <f aca="false">'Fund Economics'!D6</f>
        <v>126.293525689088</v>
      </c>
      <c r="E28" s="63" t="n">
        <f aca="false">'Fund Economics'!E6</f>
        <v>915.406313750214</v>
      </c>
      <c r="F28" s="64" t="n">
        <f aca="false">'Fund Economics'!F6</f>
        <v>636.969180880449</v>
      </c>
    </row>
    <row r="29" customFormat="false" ht="15" hidden="false" customHeight="true" outlineLevel="0" collapsed="false">
      <c r="A29" s="44" t="s">
        <v>115</v>
      </c>
      <c r="B29" s="62" t="n">
        <f aca="false">'Weapons Sleeve'!C36</f>
        <v>936.98016385079</v>
      </c>
      <c r="C29" s="62" t="n">
        <f aca="false">'Weapons Sleeve'!F36</f>
        <v>1556.06126140986</v>
      </c>
      <c r="D29" s="62" t="n">
        <f aca="false">'Weapons Sleeve'!I36</f>
        <v>438.419656659869</v>
      </c>
      <c r="E29" s="63" t="n">
        <f aca="false">'Weapons Sleeve'!L36</f>
        <v>1558.98355820907</v>
      </c>
      <c r="F29" s="64" t="n">
        <f aca="false">B29*'Defense Supercycle'!$B$17+C29*'Defense Supercycle'!$B$18+D29*'Defense Supercycle'!$B$19+E29*'Defense Supercycle'!$B$20</f>
        <v>1110.26687131566</v>
      </c>
    </row>
    <row r="30" customFormat="false" ht="15" hidden="false" customHeight="true" outlineLevel="0" collapsed="false">
      <c r="A30" s="44" t="s">
        <v>116</v>
      </c>
      <c r="B30" s="62" t="n">
        <f aca="false">'Consumer Sleeve'!C34</f>
        <v>473.812138116</v>
      </c>
      <c r="C30" s="62" t="n">
        <f aca="false">'Consumer Sleeve'!F34</f>
        <v>863.9882379099</v>
      </c>
      <c r="D30" s="62" t="n">
        <f aca="false">'Consumer Sleeve'!I34</f>
        <v>161.27891629866</v>
      </c>
      <c r="E30" s="63" t="n">
        <f aca="false">'Consumer Sleeve'!L34</f>
        <v>94.854863653155</v>
      </c>
      <c r="F30" s="64" t="n">
        <f aca="false">B30*'Defense Supercycle'!$B$17+C30*'Defense Supercycle'!$B$18+D30*'Defense Supercycle'!$B$19+E30*'Defense Supercycle'!$B$20</f>
        <v>467.632588622447</v>
      </c>
    </row>
    <row r="31" customFormat="false" ht="15" hidden="false" customHeight="true" outlineLevel="0" collapsed="false">
      <c r="A31" s="65" t="s">
        <v>117</v>
      </c>
      <c r="B31" s="66" t="n">
        <f aca="false">B28+B29+B30</f>
        <v>1976.62308172204</v>
      </c>
      <c r="C31" s="66" t="n">
        <f aca="false">C28+C29+C30</f>
        <v>3324.41091561852</v>
      </c>
      <c r="D31" s="66" t="n">
        <f aca="false">D28+D29+D30</f>
        <v>725.992098647617</v>
      </c>
      <c r="E31" s="66" t="n">
        <f aca="false">E28+E29+E30</f>
        <v>2569.24473561243</v>
      </c>
      <c r="F31" s="66" t="n">
        <f aca="false">F28+F29+F30</f>
        <v>2214.86864081856</v>
      </c>
    </row>
    <row r="32" customFormat="false" ht="15" hidden="false" customHeight="true" outlineLevel="0" collapsed="false">
      <c r="A32" s="44" t="s">
        <v>118</v>
      </c>
      <c r="B32" s="62" t="n">
        <f aca="false">-'Holdco Summary'!$B$9</f>
        <v>-840</v>
      </c>
      <c r="C32" s="62" t="n">
        <f aca="false">-'Holdco Summary'!$B$9</f>
        <v>-840</v>
      </c>
      <c r="D32" s="62" t="n">
        <f aca="false">-'Holdco Summary'!$B$9</f>
        <v>-840</v>
      </c>
      <c r="E32" s="63" t="n">
        <f aca="false">-'Holdco Summary'!$B$9</f>
        <v>-840</v>
      </c>
      <c r="F32" s="64" t="n">
        <f aca="false">-'Holdco Summary'!$B$9</f>
        <v>-840</v>
      </c>
    </row>
    <row r="33" customFormat="false" ht="15" hidden="false" customHeight="true" outlineLevel="0" collapsed="false">
      <c r="A33" s="44" t="s">
        <v>119</v>
      </c>
      <c r="B33" s="62" t="n">
        <f aca="false">-'Holdco Summary'!$B$9*((1+Assumptions!$B$10)^5-1)</f>
        <v>-394.235584512</v>
      </c>
      <c r="C33" s="62" t="n">
        <f aca="false">-'Holdco Summary'!$B$9*((1+Assumptions!$B$10)^5-1)</f>
        <v>-394.235584512</v>
      </c>
      <c r="D33" s="62" t="n">
        <f aca="false">-'Holdco Summary'!$B$9*((1+Assumptions!$B$10)^5-1)</f>
        <v>-394.235584512</v>
      </c>
      <c r="E33" s="63" t="n">
        <f aca="false">-'Holdco Summary'!$B$9*((1+Assumptions!$B$10)^5-1)</f>
        <v>-394.235584512</v>
      </c>
      <c r="F33" s="64" t="n">
        <f aca="false">-'Holdco Summary'!$B$9*((1+Assumptions!$B$10)^5-1)</f>
        <v>-394.235584512</v>
      </c>
    </row>
    <row r="34" customFormat="false" ht="15" hidden="false" customHeight="true" outlineLevel="0" collapsed="false">
      <c r="A34" s="44" t="s">
        <v>120</v>
      </c>
      <c r="B34" s="62" t="n">
        <f aca="false">MAX(0,B31+B32+B33)</f>
        <v>742.387497210044</v>
      </c>
      <c r="C34" s="62" t="n">
        <f aca="false">MAX(0,C31+C32+C33)</f>
        <v>2090.17533110652</v>
      </c>
      <c r="D34" s="62" t="n">
        <f aca="false">MAX(0,D31+D32+D33)</f>
        <v>0</v>
      </c>
      <c r="E34" s="63" t="n">
        <f aca="false">MAX(0,E31+E32+E33)</f>
        <v>1335.00915110043</v>
      </c>
      <c r="F34" s="64" t="n">
        <f aca="false">B34*'Defense Supercycle'!$B$17+C34*'Defense Supercycle'!$B$18+D34*'Defense Supercycle'!$B$19+E34*'Defense Supercycle'!$B$20</f>
        <v>1056.86957918621</v>
      </c>
    </row>
    <row r="35" customFormat="false" ht="15" hidden="false" customHeight="true" outlineLevel="0" collapsed="false">
      <c r="A35" s="44" t="s">
        <v>121</v>
      </c>
      <c r="B35" s="62" t="n">
        <f aca="false">-Assumptions!$B$9*B34</f>
        <v>-148.477499442009</v>
      </c>
      <c r="C35" s="62" t="n">
        <f aca="false">-Assumptions!$B$9*C34</f>
        <v>-418.035066221304</v>
      </c>
      <c r="D35" s="62" t="n">
        <f aca="false">-Assumptions!$B$9*D34</f>
        <v>-0</v>
      </c>
      <c r="E35" s="63" t="n">
        <f aca="false">-Assumptions!$B$9*E34</f>
        <v>-267.001830220087</v>
      </c>
      <c r="F35" s="64" t="n">
        <f aca="false">B35*'Defense Supercycle'!$B$17+C35*'Defense Supercycle'!$B$18+D35*'Defense Supercycle'!$B$19+E35*'Defense Supercycle'!$B$20</f>
        <v>-211.373915837243</v>
      </c>
    </row>
    <row r="36" customFormat="false" ht="15" hidden="false" customHeight="true" outlineLevel="0" collapsed="false">
      <c r="A36" s="44" t="s">
        <v>122</v>
      </c>
      <c r="B36" s="62" t="n">
        <f aca="false">-'Holdco Summary'!$B$9*Assumptions!$B$8*5</f>
        <v>-84</v>
      </c>
      <c r="C36" s="62" t="n">
        <f aca="false">-'Holdco Summary'!$B$9*Assumptions!$B$8*5</f>
        <v>-84</v>
      </c>
      <c r="D36" s="62" t="n">
        <f aca="false">-'Holdco Summary'!$B$9*Assumptions!$B$8*5</f>
        <v>-84</v>
      </c>
      <c r="E36" s="63" t="n">
        <f aca="false">-'Holdco Summary'!$B$9*Assumptions!$B$8*5</f>
        <v>-84</v>
      </c>
      <c r="F36" s="64" t="n">
        <f aca="false">-'Holdco Summary'!$B$9*Assumptions!$B$8*5</f>
        <v>-84</v>
      </c>
    </row>
    <row r="37" customFormat="false" ht="15" hidden="false" customHeight="true" outlineLevel="0" collapsed="false">
      <c r="A37" s="65" t="s">
        <v>123</v>
      </c>
      <c r="B37" s="66" t="n">
        <f aca="false">B31+B35+B36</f>
        <v>1744.14558228004</v>
      </c>
      <c r="C37" s="66" t="n">
        <f aca="false">C31+C35+C36</f>
        <v>2822.37584939722</v>
      </c>
      <c r="D37" s="66" t="n">
        <f aca="false">D31+D35+D36</f>
        <v>641.992098647617</v>
      </c>
      <c r="E37" s="66" t="n">
        <f aca="false">E31+E35+E36</f>
        <v>2218.24290539235</v>
      </c>
      <c r="F37" s="66" t="n">
        <f aca="false">F31+F35+F36</f>
        <v>1919.49472498131</v>
      </c>
    </row>
    <row r="38" customFormat="false" ht="15" hidden="false" customHeight="true" outlineLevel="0" collapsed="false">
      <c r="A38" s="65" t="s">
        <v>29</v>
      </c>
      <c r="B38" s="67" t="n">
        <f aca="false">B37/'Holdco Summary'!$B$9</f>
        <v>2.07636378842861</v>
      </c>
      <c r="C38" s="67" t="n">
        <f aca="false">C37/'Holdco Summary'!$B$9</f>
        <v>3.3599712492824</v>
      </c>
      <c r="D38" s="67" t="n">
        <f aca="false">D37/'Holdco Summary'!$B$9</f>
        <v>0.76427630791383</v>
      </c>
      <c r="E38" s="67" t="n">
        <f aca="false">E37/'Holdco Summary'!$B$9</f>
        <v>2.64076536356232</v>
      </c>
      <c r="F38" s="67" t="n">
        <f aca="false">F37/'Holdco Summary'!$B$9</f>
        <v>2.2851127678349</v>
      </c>
    </row>
    <row r="39" customFormat="false" ht="15" hidden="false" customHeight="true" outlineLevel="0" collapsed="false">
      <c r="A39" s="44" t="s">
        <v>124</v>
      </c>
      <c r="B39" s="68" t="n">
        <f aca="false">B37/'Holdco Summary'!$B$9</f>
        <v>2.07636378842861</v>
      </c>
      <c r="C39" s="68" t="n">
        <f aca="false">C37/'Holdco Summary'!$B$9</f>
        <v>3.3599712492824</v>
      </c>
      <c r="D39" s="68" t="n">
        <f aca="false">D37/'Holdco Summary'!$B$9</f>
        <v>0.76427630791383</v>
      </c>
      <c r="E39" s="69" t="n">
        <f aca="false">E37/'Holdco Summary'!$B$9</f>
        <v>2.64076536356232</v>
      </c>
      <c r="F39" s="70" t="n">
        <f aca="false">F37/'Holdco Summary'!$B$9</f>
        <v>2.2851127678349</v>
      </c>
    </row>
    <row r="40" customFormat="false" ht="15" hidden="false" customHeight="true" outlineLevel="0" collapsed="false">
      <c r="A40" s="65" t="s">
        <v>28</v>
      </c>
      <c r="B40" s="51" t="n">
        <f aca="false">(B37/'Holdco Summary'!$B$9)^(1/5)-1</f>
        <v>0.157339269213003</v>
      </c>
      <c r="C40" s="51" t="n">
        <f aca="false">(C37/'Holdco Summary'!$B$9)^(1/5)-1</f>
        <v>0.27428658831713</v>
      </c>
      <c r="D40" s="51" t="n">
        <f aca="false">(D37/'Holdco Summary'!$B$9)^(1/5)-1</f>
        <v>-0.0523453905389164</v>
      </c>
      <c r="E40" s="51" t="n">
        <f aca="false">(E37/'Holdco Summary'!$B$9)^(1/5)-1</f>
        <v>0.214355832416136</v>
      </c>
      <c r="F40" s="51" t="n">
        <f aca="false">(F37/'Holdco Summary'!$B$9)^(1/5)-1</f>
        <v>0.179727022553126</v>
      </c>
    </row>
    <row r="41" customFormat="false" ht="15" hidden="false" customHeight="true" outlineLevel="0" collapsed="false">
      <c r="A41" s="44" t="s">
        <v>125</v>
      </c>
      <c r="B41" s="68" t="n">
        <f aca="false">B38/(1+'Holdco Summary'!$B$21)^5</f>
        <v>1.34949399547309</v>
      </c>
      <c r="C41" s="68" t="n">
        <f aca="false">C38/(1+'Holdco Summary'!$B$21)^5</f>
        <v>2.18375077196869</v>
      </c>
      <c r="D41" s="68" t="n">
        <f aca="false">D38/(1+'Holdco Summary'!$B$21)^5</f>
        <v>0.496727160317416</v>
      </c>
      <c r="E41" s="69" t="n">
        <f aca="false">E38/(1+'Holdco Summary'!$B$21)^5</f>
        <v>1.71631629362871</v>
      </c>
      <c r="F41" s="70" t="n">
        <f aca="false">F38/(1+'Holdco Summary'!$B$21)^5</f>
        <v>1.48516650904698</v>
      </c>
    </row>
    <row r="42" customFormat="false" ht="15" hidden="false" customHeight="true" outlineLevel="0" collapsed="false">
      <c r="A42" s="44" t="s">
        <v>126</v>
      </c>
      <c r="B42" s="68" t="n">
        <f aca="false">B38/(1+'Holdco Summary'!$B$22)^5</f>
        <v>1.12696707691909</v>
      </c>
      <c r="C42" s="68" t="n">
        <f aca="false">C38/(1+'Holdco Summary'!$B$22)^5</f>
        <v>1.8236577802205</v>
      </c>
      <c r="D42" s="68" t="n">
        <f aca="false">D38/(1+'Holdco Summary'!$B$22)^5</f>
        <v>0.414818559969205</v>
      </c>
      <c r="E42" s="69" t="n">
        <f aca="false">E38/(1+'Holdco Summary'!$B$22)^5</f>
        <v>1.43330163971664</v>
      </c>
      <c r="F42" s="70" t="n">
        <f aca="false">F38/(1+'Holdco Summary'!$B$22)^5</f>
        <v>1.24026765962159</v>
      </c>
    </row>
    <row r="43" customFormat="false" ht="15" hidden="false" customHeight="true" outlineLevel="0" collapsed="false">
      <c r="A43" s="65" t="s">
        <v>127</v>
      </c>
      <c r="B43" s="67" t="n">
        <f aca="false">B38/(1+'Holdco Summary'!$B$23)^5</f>
        <v>1.03231976962253</v>
      </c>
      <c r="C43" s="67" t="n">
        <f aca="false">C38/(1+'Holdco Summary'!$B$23)^5</f>
        <v>1.67049953641434</v>
      </c>
      <c r="D43" s="67" t="n">
        <f aca="false">D38/(1+'Holdco Summary'!$B$23)^5</f>
        <v>0.379980399634428</v>
      </c>
      <c r="E43" s="67" t="n">
        <f aca="false">E38/(1+'Holdco Summary'!$B$23)^5</f>
        <v>1.31292710214472</v>
      </c>
      <c r="F43" s="67" t="n">
        <f aca="false">F38/(1+'Holdco Summary'!$B$23)^5</f>
        <v>1.13610490570059</v>
      </c>
    </row>
    <row r="44" customFormat="false" ht="15" hidden="false" customHeight="true" outlineLevel="0" collapsed="false">
      <c r="A44" s="44" t="s">
        <v>128</v>
      </c>
      <c r="B44" s="46" t="n">
        <f aca="false">(B38/(1+'Holdco Summary'!$B$23)^5)^(1/5)-1</f>
        <v>0.00638197322869805</v>
      </c>
      <c r="C44" s="46" t="n">
        <f aca="false">(C38/(1+'Holdco Summary'!$B$23)^5)^(1/5)-1</f>
        <v>0.108075294188809</v>
      </c>
      <c r="D44" s="46" t="n">
        <f aca="false">(D38/(1+'Holdco Summary'!$B$23)^5)^(1/5)-1</f>
        <v>-0.175952513512101</v>
      </c>
      <c r="E44" s="71" t="n">
        <f aca="false">(E38/(1+'Holdco Summary'!$B$23)^5)^(1/5)-1</f>
        <v>0.0559615934053355</v>
      </c>
      <c r="F44" s="72" t="n">
        <f aca="false">(F38/(1+'Holdco Summary'!$B$23)^5)^(1/5)-1</f>
        <v>0.0258495848288052</v>
      </c>
    </row>
    <row r="45" customFormat="false" ht="15" hidden="false" customHeight="true" outlineLevel="0" collapsed="false">
      <c r="A45" s="1"/>
      <c r="B45" s="1"/>
      <c r="C45" s="1"/>
      <c r="D45" s="1"/>
      <c r="E45" s="1"/>
      <c r="F45" s="1"/>
    </row>
    <row r="46" customFormat="false" ht="15" hidden="false" customHeight="true" outlineLevel="0" collapsed="false">
      <c r="A46" s="1"/>
      <c r="B46" s="1"/>
      <c r="C46" s="1"/>
      <c r="D46" s="1"/>
      <c r="E46" s="1"/>
      <c r="F46" s="1"/>
    </row>
    <row r="47" customFormat="false" ht="15" hidden="false" customHeight="true" outlineLevel="0" collapsed="false">
      <c r="A47" s="60" t="s">
        <v>129</v>
      </c>
      <c r="B47" s="1"/>
      <c r="C47" s="1"/>
      <c r="D47" s="1"/>
      <c r="E47" s="1"/>
      <c r="F47" s="1"/>
    </row>
    <row r="48" customFormat="false" ht="15" hidden="false" customHeight="true" outlineLevel="0" collapsed="false">
      <c r="A48" s="43" t="s">
        <v>113</v>
      </c>
      <c r="B48" s="43" t="s">
        <v>36</v>
      </c>
      <c r="C48" s="43" t="s">
        <v>37</v>
      </c>
      <c r="D48" s="43" t="s">
        <v>38</v>
      </c>
      <c r="E48" s="53" t="s">
        <v>39</v>
      </c>
      <c r="F48" s="61" t="s">
        <v>40</v>
      </c>
    </row>
    <row r="49" customFormat="false" ht="15" hidden="false" customHeight="true" outlineLevel="0" collapsed="false">
      <c r="A49" s="44" t="s">
        <v>114</v>
      </c>
      <c r="B49" s="62" t="n">
        <f aca="false">'Fund Economics'!B22</f>
        <v>778.130771476382</v>
      </c>
      <c r="C49" s="62" t="n">
        <f aca="false">'Fund Economics'!C22</f>
        <v>1497.00529659531</v>
      </c>
      <c r="D49" s="62" t="n">
        <f aca="false">'Fund Economics'!D22</f>
        <v>100.033688193608</v>
      </c>
      <c r="E49" s="63" t="n">
        <f aca="false">'Fund Economics'!E22</f>
        <v>1542.44752433582</v>
      </c>
      <c r="F49" s="64" t="n">
        <f aca="false">'Fund Economics'!F22</f>
        <v>970.782353192614</v>
      </c>
    </row>
    <row r="50" customFormat="false" ht="15" hidden="false" customHeight="true" outlineLevel="0" collapsed="false">
      <c r="A50" s="44" t="s">
        <v>115</v>
      </c>
      <c r="B50" s="62" t="n">
        <f aca="false">'Weapons Sleeve'!C51</f>
        <v>1337.95191295883</v>
      </c>
      <c r="C50" s="62" t="n">
        <f aca="false">'Weapons Sleeve'!F51</f>
        <v>2755.74233174324</v>
      </c>
      <c r="D50" s="62" t="n">
        <f aca="false">'Weapons Sleeve'!I51</f>
        <v>457.254041178369</v>
      </c>
      <c r="E50" s="63" t="n">
        <f aca="false">'Weapons Sleeve'!L51</f>
        <v>2758.60558802122</v>
      </c>
      <c r="F50" s="64" t="n">
        <f aca="false">B50*'Defense Supercycle'!$B$17+C50*'Defense Supercycle'!$B$18+D50*'Defense Supercycle'!$B$19+E50*'Defense Supercycle'!$B$20</f>
        <v>1773.39288814722</v>
      </c>
    </row>
    <row r="51" customFormat="false" ht="15" hidden="false" customHeight="true" outlineLevel="0" collapsed="false">
      <c r="A51" s="44" t="s">
        <v>116</v>
      </c>
      <c r="B51" s="62" t="n">
        <f aca="false">'Consumer Sleeve'!C48</f>
        <v>662.014273577468</v>
      </c>
      <c r="C51" s="62" t="n">
        <f aca="false">'Consumer Sleeve'!F48</f>
        <v>1544.53381795399</v>
      </c>
      <c r="D51" s="62" t="n">
        <f aca="false">'Consumer Sleeve'!I48</f>
        <v>149.23724635868</v>
      </c>
      <c r="E51" s="63" t="n">
        <f aca="false">'Consumer Sleeve'!L48</f>
        <v>70.1827386733369</v>
      </c>
      <c r="F51" s="64" t="n">
        <f aca="false">B51*'Defense Supercycle'!$B$17+C51*'Defense Supercycle'!$B$18+D51*'Defense Supercycle'!$B$19+E51*'Defense Supercycle'!$B$20</f>
        <v>716.952875353161</v>
      </c>
    </row>
    <row r="52" customFormat="false" ht="15" hidden="false" customHeight="true" outlineLevel="0" collapsed="false">
      <c r="A52" s="65" t="s">
        <v>117</v>
      </c>
      <c r="B52" s="66" t="n">
        <f aca="false">B49+B50+B51</f>
        <v>2778.09695801268</v>
      </c>
      <c r="C52" s="66" t="n">
        <f aca="false">C49+C50+C51</f>
        <v>5797.28144629254</v>
      </c>
      <c r="D52" s="66" t="n">
        <f aca="false">D49+D50+D51</f>
        <v>706.524975730658</v>
      </c>
      <c r="E52" s="66" t="n">
        <f aca="false">E49+E50+E51</f>
        <v>4371.23585103038</v>
      </c>
      <c r="F52" s="66" t="n">
        <f aca="false">F49+F50+F51</f>
        <v>3461.12811669299</v>
      </c>
    </row>
    <row r="53" customFormat="false" ht="15" hidden="false" customHeight="true" outlineLevel="0" collapsed="false">
      <c r="A53" s="44" t="s">
        <v>118</v>
      </c>
      <c r="B53" s="62" t="n">
        <f aca="false">-'Holdco Summary'!$B$9</f>
        <v>-840</v>
      </c>
      <c r="C53" s="62" t="n">
        <f aca="false">-'Holdco Summary'!$B$9</f>
        <v>-840</v>
      </c>
      <c r="D53" s="62" t="n">
        <f aca="false">-'Holdco Summary'!$B$9</f>
        <v>-840</v>
      </c>
      <c r="E53" s="63" t="n">
        <f aca="false">-'Holdco Summary'!$B$9</f>
        <v>-840</v>
      </c>
      <c r="F53" s="64" t="n">
        <f aca="false">-'Holdco Summary'!$B$9</f>
        <v>-840</v>
      </c>
    </row>
    <row r="54" customFormat="false" ht="15" hidden="false" customHeight="true" outlineLevel="0" collapsed="false">
      <c r="A54" s="44" t="s">
        <v>119</v>
      </c>
      <c r="B54" s="62" t="n">
        <f aca="false">-'Holdco Summary'!$B$9*((1+Assumptions!$B$10)^7-1)</f>
        <v>-599.612385774798</v>
      </c>
      <c r="C54" s="62" t="n">
        <f aca="false">-'Holdco Summary'!$B$9*((1+Assumptions!$B$10)^7-1)</f>
        <v>-599.612385774798</v>
      </c>
      <c r="D54" s="62" t="n">
        <f aca="false">-'Holdco Summary'!$B$9*((1+Assumptions!$B$10)^7-1)</f>
        <v>-599.612385774798</v>
      </c>
      <c r="E54" s="63" t="n">
        <f aca="false">-'Holdco Summary'!$B$9*((1+Assumptions!$B$10)^7-1)</f>
        <v>-599.612385774798</v>
      </c>
      <c r="F54" s="64" t="n">
        <f aca="false">-'Holdco Summary'!$B$9*((1+Assumptions!$B$10)^7-1)</f>
        <v>-599.612385774798</v>
      </c>
    </row>
    <row r="55" customFormat="false" ht="15" hidden="false" customHeight="true" outlineLevel="0" collapsed="false">
      <c r="A55" s="44" t="s">
        <v>120</v>
      </c>
      <c r="B55" s="62" t="n">
        <f aca="false">MAX(0,B52+B53+B54)</f>
        <v>1338.48457223788</v>
      </c>
      <c r="C55" s="62" t="n">
        <f aca="false">MAX(0,C52+C53+C54)</f>
        <v>4357.66906051774</v>
      </c>
      <c r="D55" s="62" t="n">
        <f aca="false">MAX(0,D52+D53+D54)</f>
        <v>0</v>
      </c>
      <c r="E55" s="63" t="n">
        <f aca="false">MAX(0,E52+E53+E54)</f>
        <v>2931.62346525558</v>
      </c>
      <c r="F55" s="64" t="n">
        <f aca="false">B55*'Defense Supercycle'!$B$17+C55*'Defense Supercycle'!$B$18+D55*'Defense Supercycle'!$B$19+E55*'Defense Supercycle'!$B$20</f>
        <v>2131.47884242482</v>
      </c>
    </row>
    <row r="56" customFormat="false" ht="15" hidden="false" customHeight="true" outlineLevel="0" collapsed="false">
      <c r="A56" s="44" t="s">
        <v>121</v>
      </c>
      <c r="B56" s="62" t="n">
        <f aca="false">-Assumptions!$B$9*B55</f>
        <v>-267.696914447575</v>
      </c>
      <c r="C56" s="62" t="n">
        <f aca="false">-Assumptions!$B$9*C55</f>
        <v>-871.533812103548</v>
      </c>
      <c r="D56" s="62" t="n">
        <f aca="false">-Assumptions!$B$9*D55</f>
        <v>-0</v>
      </c>
      <c r="E56" s="63" t="n">
        <f aca="false">-Assumptions!$B$9*E55</f>
        <v>-586.324693051116</v>
      </c>
      <c r="F56" s="64" t="n">
        <f aca="false">B56*'Defense Supercycle'!$B$17+C56*'Defense Supercycle'!$B$18+D56*'Defense Supercycle'!$B$19+E56*'Defense Supercycle'!$B$20</f>
        <v>-426.295768484963</v>
      </c>
    </row>
    <row r="57" customFormat="false" ht="15" hidden="false" customHeight="true" outlineLevel="0" collapsed="false">
      <c r="A57" s="44" t="s">
        <v>122</v>
      </c>
      <c r="B57" s="62" t="n">
        <f aca="false">-'Holdco Summary'!$B$9*Assumptions!$B$8*7</f>
        <v>-117.6</v>
      </c>
      <c r="C57" s="62" t="n">
        <f aca="false">-'Holdco Summary'!$B$9*Assumptions!$B$8*7</f>
        <v>-117.6</v>
      </c>
      <c r="D57" s="62" t="n">
        <f aca="false">-'Holdco Summary'!$B$9*Assumptions!$B$8*7</f>
        <v>-117.6</v>
      </c>
      <c r="E57" s="63" t="n">
        <f aca="false">-'Holdco Summary'!$B$9*Assumptions!$B$8*7</f>
        <v>-117.6</v>
      </c>
      <c r="F57" s="64" t="n">
        <f aca="false">-'Holdco Summary'!$B$9*Assumptions!$B$8*7</f>
        <v>-117.6</v>
      </c>
    </row>
    <row r="58" customFormat="false" ht="15" hidden="false" customHeight="true" outlineLevel="0" collapsed="false">
      <c r="A58" s="65" t="s">
        <v>123</v>
      </c>
      <c r="B58" s="66" t="n">
        <f aca="false">B52+B56+B57</f>
        <v>2392.8000435651</v>
      </c>
      <c r="C58" s="66" t="n">
        <f aca="false">C52+C56+C57</f>
        <v>4808.14763418899</v>
      </c>
      <c r="D58" s="66" t="n">
        <f aca="false">D52+D56+D57</f>
        <v>588.924975730658</v>
      </c>
      <c r="E58" s="66" t="n">
        <f aca="false">E52+E56+E57</f>
        <v>3667.31115797926</v>
      </c>
      <c r="F58" s="66" t="n">
        <f aca="false">F52+F56+F57</f>
        <v>2917.23234820803</v>
      </c>
    </row>
    <row r="59" customFormat="false" ht="15" hidden="false" customHeight="true" outlineLevel="0" collapsed="false">
      <c r="A59" s="65" t="s">
        <v>29</v>
      </c>
      <c r="B59" s="67" t="n">
        <f aca="false">B58/'Holdco Summary'!$B$9</f>
        <v>2.84857148043464</v>
      </c>
      <c r="C59" s="67" t="n">
        <f aca="false">C58/'Holdco Summary'!$B$9</f>
        <v>5.72398527879642</v>
      </c>
      <c r="D59" s="67" t="n">
        <f aca="false">D58/'Holdco Summary'!$B$9</f>
        <v>0.701101161584116</v>
      </c>
      <c r="E59" s="67" t="n">
        <f aca="false">E58/'Holdco Summary'!$B$9</f>
        <v>4.36584661664198</v>
      </c>
      <c r="F59" s="67" t="n">
        <f aca="false">F58/'Holdco Summary'!$B$9</f>
        <v>3.47289565262861</v>
      </c>
    </row>
    <row r="60" customFormat="false" ht="15" hidden="false" customHeight="true" outlineLevel="0" collapsed="false">
      <c r="A60" s="44" t="s">
        <v>124</v>
      </c>
      <c r="B60" s="68" t="n">
        <f aca="false">B58/'Holdco Summary'!$B$9</f>
        <v>2.84857148043464</v>
      </c>
      <c r="C60" s="68" t="n">
        <f aca="false">C58/'Holdco Summary'!$B$9</f>
        <v>5.72398527879642</v>
      </c>
      <c r="D60" s="68" t="n">
        <f aca="false">D58/'Holdco Summary'!$B$9</f>
        <v>0.701101161584116</v>
      </c>
      <c r="E60" s="69" t="n">
        <f aca="false">E58/'Holdco Summary'!$B$9</f>
        <v>4.36584661664198</v>
      </c>
      <c r="F60" s="70" t="n">
        <f aca="false">F58/'Holdco Summary'!$B$9</f>
        <v>3.47289565262861</v>
      </c>
    </row>
    <row r="61" customFormat="false" ht="15" hidden="false" customHeight="true" outlineLevel="0" collapsed="false">
      <c r="A61" s="65" t="s">
        <v>28</v>
      </c>
      <c r="B61" s="51" t="n">
        <f aca="false">(B58/'Holdco Summary'!$B$9)^(1/7)-1</f>
        <v>0.16130616532457</v>
      </c>
      <c r="C61" s="51" t="n">
        <f aca="false">(C58/'Holdco Summary'!$B$9)^(1/7)-1</f>
        <v>0.283047231841675</v>
      </c>
      <c r="D61" s="51" t="n">
        <f aca="false">(D58/'Holdco Summary'!$B$9)^(1/7)-1</f>
        <v>-0.0494637815384494</v>
      </c>
      <c r="E61" s="51" t="n">
        <f aca="false">(E58/'Holdco Summary'!$B$9)^(1/7)-1</f>
        <v>0.234350090993351</v>
      </c>
      <c r="F61" s="51" t="n">
        <f aca="false">(F58/'Holdco Summary'!$B$9)^(1/7)-1</f>
        <v>0.194652720360569</v>
      </c>
    </row>
    <row r="62" customFormat="false" ht="15" hidden="false" customHeight="true" outlineLevel="0" collapsed="false">
      <c r="A62" s="44" t="s">
        <v>125</v>
      </c>
      <c r="B62" s="68" t="n">
        <f aca="false">B59/(1+'Holdco Summary'!$B$21)^7</f>
        <v>1.55826614868177</v>
      </c>
      <c r="C62" s="68" t="n">
        <f aca="false">C59/(1+'Holdco Summary'!$B$21)^7</f>
        <v>3.13121596448066</v>
      </c>
      <c r="D62" s="68" t="n">
        <f aca="false">D59/(1+'Holdco Summary'!$B$21)^7</f>
        <v>0.38352634448594</v>
      </c>
      <c r="E62" s="69" t="n">
        <f aca="false">E59/(1+'Holdco Summary'!$B$21)^7</f>
        <v>2.3882676070365</v>
      </c>
      <c r="F62" s="70" t="n">
        <f aca="false">F59/(1+'Holdco Summary'!$B$21)^7</f>
        <v>1.89979285075533</v>
      </c>
    </row>
    <row r="63" customFormat="false" ht="15" hidden="false" customHeight="true" outlineLevel="0" collapsed="false">
      <c r="A63" s="44" t="s">
        <v>126</v>
      </c>
      <c r="B63" s="68" t="n">
        <f aca="false">B59/(1+'Holdco Summary'!$B$22)^7</f>
        <v>1.21081562723045</v>
      </c>
      <c r="C63" s="68" t="n">
        <f aca="false">C59/(1+'Holdco Summary'!$B$22)^7</f>
        <v>2.43304086739864</v>
      </c>
      <c r="D63" s="68" t="n">
        <f aca="false">D59/(1+'Holdco Summary'!$B$22)^7</f>
        <v>0.298010511074112</v>
      </c>
      <c r="E63" s="69" t="n">
        <f aca="false">E59/(1+'Holdco Summary'!$B$22)^7</f>
        <v>1.85574957336675</v>
      </c>
      <c r="F63" s="70" t="n">
        <f aca="false">F59/(1+'Holdco Summary'!$B$22)^7</f>
        <v>1.47619126176949</v>
      </c>
    </row>
    <row r="64" customFormat="false" ht="15" hidden="false" customHeight="true" outlineLevel="0" collapsed="false">
      <c r="A64" s="65" t="s">
        <v>127</v>
      </c>
      <c r="B64" s="67" t="n">
        <f aca="false">B59/(1+'Holdco Summary'!$B$23)^7</f>
        <v>1.07088353036394</v>
      </c>
      <c r="C64" s="67" t="n">
        <f aca="false">C59/(1+'Holdco Summary'!$B$23)^7</f>
        <v>2.15185808227408</v>
      </c>
      <c r="D64" s="67" t="n">
        <f aca="false">D59/(1+'Holdco Summary'!$B$23)^7</f>
        <v>0.263569895372574</v>
      </c>
      <c r="E64" s="67" t="n">
        <f aca="false">E59/(1+'Holdco Summary'!$B$23)^7</f>
        <v>1.64128345381863</v>
      </c>
      <c r="F64" s="67" t="n">
        <f aca="false">F59/(1+'Holdco Summary'!$B$23)^7</f>
        <v>1.30559011161098</v>
      </c>
    </row>
    <row r="65" customFormat="false" ht="15" hidden="false" customHeight="true" outlineLevel="0" collapsed="false">
      <c r="A65" s="44" t="s">
        <v>128</v>
      </c>
      <c r="B65" s="46" t="n">
        <f aca="false">(B59/(1+'Holdco Summary'!$B$23)^7)^(1/7)-1</f>
        <v>0.00983144810832193</v>
      </c>
      <c r="C65" s="46" t="n">
        <f aca="false">(C59/(1+'Holdco Summary'!$B$23)^7)^(1/7)-1</f>
        <v>0.115693245079717</v>
      </c>
      <c r="D65" s="46" t="n">
        <f aca="false">(D59/(1+'Holdco Summary'!$B$23)^7)^(1/7)-1</f>
        <v>-0.173446766555173</v>
      </c>
      <c r="E65" s="71" t="n">
        <f aca="false">(E59/(1+'Holdco Summary'!$B$23)^7)^(1/7)-1</f>
        <v>0.0733479052116093</v>
      </c>
      <c r="F65" s="72" t="n">
        <f aca="false">(F59/(1+'Holdco Summary'!$B$23)^7)^(1/7)-1</f>
        <v>0.0388284524874518</v>
      </c>
    </row>
    <row r="66" customFormat="false" ht="15" hidden="false" customHeight="true" outlineLevel="0" collapsed="false">
      <c r="A66" s="1"/>
      <c r="B66" s="1"/>
      <c r="C66" s="1"/>
      <c r="D66" s="1"/>
      <c r="E66" s="1"/>
      <c r="F66" s="1"/>
    </row>
    <row r="67" customFormat="false" ht="15" hidden="false" customHeight="true" outlineLevel="0" collapsed="false">
      <c r="A67" s="1"/>
      <c r="B67" s="1"/>
      <c r="C67" s="1"/>
      <c r="D67" s="1"/>
      <c r="E67" s="1"/>
      <c r="F67" s="1"/>
    </row>
    <row r="68" customFormat="false" ht="15" hidden="false" customHeight="true" outlineLevel="0" collapsed="false">
      <c r="A68" s="60" t="s">
        <v>130</v>
      </c>
      <c r="B68" s="1"/>
      <c r="C68" s="1"/>
      <c r="D68" s="1"/>
      <c r="E68" s="1"/>
      <c r="F68" s="1"/>
    </row>
    <row r="69" customFormat="false" ht="15" hidden="false" customHeight="true" outlineLevel="0" collapsed="false">
      <c r="A69" s="43" t="s">
        <v>113</v>
      </c>
      <c r="B69" s="43" t="s">
        <v>36</v>
      </c>
      <c r="C69" s="43" t="s">
        <v>37</v>
      </c>
      <c r="D69" s="43" t="s">
        <v>38</v>
      </c>
      <c r="E69" s="53" t="s">
        <v>39</v>
      </c>
      <c r="F69" s="61" t="s">
        <v>40</v>
      </c>
    </row>
    <row r="70" customFormat="false" ht="15" hidden="false" customHeight="true" outlineLevel="0" collapsed="false">
      <c r="A70" s="44" t="s">
        <v>114</v>
      </c>
      <c r="B70" s="62" t="n">
        <f aca="false">'Fund Economics'!B38</f>
        <v>1261.4559359609</v>
      </c>
      <c r="C70" s="62" t="n">
        <f aca="false">'Fund Economics'!C38</f>
        <v>3197.6971889939</v>
      </c>
      <c r="D70" s="62" t="n">
        <f aca="false">'Fund Economics'!D38</f>
        <v>73.9633539413038</v>
      </c>
      <c r="E70" s="63" t="n">
        <f aca="false">'Fund Economics'!E38</f>
        <v>3418.1014561194</v>
      </c>
      <c r="F70" s="64" t="n">
        <f aca="false">'Fund Economics'!F38</f>
        <v>1890.88918993998</v>
      </c>
    </row>
    <row r="71" customFormat="false" ht="15" hidden="false" customHeight="true" outlineLevel="0" collapsed="false">
      <c r="A71" s="44" t="s">
        <v>115</v>
      </c>
      <c r="B71" s="62" t="n">
        <f aca="false">'Weapons Sleeve'!C66</f>
        <v>2314.26482107347</v>
      </c>
      <c r="C71" s="62" t="n">
        <f aca="false">'Weapons Sleeve'!F66</f>
        <v>6660.9246225142</v>
      </c>
      <c r="D71" s="62" t="n">
        <f aca="false">'Weapons Sleeve'!I66</f>
        <v>488.044525190846</v>
      </c>
      <c r="E71" s="63" t="n">
        <f aca="false">'Weapons Sleeve'!L66</f>
        <v>6658.40413836404</v>
      </c>
      <c r="F71" s="64" t="n">
        <f aca="false">B71*'Defense Supercycle'!$B$17+C71*'Defense Supercycle'!$B$18+D71*'Defense Supercycle'!$B$19+E71*'Defense Supercycle'!$B$20</f>
        <v>3778.61762464484</v>
      </c>
    </row>
    <row r="72" customFormat="false" ht="15" hidden="false" customHeight="true" outlineLevel="0" collapsed="false">
      <c r="A72" s="44" t="s">
        <v>116</v>
      </c>
      <c r="B72" s="62" t="n">
        <f aca="false">'Consumer Sleeve'!C62</f>
        <v>1099.31788792073</v>
      </c>
      <c r="C72" s="62" t="n">
        <f aca="false">'Consumer Sleeve'!F62</f>
        <v>3729.60382672708</v>
      </c>
      <c r="D72" s="62" t="n">
        <f aca="false">'Consumer Sleeve'!I62</f>
        <v>136.436597922451</v>
      </c>
      <c r="E72" s="63" t="n">
        <f aca="false">'Consumer Sleeve'!L62</f>
        <v>45.2255050204007</v>
      </c>
      <c r="F72" s="64" t="n">
        <f aca="false">B72*'Defense Supercycle'!$B$17+C72*'Defense Supercycle'!$B$18+D72*'Defense Supercycle'!$B$19+E72*'Defense Supercycle'!$B$20</f>
        <v>1454.34332168753</v>
      </c>
    </row>
    <row r="73" customFormat="false" ht="15" hidden="false" customHeight="true" outlineLevel="0" collapsed="false">
      <c r="A73" s="65" t="s">
        <v>117</v>
      </c>
      <c r="B73" s="66" t="n">
        <f aca="false">B70+B71+B72</f>
        <v>4675.03864495509</v>
      </c>
      <c r="C73" s="66" t="n">
        <f aca="false">C70+C71+C72</f>
        <v>13588.2256382352</v>
      </c>
      <c r="D73" s="66" t="n">
        <f aca="false">D70+D71+D72</f>
        <v>698.444477054601</v>
      </c>
      <c r="E73" s="66" t="n">
        <f aca="false">E70+E71+E72</f>
        <v>10121.7310995038</v>
      </c>
      <c r="F73" s="66" t="n">
        <f aca="false">F70+F71+F72</f>
        <v>7123.85013627235</v>
      </c>
    </row>
    <row r="74" customFormat="false" ht="15" hidden="false" customHeight="true" outlineLevel="0" collapsed="false">
      <c r="A74" s="44" t="s">
        <v>118</v>
      </c>
      <c r="B74" s="62" t="n">
        <f aca="false">-'Holdco Summary'!$B$9</f>
        <v>-840</v>
      </c>
      <c r="C74" s="62" t="n">
        <f aca="false">-'Holdco Summary'!$B$9</f>
        <v>-840</v>
      </c>
      <c r="D74" s="62" t="n">
        <f aca="false">-'Holdco Summary'!$B$9</f>
        <v>-840</v>
      </c>
      <c r="E74" s="63" t="n">
        <f aca="false">-'Holdco Summary'!$B$9</f>
        <v>-840</v>
      </c>
      <c r="F74" s="64" t="n">
        <f aca="false">-'Holdco Summary'!$B$9</f>
        <v>-840</v>
      </c>
    </row>
    <row r="75" customFormat="false" ht="15" hidden="false" customHeight="true" outlineLevel="0" collapsed="false">
      <c r="A75" s="44" t="s">
        <v>119</v>
      </c>
      <c r="B75" s="62" t="n">
        <f aca="false">-'Holdco Summary'!$B$9*((1+Assumptions!$B$10)^10-1)</f>
        <v>-973.496997709142</v>
      </c>
      <c r="C75" s="62" t="n">
        <f aca="false">-'Holdco Summary'!$B$9*((1+Assumptions!$B$10)^10-1)</f>
        <v>-973.496997709142</v>
      </c>
      <c r="D75" s="62" t="n">
        <f aca="false">-'Holdco Summary'!$B$9*((1+Assumptions!$B$10)^10-1)</f>
        <v>-973.496997709142</v>
      </c>
      <c r="E75" s="63" t="n">
        <f aca="false">-'Holdco Summary'!$B$9*((1+Assumptions!$B$10)^10-1)</f>
        <v>-973.496997709142</v>
      </c>
      <c r="F75" s="64" t="n">
        <f aca="false">-'Holdco Summary'!$B$9*((1+Assumptions!$B$10)^10-1)</f>
        <v>-973.496997709142</v>
      </c>
    </row>
    <row r="76" customFormat="false" ht="15" hidden="false" customHeight="true" outlineLevel="0" collapsed="false">
      <c r="A76" s="44" t="s">
        <v>120</v>
      </c>
      <c r="B76" s="62" t="n">
        <f aca="false">MAX(0,B73+B74+B75)</f>
        <v>2861.54164724595</v>
      </c>
      <c r="C76" s="62" t="n">
        <f aca="false">MAX(0,C73+C74+C75)</f>
        <v>11774.728640526</v>
      </c>
      <c r="D76" s="62" t="n">
        <f aca="false">MAX(0,D73+D74+D75)</f>
        <v>0</v>
      </c>
      <c r="E76" s="63" t="n">
        <f aca="false">MAX(0,E73+E74+E75)</f>
        <v>8308.2341017947</v>
      </c>
      <c r="F76" s="64" t="n">
        <f aca="false">B76*'Defense Supercycle'!$B$17+C76*'Defense Supercycle'!$B$18+D76*'Defense Supercycle'!$B$19+E76*'Defense Supercycle'!$B$20</f>
        <v>5477.61101666139</v>
      </c>
    </row>
    <row r="77" customFormat="false" ht="15" hidden="false" customHeight="true" outlineLevel="0" collapsed="false">
      <c r="A77" s="44" t="s">
        <v>121</v>
      </c>
      <c r="B77" s="62" t="n">
        <f aca="false">-Assumptions!$B$9*B76</f>
        <v>-572.30832944919</v>
      </c>
      <c r="C77" s="62" t="n">
        <f aca="false">-Assumptions!$B$9*C76</f>
        <v>-2354.94572810521</v>
      </c>
      <c r="D77" s="62" t="n">
        <f aca="false">-Assumptions!$B$9*D76</f>
        <v>-0</v>
      </c>
      <c r="E77" s="63" t="n">
        <f aca="false">-Assumptions!$B$9*E76</f>
        <v>-1661.64682035894</v>
      </c>
      <c r="F77" s="64" t="n">
        <f aca="false">B77*'Defense Supercycle'!$B$17+C77*'Defense Supercycle'!$B$18+D77*'Defense Supercycle'!$B$19+E77*'Defense Supercycle'!$B$20</f>
        <v>-1095.52220333228</v>
      </c>
    </row>
    <row r="78" customFormat="false" ht="15" hidden="false" customHeight="true" outlineLevel="0" collapsed="false">
      <c r="A78" s="44" t="s">
        <v>122</v>
      </c>
      <c r="B78" s="62" t="n">
        <f aca="false">-'Holdco Summary'!$B$9*Assumptions!$B$8*10</f>
        <v>-168</v>
      </c>
      <c r="C78" s="62" t="n">
        <f aca="false">-'Holdco Summary'!$B$9*Assumptions!$B$8*10</f>
        <v>-168</v>
      </c>
      <c r="D78" s="62" t="n">
        <f aca="false">-'Holdco Summary'!$B$9*Assumptions!$B$8*10</f>
        <v>-168</v>
      </c>
      <c r="E78" s="63" t="n">
        <f aca="false">-'Holdco Summary'!$B$9*Assumptions!$B$8*10</f>
        <v>-168</v>
      </c>
      <c r="F78" s="64" t="n">
        <f aca="false">-'Holdco Summary'!$B$9*Assumptions!$B$8*10</f>
        <v>-168</v>
      </c>
    </row>
    <row r="79" customFormat="false" ht="15" hidden="false" customHeight="true" outlineLevel="0" collapsed="false">
      <c r="A79" s="65" t="s">
        <v>123</v>
      </c>
      <c r="B79" s="66" t="n">
        <f aca="false">B73+B77+B78</f>
        <v>3934.7303155059</v>
      </c>
      <c r="C79" s="66" t="n">
        <f aca="false">C73+C77+C78</f>
        <v>11065.27991013</v>
      </c>
      <c r="D79" s="66" t="n">
        <f aca="false">D73+D77+D78</f>
        <v>530.444477054601</v>
      </c>
      <c r="E79" s="66" t="n">
        <f aca="false">E73+E77+E78</f>
        <v>8292.0842791449</v>
      </c>
      <c r="F79" s="66" t="n">
        <f aca="false">F73+F77+F78</f>
        <v>5860.32793294008</v>
      </c>
    </row>
    <row r="80" customFormat="false" ht="15" hidden="false" customHeight="true" outlineLevel="0" collapsed="false">
      <c r="A80" s="65" t="s">
        <v>29</v>
      </c>
      <c r="B80" s="67" t="n">
        <f aca="false">B79/'Holdco Summary'!$B$9</f>
        <v>4.68420275655465</v>
      </c>
      <c r="C80" s="67" t="n">
        <f aca="false">C79/'Holdco Summary'!$B$9</f>
        <v>13.1729522739643</v>
      </c>
      <c r="D80" s="67" t="n">
        <f aca="false">D79/'Holdco Summary'!$B$9</f>
        <v>0.631481520303096</v>
      </c>
      <c r="E80" s="67" t="n">
        <f aca="false">E79/'Holdco Summary'!$B$9</f>
        <v>9.87152890374393</v>
      </c>
      <c r="F80" s="67" t="n">
        <f aca="false">F79/'Holdco Summary'!$B$9</f>
        <v>6.97658087254771</v>
      </c>
    </row>
    <row r="81" customFormat="false" ht="15" hidden="false" customHeight="true" outlineLevel="0" collapsed="false">
      <c r="A81" s="44" t="s">
        <v>124</v>
      </c>
      <c r="B81" s="68" t="n">
        <f aca="false">B79/'Holdco Summary'!$B$9</f>
        <v>4.68420275655465</v>
      </c>
      <c r="C81" s="68" t="n">
        <f aca="false">C79/'Holdco Summary'!$B$9</f>
        <v>13.1729522739643</v>
      </c>
      <c r="D81" s="68" t="n">
        <f aca="false">D79/'Holdco Summary'!$B$9</f>
        <v>0.631481520303096</v>
      </c>
      <c r="E81" s="69" t="n">
        <f aca="false">E79/'Holdco Summary'!$B$9</f>
        <v>9.87152890374393</v>
      </c>
      <c r="F81" s="70" t="n">
        <f aca="false">F79/'Holdco Summary'!$B$9</f>
        <v>6.97658087254771</v>
      </c>
    </row>
    <row r="82" customFormat="false" ht="15" hidden="false" customHeight="true" outlineLevel="0" collapsed="false">
      <c r="A82" s="65" t="s">
        <v>28</v>
      </c>
      <c r="B82" s="51" t="n">
        <f aca="false">(B79/'Holdco Summary'!$B$9)^(1/10)-1</f>
        <v>0.166980417765083</v>
      </c>
      <c r="C82" s="51" t="n">
        <f aca="false">(C79/'Holdco Summary'!$B$9)^(1/10)-1</f>
        <v>0.29410141429248</v>
      </c>
      <c r="D82" s="51" t="n">
        <f aca="false">(D79/'Holdco Summary'!$B$9)^(1/10)-1</f>
        <v>-0.0449281064013584</v>
      </c>
      <c r="E82" s="51" t="n">
        <f aca="false">(E79/'Holdco Summary'!$B$9)^(1/10)-1</f>
        <v>0.257298629469196</v>
      </c>
      <c r="F82" s="51" t="n">
        <f aca="false">(F79/'Holdco Summary'!$B$9)^(1/10)-1</f>
        <v>0.214407003929896</v>
      </c>
    </row>
    <row r="83" customFormat="false" ht="15" hidden="false" customHeight="true" outlineLevel="0" collapsed="false">
      <c r="A83" s="44" t="s">
        <v>125</v>
      </c>
      <c r="B83" s="68" t="n">
        <f aca="false">B80/(1+'Holdco Summary'!$B$21)^10</f>
        <v>1.97865786605926</v>
      </c>
      <c r="C83" s="68" t="n">
        <f aca="false">C80/(1+'Holdco Summary'!$B$21)^10</f>
        <v>5.56439739924364</v>
      </c>
      <c r="D83" s="68" t="n">
        <f aca="false">D80/(1+'Holdco Summary'!$B$21)^10</f>
        <v>0.266744618530947</v>
      </c>
      <c r="E83" s="69" t="n">
        <f aca="false">E80/(1+'Holdco Summary'!$B$21)^10</f>
        <v>4.16984048952459</v>
      </c>
      <c r="F83" s="70" t="n">
        <f aca="false">F80/(1+'Holdco Summary'!$B$21)^10</f>
        <v>2.94698315574591</v>
      </c>
    </row>
    <row r="84" customFormat="false" ht="15" hidden="false" customHeight="true" outlineLevel="0" collapsed="false">
      <c r="A84" s="44" t="s">
        <v>126</v>
      </c>
      <c r="B84" s="68" t="n">
        <f aca="false">B80/(1+'Holdco Summary'!$B$22)^10</f>
        <v>1.37991155234128</v>
      </c>
      <c r="C84" s="68" t="n">
        <f aca="false">C80/(1+'Holdco Summary'!$B$22)^10</f>
        <v>3.88059825033142</v>
      </c>
      <c r="D84" s="68" t="n">
        <f aca="false">D80/(1+'Holdco Summary'!$B$22)^10</f>
        <v>0.186027097938263</v>
      </c>
      <c r="E84" s="69" t="n">
        <f aca="false">E80/(1+'Holdco Summary'!$B$22)^10</f>
        <v>2.90803739323323</v>
      </c>
      <c r="F84" s="70" t="n">
        <f aca="false">F80/(1+'Holdco Summary'!$B$22)^10</f>
        <v>2.05521943481215</v>
      </c>
    </row>
    <row r="85" customFormat="false" ht="15" hidden="false" customHeight="true" outlineLevel="0" collapsed="false">
      <c r="A85" s="65" t="s">
        <v>127</v>
      </c>
      <c r="B85" s="67" t="n">
        <f aca="false">B80/(1+'Holdco Summary'!$B$23)^10</f>
        <v>1.15786328179419</v>
      </c>
      <c r="C85" s="67" t="n">
        <f aca="false">C80/(1+'Holdco Summary'!$B$23)^10</f>
        <v>3.25615233659722</v>
      </c>
      <c r="D85" s="67" t="n">
        <f aca="false">D80/(1+'Holdco Summary'!$B$23)^10</f>
        <v>0.15609257401751</v>
      </c>
      <c r="E85" s="67" t="n">
        <f aca="false">E80/(1+'Holdco Summary'!$B$23)^10</f>
        <v>2.44009097104545</v>
      </c>
      <c r="F85" s="67" t="n">
        <f aca="false">F80/(1+'Holdco Summary'!$B$23)^10</f>
        <v>1.72450409271614</v>
      </c>
    </row>
    <row r="86" customFormat="false" ht="15" hidden="false" customHeight="true" outlineLevel="0" collapsed="false">
      <c r="A86" s="44" t="s">
        <v>128</v>
      </c>
      <c r="B86" s="46" t="n">
        <f aca="false">(B80/(1+'Holdco Summary'!$B$23)^10)^(1/10)-1</f>
        <v>0.0147655806652895</v>
      </c>
      <c r="C86" s="46" t="n">
        <f aca="false">(C80/(1+'Holdco Summary'!$B$23)^10)^(1/10)-1</f>
        <v>0.125305577645635</v>
      </c>
      <c r="D86" s="46" t="n">
        <f aca="false">(D80/(1+'Holdco Summary'!$B$23)^10)^(1/10)-1</f>
        <v>-0.169502701218572</v>
      </c>
      <c r="E86" s="71" t="n">
        <f aca="false">(E80/(1+'Holdco Summary'!$B$23)^10)^(1/10)-1</f>
        <v>0.0933031560601707</v>
      </c>
      <c r="F86" s="72" t="n">
        <f aca="false">(F80/(1+'Holdco Summary'!$B$23)^10)^(1/10)-1</f>
        <v>0.0560060903738222</v>
      </c>
    </row>
    <row r="87" customFormat="false" ht="15" hidden="false" customHeight="true" outlineLevel="0" collapsed="false">
      <c r="A87" s="1"/>
      <c r="B87" s="1"/>
      <c r="C87" s="1"/>
      <c r="D87" s="1"/>
      <c r="E87" s="1"/>
      <c r="F87" s="1"/>
    </row>
    <row r="88" customFormat="false" ht="15" hidden="false" customHeight="true" outlineLevel="0" collapsed="false">
      <c r="A88" s="1"/>
      <c r="B88" s="1"/>
      <c r="C88" s="1"/>
      <c r="D88" s="1"/>
      <c r="E88" s="1"/>
      <c r="F88" s="1"/>
    </row>
    <row r="89" customFormat="false" ht="15" hidden="false" customHeight="true" outlineLevel="0" collapsed="false">
      <c r="A89" s="42" t="s">
        <v>78</v>
      </c>
      <c r="B89" s="1"/>
      <c r="C89" s="1"/>
      <c r="D89" s="1"/>
      <c r="E89" s="1"/>
      <c r="F89" s="1"/>
    </row>
    <row r="90" customFormat="false" ht="27.75" hidden="false" customHeight="true" outlineLevel="0" collapsed="false">
      <c r="A90" s="73" t="s">
        <v>131</v>
      </c>
      <c r="B90" s="73"/>
      <c r="C90" s="73"/>
      <c r="D90" s="73"/>
      <c r="E90" s="73"/>
      <c r="F90" s="73"/>
    </row>
    <row r="91" customFormat="false" ht="27.75" hidden="false" customHeight="true" outlineLevel="0" collapsed="false">
      <c r="A91" s="73" t="s">
        <v>132</v>
      </c>
      <c r="B91" s="73"/>
      <c r="C91" s="73"/>
      <c r="D91" s="73"/>
      <c r="E91" s="73"/>
      <c r="F91" s="73"/>
    </row>
    <row r="92" customFormat="false" ht="27.75" hidden="false" customHeight="true" outlineLevel="0" collapsed="false">
      <c r="A92" s="73" t="s">
        <v>133</v>
      </c>
      <c r="B92" s="73"/>
      <c r="C92" s="73"/>
      <c r="D92" s="73"/>
      <c r="E92" s="73"/>
      <c r="F92" s="73"/>
    </row>
    <row r="93" customFormat="false" ht="27.75" hidden="false" customHeight="true" outlineLevel="0" collapsed="false">
      <c r="A93" s="73" t="s">
        <v>134</v>
      </c>
      <c r="B93" s="73"/>
      <c r="C93" s="73"/>
      <c r="D93" s="73"/>
      <c r="E93" s="73"/>
      <c r="F93" s="73"/>
    </row>
  </sheetData>
  <mergeCells count="9">
    <mergeCell ref="A10:F10"/>
    <mergeCell ref="A11:F11"/>
    <mergeCell ref="A12:F12"/>
    <mergeCell ref="A18:F18"/>
    <mergeCell ref="A24:F24"/>
    <mergeCell ref="A90:F90"/>
    <mergeCell ref="A91:F91"/>
    <mergeCell ref="A92:F92"/>
    <mergeCell ref="A93:F93"/>
  </mergeCells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62"/>
  </cols>
  <sheetData>
    <row r="1" customFormat="false" ht="18" hidden="false" customHeight="true" outlineLevel="0" collapsed="false">
      <c r="A1" s="10" t="s">
        <v>135</v>
      </c>
      <c r="B1" s="1"/>
      <c r="C1" s="1"/>
      <c r="D1" s="1"/>
    </row>
    <row r="2" customFormat="false" ht="15" hidden="false" customHeight="true" outlineLevel="0" collapsed="false">
      <c r="A2" s="41" t="s">
        <v>136</v>
      </c>
      <c r="B2" s="1"/>
      <c r="C2" s="1"/>
      <c r="D2" s="1"/>
    </row>
    <row r="3" customFormat="false" ht="15" hidden="false" customHeight="true" outlineLevel="0" collapsed="false">
      <c r="A3" s="1"/>
      <c r="B3" s="1"/>
      <c r="C3" s="1"/>
      <c r="D3" s="1"/>
    </row>
    <row r="4" customFormat="false" ht="15" hidden="false" customHeight="true" outlineLevel="0" collapsed="false">
      <c r="A4" s="42" t="s">
        <v>137</v>
      </c>
      <c r="B4" s="1"/>
      <c r="C4" s="1"/>
      <c r="D4" s="1"/>
    </row>
    <row r="5" customFormat="false" ht="15" hidden="false" customHeight="true" outlineLevel="0" collapsed="false">
      <c r="A5" s="43" t="s">
        <v>138</v>
      </c>
      <c r="B5" s="43" t="s">
        <v>27</v>
      </c>
      <c r="C5" s="43" t="s">
        <v>139</v>
      </c>
      <c r="D5" s="43" t="s">
        <v>140</v>
      </c>
    </row>
    <row r="6" customFormat="false" ht="15" hidden="false" customHeight="true" outlineLevel="0" collapsed="false">
      <c r="A6" s="47" t="s">
        <v>141</v>
      </c>
      <c r="B6" s="47" t="s">
        <v>142</v>
      </c>
      <c r="C6" s="74" t="s">
        <v>143</v>
      </c>
      <c r="D6" s="75" t="s">
        <v>144</v>
      </c>
    </row>
    <row r="7" customFormat="false" ht="15" hidden="false" customHeight="true" outlineLevel="0" collapsed="false">
      <c r="A7" s="47" t="s">
        <v>145</v>
      </c>
      <c r="B7" s="47" t="s">
        <v>142</v>
      </c>
      <c r="C7" s="74" t="s">
        <v>146</v>
      </c>
      <c r="D7" s="75" t="s">
        <v>147</v>
      </c>
    </row>
    <row r="8" customFormat="false" ht="15" hidden="false" customHeight="true" outlineLevel="0" collapsed="false">
      <c r="A8" s="47" t="s">
        <v>148</v>
      </c>
      <c r="B8" s="47" t="s">
        <v>149</v>
      </c>
      <c r="C8" s="74" t="s">
        <v>150</v>
      </c>
      <c r="D8" s="75" t="s">
        <v>151</v>
      </c>
    </row>
    <row r="9" customFormat="false" ht="15" hidden="false" customHeight="true" outlineLevel="0" collapsed="false">
      <c r="A9" s="47" t="s">
        <v>152</v>
      </c>
      <c r="B9" s="47" t="s">
        <v>153</v>
      </c>
      <c r="C9" s="74" t="s">
        <v>154</v>
      </c>
      <c r="D9" s="75" t="s">
        <v>155</v>
      </c>
    </row>
    <row r="10" customFormat="false" ht="27.75" hidden="false" customHeight="true" outlineLevel="0" collapsed="false">
      <c r="A10" s="47" t="s">
        <v>156</v>
      </c>
      <c r="B10" s="47" t="s">
        <v>157</v>
      </c>
      <c r="C10" s="74" t="s">
        <v>158</v>
      </c>
      <c r="D10" s="75" t="s">
        <v>159</v>
      </c>
    </row>
    <row r="11" customFormat="false" ht="15" hidden="false" customHeight="true" outlineLevel="0" collapsed="false">
      <c r="A11" s="47" t="s">
        <v>160</v>
      </c>
      <c r="B11" s="47" t="s">
        <v>161</v>
      </c>
      <c r="C11" s="74" t="s">
        <v>162</v>
      </c>
      <c r="D11" s="75" t="s">
        <v>163</v>
      </c>
    </row>
    <row r="12" customFormat="false" ht="15" hidden="false" customHeight="true" outlineLevel="0" collapsed="false">
      <c r="A12" s="47" t="s">
        <v>164</v>
      </c>
      <c r="B12" s="47" t="s">
        <v>165</v>
      </c>
      <c r="C12" s="74" t="s">
        <v>166</v>
      </c>
      <c r="D12" s="75" t="s">
        <v>167</v>
      </c>
    </row>
    <row r="13" customFormat="false" ht="15" hidden="false" customHeight="true" outlineLevel="0" collapsed="false">
      <c r="A13" s="47" t="s">
        <v>168</v>
      </c>
      <c r="B13" s="47" t="s">
        <v>169</v>
      </c>
      <c r="C13" s="74" t="s">
        <v>170</v>
      </c>
      <c r="D13" s="75" t="s">
        <v>171</v>
      </c>
    </row>
    <row r="14" customFormat="false" ht="15" hidden="false" customHeight="true" outlineLevel="0" collapsed="false">
      <c r="A14" s="47" t="s">
        <v>172</v>
      </c>
      <c r="B14" s="47" t="s">
        <v>169</v>
      </c>
      <c r="C14" s="74" t="s">
        <v>173</v>
      </c>
      <c r="D14" s="75" t="s">
        <v>174</v>
      </c>
    </row>
    <row r="15" customFormat="false" ht="15" hidden="false" customHeight="true" outlineLevel="0" collapsed="false">
      <c r="A15" s="47" t="s">
        <v>175</v>
      </c>
      <c r="B15" s="47" t="s">
        <v>176</v>
      </c>
      <c r="C15" s="74" t="s">
        <v>177</v>
      </c>
      <c r="D15" s="75" t="s">
        <v>178</v>
      </c>
    </row>
    <row r="16" customFormat="false" ht="48" hidden="false" customHeight="true" outlineLevel="0" collapsed="false">
      <c r="A16" s="11" t="s">
        <v>179</v>
      </c>
      <c r="B16" s="11"/>
      <c r="C16" s="11"/>
      <c r="D16" s="11"/>
    </row>
    <row r="17" customFormat="false" ht="15" hidden="false" customHeight="true" outlineLevel="0" collapsed="false">
      <c r="A17" s="1"/>
      <c r="B17" s="1"/>
      <c r="C17" s="1"/>
      <c r="D17" s="1"/>
    </row>
    <row r="18" customFormat="false" ht="15" hidden="false" customHeight="true" outlineLevel="0" collapsed="false">
      <c r="A18" s="42" t="s">
        <v>180</v>
      </c>
      <c r="B18" s="1"/>
      <c r="C18" s="1"/>
      <c r="D18" s="1"/>
    </row>
    <row r="19" customFormat="false" ht="27.75" hidden="false" customHeight="true" outlineLevel="0" collapsed="false">
      <c r="A19" s="73" t="s">
        <v>181</v>
      </c>
      <c r="B19" s="73"/>
      <c r="C19" s="73"/>
      <c r="D19" s="73"/>
    </row>
    <row r="20" customFormat="false" ht="27.75" hidden="false" customHeight="true" outlineLevel="0" collapsed="false">
      <c r="A20" s="73" t="s">
        <v>182</v>
      </c>
      <c r="B20" s="73"/>
      <c r="C20" s="73"/>
      <c r="D20" s="73"/>
    </row>
    <row r="21" customFormat="false" ht="27.75" hidden="false" customHeight="true" outlineLevel="0" collapsed="false">
      <c r="A21" s="73" t="s">
        <v>183</v>
      </c>
      <c r="B21" s="73"/>
      <c r="C21" s="73"/>
      <c r="D21" s="73"/>
    </row>
    <row r="22" customFormat="false" ht="15" hidden="false" customHeight="true" outlineLevel="0" collapsed="false">
      <c r="A22" s="1"/>
      <c r="B22" s="1"/>
      <c r="C22" s="1"/>
      <c r="D22" s="1"/>
    </row>
    <row r="23" customFormat="false" ht="15" hidden="false" customHeight="true" outlineLevel="0" collapsed="false">
      <c r="A23" s="42" t="s">
        <v>184</v>
      </c>
      <c r="B23" s="1"/>
      <c r="C23" s="1"/>
      <c r="D23" s="1"/>
    </row>
    <row r="24" customFormat="false" ht="27.75" hidden="false" customHeight="true" outlineLevel="0" collapsed="false">
      <c r="A24" s="73" t="s">
        <v>185</v>
      </c>
      <c r="B24" s="73"/>
      <c r="C24" s="73"/>
      <c r="D24" s="73"/>
    </row>
    <row r="25" customFormat="false" ht="27.75" hidden="false" customHeight="true" outlineLevel="0" collapsed="false">
      <c r="A25" s="73" t="s">
        <v>186</v>
      </c>
      <c r="B25" s="73"/>
      <c r="C25" s="73"/>
      <c r="D25" s="73"/>
    </row>
    <row r="26" customFormat="false" ht="27.75" hidden="false" customHeight="true" outlineLevel="0" collapsed="false">
      <c r="A26" s="73" t="s">
        <v>187</v>
      </c>
      <c r="B26" s="73"/>
      <c r="C26" s="73"/>
      <c r="D26" s="73"/>
    </row>
    <row r="27" customFormat="false" ht="15" hidden="false" customHeight="true" outlineLevel="0" collapsed="false">
      <c r="A27" s="1"/>
      <c r="B27" s="1"/>
      <c r="C27" s="1"/>
      <c r="D27" s="1"/>
    </row>
    <row r="28" customFormat="false" ht="15" hidden="false" customHeight="true" outlineLevel="0" collapsed="false">
      <c r="A28" s="42" t="s">
        <v>188</v>
      </c>
      <c r="B28" s="1"/>
      <c r="C28" s="1"/>
      <c r="D28" s="1"/>
    </row>
    <row r="29" customFormat="false" ht="27.75" hidden="false" customHeight="true" outlineLevel="0" collapsed="false">
      <c r="A29" s="73" t="s">
        <v>189</v>
      </c>
      <c r="B29" s="73"/>
      <c r="C29" s="73"/>
      <c r="D29" s="73"/>
    </row>
    <row r="30" customFormat="false" ht="40.5" hidden="false" customHeight="true" outlineLevel="0" collapsed="false">
      <c r="A30" s="73" t="s">
        <v>190</v>
      </c>
      <c r="B30" s="73"/>
      <c r="C30" s="73"/>
      <c r="D30" s="73"/>
    </row>
    <row r="31" customFormat="false" ht="27.75" hidden="false" customHeight="true" outlineLevel="0" collapsed="false">
      <c r="A31" s="73" t="s">
        <v>191</v>
      </c>
      <c r="B31" s="73"/>
      <c r="C31" s="73"/>
      <c r="D31" s="73"/>
    </row>
    <row r="32" customFormat="false" ht="15" hidden="false" customHeight="true" outlineLevel="0" collapsed="false">
      <c r="A32" s="1"/>
      <c r="B32" s="1"/>
      <c r="C32" s="1"/>
      <c r="D32" s="1"/>
    </row>
    <row r="33" customFormat="false" ht="15" hidden="false" customHeight="true" outlineLevel="0" collapsed="false">
      <c r="A33" s="42" t="s">
        <v>192</v>
      </c>
      <c r="B33" s="1"/>
      <c r="C33" s="1"/>
      <c r="D33" s="1"/>
    </row>
    <row r="34" customFormat="false" ht="27.75" hidden="false" customHeight="true" outlineLevel="0" collapsed="false">
      <c r="A34" s="73" t="s">
        <v>193</v>
      </c>
      <c r="B34" s="73"/>
      <c r="C34" s="73"/>
      <c r="D34" s="73"/>
    </row>
    <row r="35" customFormat="false" ht="40.5" hidden="false" customHeight="true" outlineLevel="0" collapsed="false">
      <c r="A35" s="73" t="s">
        <v>194</v>
      </c>
      <c r="B35" s="73"/>
      <c r="C35" s="73"/>
      <c r="D35" s="73"/>
    </row>
    <row r="36" customFormat="false" ht="40.5" hidden="false" customHeight="true" outlineLevel="0" collapsed="false">
      <c r="A36" s="73" t="s">
        <v>195</v>
      </c>
      <c r="B36" s="73"/>
      <c r="C36" s="73"/>
      <c r="D36" s="73"/>
    </row>
    <row r="37" customFormat="false" ht="27.75" hidden="false" customHeight="true" outlineLevel="0" collapsed="false">
      <c r="A37" s="73" t="s">
        <v>196</v>
      </c>
      <c r="B37" s="73"/>
      <c r="C37" s="73"/>
      <c r="D37" s="73"/>
    </row>
    <row r="38" customFormat="false" ht="15" hidden="false" customHeight="true" outlineLevel="0" collapsed="false">
      <c r="A38" s="1"/>
      <c r="B38" s="1"/>
      <c r="C38" s="1"/>
      <c r="D38" s="1"/>
    </row>
    <row r="39" customFormat="false" ht="15" hidden="false" customHeight="true" outlineLevel="0" collapsed="false">
      <c r="A39" s="42" t="s">
        <v>197</v>
      </c>
      <c r="B39" s="1"/>
      <c r="C39" s="1"/>
      <c r="D39" s="1"/>
    </row>
    <row r="40" customFormat="false" ht="15" hidden="false" customHeight="true" outlineLevel="0" collapsed="false">
      <c r="A40" s="43" t="s">
        <v>198</v>
      </c>
      <c r="B40" s="43" t="s">
        <v>55</v>
      </c>
      <c r="C40" s="43" t="s">
        <v>56</v>
      </c>
      <c r="D40" s="43" t="s">
        <v>57</v>
      </c>
    </row>
    <row r="41" customFormat="false" ht="15" hidden="false" customHeight="true" outlineLevel="0" collapsed="false">
      <c r="A41" s="47" t="s">
        <v>199</v>
      </c>
      <c r="B41" s="76" t="s">
        <v>200</v>
      </c>
      <c r="C41" s="76" t="s">
        <v>201</v>
      </c>
      <c r="D41" s="74" t="s">
        <v>202</v>
      </c>
    </row>
    <row r="42" customFormat="false" ht="27.75" hidden="false" customHeight="true" outlineLevel="0" collapsed="false">
      <c r="A42" s="47" t="s">
        <v>203</v>
      </c>
      <c r="B42" s="76" t="s">
        <v>200</v>
      </c>
      <c r="C42" s="76" t="s">
        <v>201</v>
      </c>
      <c r="D42" s="74" t="s">
        <v>202</v>
      </c>
    </row>
    <row r="43" customFormat="false" ht="27.75" hidden="false" customHeight="true" outlineLevel="0" collapsed="false">
      <c r="A43" s="47" t="s">
        <v>204</v>
      </c>
      <c r="B43" s="76" t="s">
        <v>205</v>
      </c>
      <c r="C43" s="76" t="s">
        <v>201</v>
      </c>
      <c r="D43" s="74" t="s">
        <v>202</v>
      </c>
    </row>
    <row r="44" customFormat="false" ht="27.75" hidden="false" customHeight="true" outlineLevel="0" collapsed="false">
      <c r="A44" s="47" t="s">
        <v>206</v>
      </c>
      <c r="B44" s="76" t="s">
        <v>201</v>
      </c>
      <c r="C44" s="76" t="s">
        <v>200</v>
      </c>
      <c r="D44" s="77" t="s">
        <v>207</v>
      </c>
    </row>
    <row r="45" customFormat="false" ht="15" hidden="false" customHeight="true" outlineLevel="0" collapsed="false">
      <c r="A45" s="47" t="s">
        <v>208</v>
      </c>
      <c r="B45" s="76" t="s">
        <v>209</v>
      </c>
      <c r="C45" s="76" t="s">
        <v>210</v>
      </c>
      <c r="D45" s="77" t="s">
        <v>211</v>
      </c>
    </row>
    <row r="46" customFormat="false" ht="15" hidden="false" customHeight="true" outlineLevel="0" collapsed="false">
      <c r="A46" s="47" t="s">
        <v>212</v>
      </c>
      <c r="B46" s="76" t="s">
        <v>201</v>
      </c>
      <c r="C46" s="76" t="s">
        <v>200</v>
      </c>
      <c r="D46" s="74" t="s">
        <v>202</v>
      </c>
    </row>
    <row r="47" customFormat="false" ht="15" hidden="false" customHeight="true" outlineLevel="0" collapsed="false">
      <c r="A47" s="47" t="s">
        <v>213</v>
      </c>
      <c r="B47" s="77" t="s">
        <v>214</v>
      </c>
      <c r="C47" s="77" t="s">
        <v>215</v>
      </c>
      <c r="D47" s="77" t="s">
        <v>207</v>
      </c>
    </row>
    <row r="48" customFormat="false" ht="15" hidden="false" customHeight="true" outlineLevel="0" collapsed="false">
      <c r="A48" s="47" t="s">
        <v>216</v>
      </c>
      <c r="B48" s="74" t="s">
        <v>217</v>
      </c>
      <c r="C48" s="74" t="s">
        <v>202</v>
      </c>
      <c r="D48" s="77" t="s">
        <v>218</v>
      </c>
    </row>
    <row r="49" customFormat="false" ht="15" hidden="false" customHeight="true" outlineLevel="0" collapsed="false">
      <c r="A49" s="47" t="s">
        <v>219</v>
      </c>
      <c r="B49" s="74" t="s">
        <v>202</v>
      </c>
      <c r="C49" s="74" t="s">
        <v>202</v>
      </c>
      <c r="D49" s="76" t="s">
        <v>220</v>
      </c>
    </row>
    <row r="50" customFormat="false" ht="15" hidden="false" customHeight="true" outlineLevel="0" collapsed="false">
      <c r="A50" s="1"/>
      <c r="B50" s="1"/>
      <c r="C50" s="1"/>
      <c r="D50" s="1"/>
    </row>
    <row r="51" customFormat="false" ht="15" hidden="false" customHeight="true" outlineLevel="0" collapsed="false">
      <c r="A51" s="42" t="s">
        <v>221</v>
      </c>
      <c r="B51" s="1"/>
      <c r="C51" s="1"/>
      <c r="D51" s="1"/>
    </row>
    <row r="52" customFormat="false" ht="27.75" hidden="false" customHeight="true" outlineLevel="0" collapsed="false">
      <c r="A52" s="73" t="s">
        <v>222</v>
      </c>
      <c r="B52" s="73"/>
      <c r="C52" s="73"/>
      <c r="D52" s="73"/>
    </row>
    <row r="53" customFormat="false" ht="40.5" hidden="false" customHeight="true" outlineLevel="0" collapsed="false">
      <c r="A53" s="73" t="s">
        <v>223</v>
      </c>
      <c r="B53" s="73"/>
      <c r="C53" s="73"/>
      <c r="D53" s="73"/>
    </row>
    <row r="54" customFormat="false" ht="27.75" hidden="false" customHeight="true" outlineLevel="0" collapsed="false">
      <c r="A54" s="73" t="s">
        <v>224</v>
      </c>
      <c r="B54" s="73"/>
      <c r="C54" s="73"/>
      <c r="D54" s="73"/>
    </row>
    <row r="55" customFormat="false" ht="15" hidden="false" customHeight="true" outlineLevel="0" collapsed="false">
      <c r="A55" s="1"/>
      <c r="B55" s="1"/>
      <c r="C55" s="1"/>
      <c r="D55" s="1"/>
    </row>
    <row r="56" customFormat="false" ht="36.75" hidden="false" customHeight="true" outlineLevel="0" collapsed="false">
      <c r="A56" s="11" t="s">
        <v>225</v>
      </c>
      <c r="B56" s="11"/>
      <c r="C56" s="11"/>
      <c r="D56" s="11"/>
    </row>
  </sheetData>
  <mergeCells count="18">
    <mergeCell ref="A16:D16"/>
    <mergeCell ref="A19:D19"/>
    <mergeCell ref="A20:D20"/>
    <mergeCell ref="A21:D21"/>
    <mergeCell ref="A24:D24"/>
    <mergeCell ref="A25:D25"/>
    <mergeCell ref="A26:D26"/>
    <mergeCell ref="A29:D29"/>
    <mergeCell ref="A30:D30"/>
    <mergeCell ref="A31:D31"/>
    <mergeCell ref="A34:D34"/>
    <mergeCell ref="A35:D35"/>
    <mergeCell ref="A36:D36"/>
    <mergeCell ref="A37:D37"/>
    <mergeCell ref="A52:D52"/>
    <mergeCell ref="A53:D53"/>
    <mergeCell ref="A54:D54"/>
    <mergeCell ref="A56:D56"/>
  </mergeCells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tru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8" min="6" style="0" width="11"/>
    <col collapsed="false" customWidth="true" hidden="false" outlineLevel="0" max="9" min="9" style="0" width="12"/>
    <col collapsed="false" customWidth="true" hidden="false" outlineLevel="0" max="10" min="10" style="0" width="42"/>
  </cols>
  <sheetData>
    <row r="1" customFormat="false" ht="18" hidden="false" customHeight="true" outlineLevel="0" collapsed="false">
      <c r="A1" s="10" t="s">
        <v>226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41" t="s">
        <v>227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42" t="s">
        <v>228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true" outlineLevel="0" collapsed="false">
      <c r="A5" s="57" t="s">
        <v>229</v>
      </c>
      <c r="B5" s="78" t="n">
        <f aca="false">'Holdco Summary'!$B$6</f>
        <v>250</v>
      </c>
      <c r="C5" s="41" t="s">
        <v>230</v>
      </c>
      <c r="D5" s="1"/>
      <c r="E5" s="1"/>
      <c r="F5" s="1"/>
      <c r="G5" s="1"/>
      <c r="H5" s="1"/>
      <c r="I5" s="1"/>
      <c r="J5" s="1"/>
    </row>
    <row r="6" customFormat="false" ht="15" hidden="false" customHeight="true" outlineLevel="0" collapsed="false">
      <c r="A6" s="57" t="s">
        <v>231</v>
      </c>
      <c r="B6" s="45" t="n">
        <v>225</v>
      </c>
      <c r="C6" s="41" t="s">
        <v>232</v>
      </c>
      <c r="D6" s="1"/>
      <c r="E6" s="1"/>
      <c r="F6" s="1"/>
      <c r="G6" s="1"/>
      <c r="H6" s="1"/>
      <c r="I6" s="1"/>
      <c r="J6" s="1"/>
    </row>
    <row r="7" customFormat="false" ht="15" hidden="false" customHeight="true" outlineLevel="0" collapsed="false">
      <c r="A7" s="57" t="s">
        <v>233</v>
      </c>
      <c r="B7" s="45" t="n">
        <v>25</v>
      </c>
      <c r="C7" s="41" t="s">
        <v>234</v>
      </c>
      <c r="D7" s="1"/>
      <c r="E7" s="1"/>
      <c r="F7" s="1"/>
      <c r="G7" s="1"/>
      <c r="H7" s="1"/>
      <c r="I7" s="1"/>
      <c r="J7" s="1"/>
    </row>
    <row r="8" customFormat="false" ht="15" hidden="false" customHeight="true" outlineLevel="0" collapsed="false">
      <c r="A8" s="57" t="s">
        <v>235</v>
      </c>
      <c r="B8" s="59" t="n">
        <v>0.02</v>
      </c>
      <c r="C8" s="41" t="s">
        <v>236</v>
      </c>
      <c r="D8" s="1"/>
      <c r="E8" s="1"/>
      <c r="F8" s="1"/>
      <c r="G8" s="1"/>
      <c r="H8" s="1"/>
      <c r="I8" s="1"/>
      <c r="J8" s="1"/>
    </row>
    <row r="9" customFormat="false" ht="15" hidden="false" customHeight="true" outlineLevel="0" collapsed="false">
      <c r="A9" s="57" t="s">
        <v>237</v>
      </c>
      <c r="B9" s="59" t="n">
        <v>0.2</v>
      </c>
      <c r="C9" s="41" t="s">
        <v>238</v>
      </c>
      <c r="D9" s="1"/>
      <c r="E9" s="1"/>
      <c r="F9" s="1"/>
      <c r="G9" s="1"/>
      <c r="H9" s="1"/>
      <c r="I9" s="1"/>
      <c r="J9" s="1"/>
    </row>
    <row r="10" customFormat="false" ht="15" hidden="false" customHeight="true" outlineLevel="0" collapsed="false">
      <c r="A10" s="57" t="s">
        <v>239</v>
      </c>
      <c r="B10" s="59" t="n">
        <v>0.08</v>
      </c>
      <c r="C10" s="41" t="s">
        <v>240</v>
      </c>
      <c r="D10" s="1"/>
      <c r="E10" s="1"/>
      <c r="F10" s="1"/>
      <c r="G10" s="1"/>
      <c r="H10" s="1"/>
      <c r="I10" s="1"/>
      <c r="J10" s="1"/>
    </row>
    <row r="11" customFormat="false" ht="15" hidden="false" customHeight="true" outlineLevel="0" collapsed="false">
      <c r="A11" s="57" t="s">
        <v>241</v>
      </c>
      <c r="B11" s="59" t="n">
        <v>0.85</v>
      </c>
      <c r="C11" s="41" t="s">
        <v>242</v>
      </c>
      <c r="D11" s="1"/>
      <c r="E11" s="1"/>
      <c r="F11" s="1"/>
      <c r="G11" s="1"/>
      <c r="H11" s="1"/>
      <c r="I11" s="1"/>
      <c r="J11" s="1"/>
    </row>
    <row r="12" customFormat="false" ht="15" hidden="false" customHeight="true" outlineLevel="0" collapsed="false">
      <c r="A12" s="57" t="s">
        <v>243</v>
      </c>
      <c r="B12" s="59" t="n">
        <v>0.78</v>
      </c>
      <c r="C12" s="41"/>
      <c r="D12" s="1"/>
      <c r="E12" s="1"/>
      <c r="F12" s="1"/>
      <c r="G12" s="1"/>
      <c r="H12" s="1"/>
      <c r="I12" s="1"/>
      <c r="J12" s="1"/>
    </row>
    <row r="13" customFormat="false" ht="15" hidden="false" customHeight="true" outlineLevel="0" collapsed="false">
      <c r="A13" s="57" t="s">
        <v>244</v>
      </c>
      <c r="B13" s="59" t="n">
        <v>0.68</v>
      </c>
      <c r="C13" s="41"/>
      <c r="D13" s="1"/>
      <c r="E13" s="1"/>
      <c r="F13" s="1"/>
      <c r="G13" s="1"/>
      <c r="H13" s="1"/>
      <c r="I13" s="1"/>
      <c r="J13" s="1"/>
    </row>
    <row r="14" customFormat="false" ht="1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5" hidden="false" customHeight="true" outlineLevel="0" collapsed="false">
      <c r="A16" s="42" t="s">
        <v>245</v>
      </c>
      <c r="B16" s="1"/>
      <c r="C16" s="1"/>
      <c r="D16" s="1"/>
      <c r="E16" s="1"/>
      <c r="F16" s="1"/>
      <c r="G16" s="1"/>
      <c r="H16" s="1"/>
      <c r="I16" s="1"/>
      <c r="J16" s="1"/>
    </row>
    <row r="17" customFormat="false" ht="27.75" hidden="false" customHeight="true" outlineLevel="0" collapsed="false">
      <c r="A17" s="43" t="s">
        <v>246</v>
      </c>
      <c r="B17" s="43" t="s">
        <v>247</v>
      </c>
      <c r="C17" s="43" t="s">
        <v>248</v>
      </c>
      <c r="D17" s="43" t="s">
        <v>249</v>
      </c>
      <c r="E17" s="43" t="s">
        <v>250</v>
      </c>
      <c r="F17" s="43" t="s">
        <v>251</v>
      </c>
      <c r="G17" s="43" t="s">
        <v>252</v>
      </c>
      <c r="H17" s="43" t="s">
        <v>253</v>
      </c>
      <c r="I17" s="53" t="s">
        <v>39</v>
      </c>
      <c r="J17" s="43" t="s">
        <v>254</v>
      </c>
    </row>
    <row r="18" customFormat="false" ht="15" hidden="false" customHeight="true" outlineLevel="0" collapsed="false">
      <c r="A18" s="44" t="s">
        <v>255</v>
      </c>
      <c r="B18" s="79" t="n">
        <v>1050</v>
      </c>
      <c r="C18" s="79" t="n">
        <v>80</v>
      </c>
      <c r="D18" s="46" t="n">
        <f aca="false">C18/B18</f>
        <v>0.0761904761904762</v>
      </c>
      <c r="E18" s="47" t="s">
        <v>256</v>
      </c>
      <c r="F18" s="80" t="n">
        <v>0.22</v>
      </c>
      <c r="G18" s="80" t="n">
        <v>0.34</v>
      </c>
      <c r="H18" s="80" t="n">
        <v>-0.18</v>
      </c>
      <c r="I18" s="58" t="n">
        <f aca="false">'Defense Supercycle'!I24</f>
        <v>0.408</v>
      </c>
      <c r="J18" s="75" t="s">
        <v>257</v>
      </c>
    </row>
    <row r="19" customFormat="false" ht="15" hidden="false" customHeight="true" outlineLevel="0" collapsed="false">
      <c r="A19" s="44" t="s">
        <v>258</v>
      </c>
      <c r="B19" s="79" t="n">
        <v>180</v>
      </c>
      <c r="C19" s="79" t="n">
        <v>30</v>
      </c>
      <c r="D19" s="46" t="n">
        <f aca="false">C19/B19</f>
        <v>0.166666666666667</v>
      </c>
      <c r="E19" s="47" t="s">
        <v>259</v>
      </c>
      <c r="F19" s="80" t="n">
        <v>0.14</v>
      </c>
      <c r="G19" s="80" t="n">
        <v>0.26</v>
      </c>
      <c r="H19" s="80" t="n">
        <v>0.03</v>
      </c>
      <c r="I19" s="58" t="n">
        <f aca="false">'Defense Supercycle'!I25</f>
        <v>0.304</v>
      </c>
      <c r="J19" s="75" t="s">
        <v>260</v>
      </c>
    </row>
    <row r="20" customFormat="false" ht="15" hidden="false" customHeight="true" outlineLevel="0" collapsed="false">
      <c r="A20" s="44" t="s">
        <v>261</v>
      </c>
      <c r="B20" s="79" t="n">
        <v>120</v>
      </c>
      <c r="C20" s="79" t="n">
        <v>22.5</v>
      </c>
      <c r="D20" s="46" t="n">
        <f aca="false">C20/B20</f>
        <v>0.1875</v>
      </c>
      <c r="E20" s="47" t="s">
        <v>259</v>
      </c>
      <c r="F20" s="80" t="n">
        <v>0.26</v>
      </c>
      <c r="G20" s="80" t="n">
        <v>0.38</v>
      </c>
      <c r="H20" s="80" t="n">
        <v>-0.1</v>
      </c>
      <c r="I20" s="58" t="n">
        <f aca="false">'Defense Supercycle'!I26</f>
        <v>0.416</v>
      </c>
      <c r="J20" s="75" t="s">
        <v>262</v>
      </c>
    </row>
    <row r="21" customFormat="false" ht="15" hidden="false" customHeight="true" outlineLevel="0" collapsed="false">
      <c r="A21" s="44" t="s">
        <v>263</v>
      </c>
      <c r="B21" s="79" t="n">
        <v>350</v>
      </c>
      <c r="C21" s="79" t="n">
        <v>30.5</v>
      </c>
      <c r="D21" s="46" t="n">
        <f aca="false">C21/B21</f>
        <v>0.0871428571428572</v>
      </c>
      <c r="E21" s="47" t="s">
        <v>259</v>
      </c>
      <c r="F21" s="80" t="n">
        <v>0.24</v>
      </c>
      <c r="G21" s="80" t="n">
        <v>0.36</v>
      </c>
      <c r="H21" s="80" t="n">
        <v>-0.08</v>
      </c>
      <c r="I21" s="58" t="n">
        <f aca="false">'Defense Supercycle'!I27</f>
        <v>0.264</v>
      </c>
      <c r="J21" s="75" t="s">
        <v>264</v>
      </c>
    </row>
    <row r="22" customFormat="false" ht="15" hidden="false" customHeight="true" outlineLevel="0" collapsed="false">
      <c r="A22" s="44" t="s">
        <v>265</v>
      </c>
      <c r="B22" s="79" t="n">
        <v>700</v>
      </c>
      <c r="C22" s="79" t="n">
        <v>31.5</v>
      </c>
      <c r="D22" s="46" t="n">
        <f aca="false">C22/B22</f>
        <v>0.045</v>
      </c>
      <c r="E22" s="47" t="s">
        <v>266</v>
      </c>
      <c r="F22" s="80" t="n">
        <v>0.16</v>
      </c>
      <c r="G22" s="80" t="n">
        <v>0.28</v>
      </c>
      <c r="H22" s="80" t="n">
        <v>-0.02</v>
      </c>
      <c r="I22" s="58" t="n">
        <f aca="false">'Defense Supercycle'!I28</f>
        <v>0.22</v>
      </c>
      <c r="J22" s="75" t="s">
        <v>267</v>
      </c>
    </row>
    <row r="23" customFormat="false" ht="15" hidden="false" customHeight="true" outlineLevel="0" collapsed="false">
      <c r="A23" s="44" t="s">
        <v>268</v>
      </c>
      <c r="B23" s="79" t="n">
        <v>3000</v>
      </c>
      <c r="C23" s="79" t="n">
        <v>25</v>
      </c>
      <c r="D23" s="46" t="n">
        <f aca="false">C23/B23</f>
        <v>0.00833333333333333</v>
      </c>
      <c r="E23" s="47" t="s">
        <v>269</v>
      </c>
      <c r="F23" s="80" t="n">
        <v>0.15</v>
      </c>
      <c r="G23" s="80" t="n">
        <v>0.27</v>
      </c>
      <c r="H23" s="80" t="n">
        <v>-0.1</v>
      </c>
      <c r="I23" s="58" t="n">
        <f aca="false">'Defense Supercycle'!I29</f>
        <v>0.222</v>
      </c>
      <c r="J23" s="75" t="s">
        <v>270</v>
      </c>
    </row>
    <row r="24" customFormat="false" ht="15" hidden="false" customHeight="true" outlineLevel="0" collapsed="false">
      <c r="A24" s="44" t="s">
        <v>271</v>
      </c>
      <c r="B24" s="79" t="n">
        <v>150</v>
      </c>
      <c r="C24" s="79" t="n">
        <v>14</v>
      </c>
      <c r="D24" s="46" t="n">
        <f aca="false">C24/B24</f>
        <v>0.0933333333333333</v>
      </c>
      <c r="E24" s="47" t="s">
        <v>272</v>
      </c>
      <c r="F24" s="80" t="n">
        <v>0.3</v>
      </c>
      <c r="G24" s="80" t="n">
        <v>0.42</v>
      </c>
      <c r="H24" s="80" t="n">
        <v>-0.22</v>
      </c>
      <c r="I24" s="58" t="n">
        <f aca="false">'Defense Supercycle'!I30</f>
        <v>0.384</v>
      </c>
      <c r="J24" s="75" t="s">
        <v>273</v>
      </c>
    </row>
    <row r="25" customFormat="false" ht="15" hidden="false" customHeight="true" outlineLevel="0" collapsed="false">
      <c r="A25" s="44" t="s">
        <v>274</v>
      </c>
      <c r="B25" s="79" t="n">
        <v>65</v>
      </c>
      <c r="C25" s="79" t="n">
        <v>10</v>
      </c>
      <c r="D25" s="46" t="n">
        <f aca="false">C25/B25</f>
        <v>0.153846153846154</v>
      </c>
      <c r="E25" s="47" t="s">
        <v>275</v>
      </c>
      <c r="F25" s="80" t="n">
        <v>0.32</v>
      </c>
      <c r="G25" s="80" t="n">
        <v>0.44</v>
      </c>
      <c r="H25" s="80" t="n">
        <v>-0.28</v>
      </c>
      <c r="I25" s="58" t="n">
        <f aca="false">'Defense Supercycle'!I31</f>
        <v>0.396</v>
      </c>
      <c r="J25" s="75" t="s">
        <v>276</v>
      </c>
    </row>
    <row r="26" customFormat="false" ht="15" hidden="false" customHeight="true" outlineLevel="0" collapsed="false">
      <c r="A26" s="44" t="s">
        <v>277</v>
      </c>
      <c r="B26" s="79" t="n">
        <v>50</v>
      </c>
      <c r="C26" s="79" t="n">
        <v>6.5</v>
      </c>
      <c r="D26" s="46" t="n">
        <f aca="false">C26/B26</f>
        <v>0.13</v>
      </c>
      <c r="E26" s="47" t="s">
        <v>275</v>
      </c>
      <c r="F26" s="80" t="n">
        <v>0.28</v>
      </c>
      <c r="G26" s="80" t="n">
        <v>0.4</v>
      </c>
      <c r="H26" s="80" t="n">
        <v>-0.25</v>
      </c>
      <c r="I26" s="58" t="n">
        <f aca="false">'Defense Supercycle'!I32</f>
        <v>0.216</v>
      </c>
      <c r="J26" s="75" t="s">
        <v>278</v>
      </c>
    </row>
    <row r="27" customFormat="false" ht="15" hidden="false" customHeight="true" outlineLevel="0" collapsed="false">
      <c r="A27" s="16" t="s">
        <v>279</v>
      </c>
      <c r="B27" s="81"/>
      <c r="C27" s="82" t="n">
        <f aca="false">SUM(C18:C26)</f>
        <v>250</v>
      </c>
      <c r="D27" s="1"/>
      <c r="E27" s="1"/>
      <c r="F27" s="1"/>
      <c r="G27" s="1"/>
      <c r="H27" s="1"/>
      <c r="I27" s="1"/>
      <c r="J27" s="1"/>
    </row>
    <row r="28" customFormat="false" ht="15" hidden="false" customHeight="true" outlineLevel="0" collapsed="false">
      <c r="A28" s="41" t="str">
        <f aca="false">"Check: deployed capital (C27) "&amp;TEXT(C27,"$#,##0")&amp;"M vs committed (B5) "&amp;TEXT(B5,"$#,##0")&amp;"M — "&amp;IF(ABS(C27-B5)&lt;0.5,"OK","MISMATCH")</f>
        <v>Check: deployed capital (C27) $250M vs committed (B5) $250M — OK</v>
      </c>
      <c r="B28" s="1"/>
      <c r="C28" s="1"/>
      <c r="D28" s="1"/>
      <c r="E28" s="1"/>
      <c r="F28" s="1"/>
      <c r="G28" s="1"/>
      <c r="H28" s="1"/>
      <c r="I28" s="1"/>
      <c r="J28" s="1"/>
    </row>
  </sheetData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tru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2"/>
    <col collapsed="false" customWidth="true" hidden="false" outlineLevel="0" max="11" min="11" style="0" width="2"/>
    <col collapsed="false" customWidth="true" hidden="false" outlineLevel="0" max="12" min="12" style="0" width="40"/>
  </cols>
  <sheetData>
    <row r="1" customFormat="false" ht="18" hidden="false" customHeight="true" outlineLevel="0" collapsed="false">
      <c r="A1" s="10" t="s">
        <v>280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41" t="s">
        <v>281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42" t="s">
        <v>282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true" outlineLevel="0" collapsed="false">
      <c r="A5" s="57" t="s">
        <v>283</v>
      </c>
      <c r="B5" s="59" t="n">
        <v>0.25</v>
      </c>
      <c r="C5" s="41" t="s">
        <v>284</v>
      </c>
      <c r="D5" s="1"/>
      <c r="E5" s="1"/>
      <c r="F5" s="1"/>
      <c r="G5" s="1"/>
      <c r="H5" s="1"/>
      <c r="I5" s="1"/>
      <c r="J5" s="1"/>
    </row>
    <row r="6" customFormat="false" ht="15" hidden="false" customHeight="true" outlineLevel="0" collapsed="false">
      <c r="A6" s="57" t="s">
        <v>285</v>
      </c>
      <c r="B6" s="59" t="n">
        <v>0.3</v>
      </c>
      <c r="C6" s="41" t="s">
        <v>286</v>
      </c>
      <c r="D6" s="1"/>
      <c r="E6" s="1"/>
      <c r="F6" s="1"/>
      <c r="G6" s="1"/>
      <c r="H6" s="1"/>
      <c r="I6" s="1"/>
      <c r="J6" s="1"/>
    </row>
    <row r="7" customFormat="false" ht="15" hidden="false" customHeight="true" outlineLevel="0" collapsed="false">
      <c r="A7" s="57" t="s">
        <v>287</v>
      </c>
      <c r="B7" s="59" t="n">
        <v>0.15</v>
      </c>
      <c r="C7" s="41" t="s">
        <v>288</v>
      </c>
      <c r="D7" s="1"/>
      <c r="E7" s="1"/>
      <c r="F7" s="1"/>
      <c r="G7" s="1"/>
      <c r="H7" s="1"/>
      <c r="I7" s="1"/>
      <c r="J7" s="1"/>
    </row>
    <row r="8" customFormat="false" ht="15" hidden="false" customHeight="true" outlineLevel="0" collapsed="false">
      <c r="A8" s="57" t="s">
        <v>289</v>
      </c>
      <c r="B8" s="59" t="n">
        <v>0.15</v>
      </c>
      <c r="C8" s="41" t="s">
        <v>290</v>
      </c>
      <c r="D8" s="1"/>
      <c r="E8" s="1"/>
      <c r="F8" s="1"/>
      <c r="G8" s="1"/>
      <c r="H8" s="1"/>
      <c r="I8" s="1"/>
      <c r="J8" s="1"/>
    </row>
    <row r="9" customFormat="false" ht="15" hidden="false" customHeight="true" outlineLevel="0" collapsed="false">
      <c r="A9" s="57" t="s">
        <v>291</v>
      </c>
      <c r="B9" s="59" t="n">
        <v>0.15</v>
      </c>
      <c r="C9" s="41" t="s">
        <v>292</v>
      </c>
      <c r="D9" s="1"/>
      <c r="E9" s="1"/>
      <c r="F9" s="1"/>
      <c r="G9" s="1"/>
      <c r="H9" s="1"/>
      <c r="I9" s="1"/>
      <c r="J9" s="1"/>
    </row>
    <row r="10" customFormat="false" ht="15" hidden="false" customHeight="true" outlineLevel="0" collapsed="false">
      <c r="A10" s="16" t="s">
        <v>293</v>
      </c>
      <c r="B10" s="51" t="n">
        <f aca="false">SUM(B5:B9)</f>
        <v>1</v>
      </c>
      <c r="C10" s="1"/>
      <c r="D10" s="1"/>
      <c r="E10" s="1"/>
      <c r="F10" s="1"/>
      <c r="G10" s="1"/>
      <c r="H10" s="1"/>
      <c r="I10" s="1"/>
      <c r="J10" s="1"/>
    </row>
    <row r="11" customFormat="false" ht="1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true" outlineLevel="0" collapsed="false">
      <c r="A12" s="42" t="s">
        <v>294</v>
      </c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" hidden="false" customHeight="true" outlineLevel="0" collapsed="false">
      <c r="A13" s="57" t="s">
        <v>295</v>
      </c>
      <c r="B13" s="83" t="n">
        <v>2.5</v>
      </c>
      <c r="C13" s="41" t="s">
        <v>296</v>
      </c>
      <c r="D13" s="1"/>
      <c r="E13" s="1"/>
      <c r="F13" s="1"/>
      <c r="G13" s="1"/>
      <c r="H13" s="1"/>
      <c r="I13" s="1"/>
      <c r="J13" s="1"/>
    </row>
    <row r="14" customFormat="false" ht="15" hidden="false" customHeight="true" outlineLevel="0" collapsed="false">
      <c r="A14" s="57" t="s">
        <v>297</v>
      </c>
      <c r="B14" s="59" t="n">
        <v>0.08</v>
      </c>
      <c r="C14" s="41" t="s">
        <v>298</v>
      </c>
      <c r="D14" s="1"/>
      <c r="E14" s="1"/>
      <c r="F14" s="1"/>
      <c r="G14" s="1"/>
      <c r="H14" s="1"/>
      <c r="I14" s="1"/>
      <c r="J14" s="1"/>
    </row>
    <row r="15" customFormat="false" ht="1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5" hidden="false" customHeight="true" outlineLevel="0" collapsed="false">
      <c r="A16" s="42" t="s">
        <v>299</v>
      </c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5" hidden="false" customHeight="true" outlineLevel="0" collapsed="false">
      <c r="A17" s="57" t="s">
        <v>36</v>
      </c>
      <c r="B17" s="59" t="n">
        <v>0.45</v>
      </c>
      <c r="C17" s="1"/>
      <c r="D17" s="1"/>
      <c r="E17" s="1"/>
      <c r="F17" s="1"/>
      <c r="G17" s="1"/>
      <c r="H17" s="1"/>
      <c r="I17" s="1"/>
      <c r="J17" s="1"/>
    </row>
    <row r="18" customFormat="false" ht="15" hidden="false" customHeight="true" outlineLevel="0" collapsed="false">
      <c r="A18" s="57" t="s">
        <v>37</v>
      </c>
      <c r="B18" s="59" t="n">
        <v>0.25</v>
      </c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true" outlineLevel="0" collapsed="false">
      <c r="A19" s="57" t="s">
        <v>38</v>
      </c>
      <c r="B19" s="59" t="n">
        <v>0.15</v>
      </c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true" outlineLevel="0" collapsed="false">
      <c r="A20" s="57" t="s">
        <v>39</v>
      </c>
      <c r="B20" s="59" t="n">
        <v>0.15</v>
      </c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true" outlineLevel="0" collapsed="false">
      <c r="A21" s="16" t="s">
        <v>293</v>
      </c>
      <c r="B21" s="51" t="n">
        <f aca="false">SUM(B17:B20)</f>
        <v>1</v>
      </c>
      <c r="C21" s="1"/>
      <c r="D21" s="1"/>
      <c r="E21" s="1"/>
      <c r="F21" s="1"/>
      <c r="G21" s="1"/>
      <c r="H21" s="1"/>
      <c r="I21" s="1"/>
      <c r="J21" s="1"/>
    </row>
    <row r="22" customFormat="false" ht="30" hidden="false" customHeight="true" outlineLevel="0" collapsed="false">
      <c r="A22" s="42" t="s">
        <v>300</v>
      </c>
      <c r="B22" s="54"/>
      <c r="C22" s="54"/>
      <c r="D22" s="54"/>
      <c r="E22" s="54"/>
      <c r="F22" s="54"/>
      <c r="G22" s="54"/>
      <c r="H22" s="54"/>
      <c r="I22" s="54"/>
      <c r="J22" s="1"/>
    </row>
    <row r="23" customFormat="false" ht="27.75" hidden="false" customHeight="true" outlineLevel="0" collapsed="false">
      <c r="A23" s="43" t="s">
        <v>246</v>
      </c>
      <c r="B23" s="43" t="s">
        <v>301</v>
      </c>
      <c r="C23" s="43" t="s">
        <v>302</v>
      </c>
      <c r="D23" s="43" t="s">
        <v>303</v>
      </c>
      <c r="E23" s="43" t="s">
        <v>304</v>
      </c>
      <c r="F23" s="43" t="s">
        <v>305</v>
      </c>
      <c r="G23" s="43" t="s">
        <v>306</v>
      </c>
      <c r="H23" s="43" t="s">
        <v>307</v>
      </c>
      <c r="I23" s="43" t="s">
        <v>308</v>
      </c>
      <c r="J23" s="1"/>
    </row>
    <row r="24" customFormat="false" ht="15" hidden="false" customHeight="true" outlineLevel="0" collapsed="false">
      <c r="A24" s="44" t="s">
        <v>255</v>
      </c>
      <c r="B24" s="84" t="n">
        <v>5</v>
      </c>
      <c r="C24" s="84" t="n">
        <v>5</v>
      </c>
      <c r="D24" s="84" t="n">
        <v>4</v>
      </c>
      <c r="E24" s="84" t="n">
        <v>5</v>
      </c>
      <c r="F24" s="84" t="n">
        <v>5</v>
      </c>
      <c r="G24" s="85" t="n">
        <f aca="false">B24*'Defense Supercycle'!$B$5+C24*'Defense Supercycle'!$B$6+D24*'Defense Supercycle'!$B$7+E24*'Defense Supercycle'!$B$8+F24*'Defense Supercycle'!$B$9</f>
        <v>4.85</v>
      </c>
      <c r="H24" s="46" t="n">
        <f aca="false">(G24-'Defense Supercycle'!$B$13)*'Defense Supercycle'!$B$14</f>
        <v>0.188</v>
      </c>
      <c r="I24" s="71" t="n">
        <f aca="false">Assumptions!F18+H24</f>
        <v>0.408</v>
      </c>
      <c r="J24" s="1"/>
    </row>
    <row r="25" customFormat="false" ht="15" hidden="false" customHeight="true" outlineLevel="0" collapsed="false">
      <c r="A25" s="44" t="s">
        <v>258</v>
      </c>
      <c r="B25" s="84" t="n">
        <v>5</v>
      </c>
      <c r="C25" s="84" t="n">
        <v>4</v>
      </c>
      <c r="D25" s="84" t="n">
        <v>4</v>
      </c>
      <c r="E25" s="84" t="n">
        <v>5</v>
      </c>
      <c r="F25" s="84" t="n">
        <v>5</v>
      </c>
      <c r="G25" s="85" t="n">
        <f aca="false">B25*'Defense Supercycle'!$B$5+C25*'Defense Supercycle'!$B$6+D25*'Defense Supercycle'!$B$7+E25*'Defense Supercycle'!$B$8+F25*'Defense Supercycle'!$B$9</f>
        <v>4.55</v>
      </c>
      <c r="H25" s="46" t="n">
        <f aca="false">(G25-'Defense Supercycle'!$B$13)*'Defense Supercycle'!$B$14</f>
        <v>0.164</v>
      </c>
      <c r="I25" s="71" t="n">
        <f aca="false">Assumptions!F19+H25</f>
        <v>0.304</v>
      </c>
      <c r="J25" s="1"/>
    </row>
    <row r="26" customFormat="false" ht="15" hidden="false" customHeight="true" outlineLevel="0" collapsed="false">
      <c r="A26" s="44" t="s">
        <v>261</v>
      </c>
      <c r="B26" s="84" t="n">
        <v>4</v>
      </c>
      <c r="C26" s="84" t="n">
        <v>5</v>
      </c>
      <c r="D26" s="84" t="n">
        <v>4</v>
      </c>
      <c r="E26" s="84" t="n">
        <v>5</v>
      </c>
      <c r="F26" s="84" t="n">
        <v>4</v>
      </c>
      <c r="G26" s="85" t="n">
        <f aca="false">B26*'Defense Supercycle'!$B$5+C26*'Defense Supercycle'!$B$6+D26*'Defense Supercycle'!$B$7+E26*'Defense Supercycle'!$B$8+F26*'Defense Supercycle'!$B$9</f>
        <v>4.45</v>
      </c>
      <c r="H26" s="46" t="n">
        <f aca="false">(G26-'Defense Supercycle'!$B$13)*'Defense Supercycle'!$B$14</f>
        <v>0.156</v>
      </c>
      <c r="I26" s="71" t="n">
        <f aca="false">Assumptions!F20+H26</f>
        <v>0.416</v>
      </c>
      <c r="J26" s="1"/>
    </row>
    <row r="27" customFormat="false" ht="15" hidden="false" customHeight="true" outlineLevel="0" collapsed="false">
      <c r="A27" s="44" t="s">
        <v>263</v>
      </c>
      <c r="B27" s="84" t="n">
        <v>4</v>
      </c>
      <c r="C27" s="84" t="n">
        <v>2</v>
      </c>
      <c r="D27" s="84" t="n">
        <v>4</v>
      </c>
      <c r="E27" s="84" t="n">
        <v>2</v>
      </c>
      <c r="F27" s="84" t="n">
        <v>2</v>
      </c>
      <c r="G27" s="85" t="n">
        <f aca="false">B27*'Defense Supercycle'!$B$5+C27*'Defense Supercycle'!$B$6+D27*'Defense Supercycle'!$B$7+E27*'Defense Supercycle'!$B$8+F27*'Defense Supercycle'!$B$9</f>
        <v>2.8</v>
      </c>
      <c r="H27" s="46" t="n">
        <f aca="false">(G27-'Defense Supercycle'!$B$13)*'Defense Supercycle'!$B$14</f>
        <v>0.024</v>
      </c>
      <c r="I27" s="71" t="n">
        <f aca="false">Assumptions!F21+H27</f>
        <v>0.264</v>
      </c>
      <c r="J27" s="1"/>
    </row>
    <row r="28" customFormat="false" ht="15" hidden="false" customHeight="true" outlineLevel="0" collapsed="false">
      <c r="A28" s="44" t="s">
        <v>265</v>
      </c>
      <c r="B28" s="84" t="n">
        <v>4</v>
      </c>
      <c r="C28" s="84" t="n">
        <v>2</v>
      </c>
      <c r="D28" s="84" t="n">
        <v>4</v>
      </c>
      <c r="E28" s="84" t="n">
        <v>5</v>
      </c>
      <c r="F28" s="84" t="n">
        <v>2</v>
      </c>
      <c r="G28" s="85" t="n">
        <f aca="false">B28*'Defense Supercycle'!$B$5+C28*'Defense Supercycle'!$B$6+D28*'Defense Supercycle'!$B$7+E28*'Defense Supercycle'!$B$8+F28*'Defense Supercycle'!$B$9</f>
        <v>3.25</v>
      </c>
      <c r="H28" s="46" t="n">
        <f aca="false">(G28-'Defense Supercycle'!$B$13)*'Defense Supercycle'!$B$14</f>
        <v>0.06</v>
      </c>
      <c r="I28" s="71" t="n">
        <f aca="false">Assumptions!F22+H28</f>
        <v>0.22</v>
      </c>
      <c r="J28" s="1"/>
    </row>
    <row r="29" customFormat="false" ht="15" hidden="false" customHeight="true" outlineLevel="0" collapsed="false">
      <c r="A29" s="44" t="s">
        <v>268</v>
      </c>
      <c r="B29" s="84" t="n">
        <v>4</v>
      </c>
      <c r="C29" s="84" t="n">
        <v>2</v>
      </c>
      <c r="D29" s="84" t="n">
        <v>4</v>
      </c>
      <c r="E29" s="84" t="n">
        <v>5</v>
      </c>
      <c r="F29" s="84" t="n">
        <v>3</v>
      </c>
      <c r="G29" s="85" t="n">
        <f aca="false">B29*'Defense Supercycle'!$B$5+C29*'Defense Supercycle'!$B$6+D29*'Defense Supercycle'!$B$7+E29*'Defense Supercycle'!$B$8+F29*'Defense Supercycle'!$B$9</f>
        <v>3.4</v>
      </c>
      <c r="H29" s="46" t="n">
        <f aca="false">(G29-'Defense Supercycle'!$B$13)*'Defense Supercycle'!$B$14</f>
        <v>0.072</v>
      </c>
      <c r="I29" s="71" t="n">
        <f aca="false">Assumptions!F23+H29</f>
        <v>0.222</v>
      </c>
      <c r="J29" s="1"/>
    </row>
    <row r="30" customFormat="false" ht="15" hidden="false" customHeight="true" outlineLevel="0" collapsed="false">
      <c r="A30" s="44" t="s">
        <v>271</v>
      </c>
      <c r="B30" s="84" t="n">
        <v>4</v>
      </c>
      <c r="C30" s="84" t="n">
        <v>4</v>
      </c>
      <c r="D30" s="84" t="n">
        <v>4</v>
      </c>
      <c r="E30" s="84" t="n">
        <v>2</v>
      </c>
      <c r="F30" s="84" t="n">
        <v>3</v>
      </c>
      <c r="G30" s="85" t="n">
        <f aca="false">B30*'Defense Supercycle'!$B$5+C30*'Defense Supercycle'!$B$6+D30*'Defense Supercycle'!$B$7+E30*'Defense Supercycle'!$B$8+F30*'Defense Supercycle'!$B$9</f>
        <v>3.55</v>
      </c>
      <c r="H30" s="46" t="n">
        <f aca="false">(G30-'Defense Supercycle'!$B$13)*'Defense Supercycle'!$B$14</f>
        <v>0.084</v>
      </c>
      <c r="I30" s="71" t="n">
        <f aca="false">Assumptions!F24+H30</f>
        <v>0.384</v>
      </c>
      <c r="J30" s="1"/>
    </row>
    <row r="31" customFormat="false" ht="15" hidden="false" customHeight="true" outlineLevel="0" collapsed="false">
      <c r="A31" s="44" t="s">
        <v>274</v>
      </c>
      <c r="B31" s="84" t="n">
        <v>3</v>
      </c>
      <c r="C31" s="84" t="n">
        <v>3</v>
      </c>
      <c r="D31" s="84" t="n">
        <v>4</v>
      </c>
      <c r="E31" s="84" t="n">
        <v>5</v>
      </c>
      <c r="F31" s="84" t="n">
        <v>3</v>
      </c>
      <c r="G31" s="85" t="n">
        <f aca="false">B31*'Defense Supercycle'!$B$5+C31*'Defense Supercycle'!$B$6+D31*'Defense Supercycle'!$B$7+E31*'Defense Supercycle'!$B$8+F31*'Defense Supercycle'!$B$9</f>
        <v>3.45</v>
      </c>
      <c r="H31" s="46" t="n">
        <f aca="false">(G31-'Defense Supercycle'!$B$13)*'Defense Supercycle'!$B$14</f>
        <v>0.076</v>
      </c>
      <c r="I31" s="71" t="n">
        <f aca="false">Assumptions!F25+H31</f>
        <v>0.396</v>
      </c>
      <c r="J31" s="1"/>
    </row>
    <row r="32" customFormat="false" ht="15" hidden="false" customHeight="true" outlineLevel="0" collapsed="false">
      <c r="A32" s="44" t="s">
        <v>277</v>
      </c>
      <c r="B32" s="84" t="n">
        <v>2</v>
      </c>
      <c r="C32" s="84" t="n">
        <v>1</v>
      </c>
      <c r="D32" s="84" t="n">
        <v>3</v>
      </c>
      <c r="E32" s="84" t="n">
        <v>2</v>
      </c>
      <c r="F32" s="84" t="n">
        <v>1</v>
      </c>
      <c r="G32" s="85" t="n">
        <f aca="false">B32*'Defense Supercycle'!$B$5+C32*'Defense Supercycle'!$B$6+D32*'Defense Supercycle'!$B$7+E32*'Defense Supercycle'!$B$8+F32*'Defense Supercycle'!$B$9</f>
        <v>1.7</v>
      </c>
      <c r="H32" s="46" t="n">
        <f aca="false">(G32-'Defense Supercycle'!$B$13)*'Defense Supercycle'!$B$14</f>
        <v>-0.064</v>
      </c>
      <c r="I32" s="71" t="n">
        <f aca="false">Assumptions!F26+H32</f>
        <v>0.216</v>
      </c>
      <c r="J32" s="1"/>
    </row>
    <row r="33" customFormat="false" ht="15" hidden="false" customHeight="true" outlineLevel="0" collapsed="false">
      <c r="A33" s="86" t="s">
        <v>309</v>
      </c>
      <c r="B33" s="1"/>
      <c r="C33" s="1"/>
      <c r="D33" s="1"/>
      <c r="E33" s="1"/>
      <c r="F33" s="1"/>
      <c r="G33" s="87" t="n">
        <f aca="false">AVERAGE(G24:G32)</f>
        <v>3.55555555555556</v>
      </c>
      <c r="H33" s="1"/>
      <c r="I33" s="1"/>
      <c r="J33" s="1"/>
    </row>
    <row r="34" customFormat="false" ht="1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true" outlineLevel="0" collapsed="false">
      <c r="A35" s="42" t="s">
        <v>310</v>
      </c>
      <c r="B35" s="1"/>
      <c r="C35" s="1"/>
      <c r="D35" s="1"/>
      <c r="E35" s="1"/>
      <c r="F35" s="1"/>
      <c r="G35" s="1"/>
      <c r="H35" s="1"/>
      <c r="I35" s="1"/>
      <c r="J35" s="1"/>
    </row>
    <row r="36" customFormat="false" ht="27.75" hidden="false" customHeight="true" outlineLevel="0" collapsed="false">
      <c r="A36" s="73" t="s">
        <v>311</v>
      </c>
      <c r="B36" s="73"/>
      <c r="C36" s="73"/>
      <c r="D36" s="73"/>
      <c r="E36" s="73"/>
      <c r="F36" s="73"/>
      <c r="G36" s="73"/>
      <c r="H36" s="73"/>
      <c r="I36" s="73"/>
      <c r="J36" s="73"/>
    </row>
    <row r="37" customFormat="false" ht="40.5" hidden="false" customHeight="true" outlineLevel="0" collapsed="false">
      <c r="A37" s="73" t="s">
        <v>312</v>
      </c>
      <c r="B37" s="73"/>
      <c r="C37" s="73"/>
      <c r="D37" s="73"/>
      <c r="E37" s="73"/>
      <c r="F37" s="73"/>
      <c r="G37" s="73"/>
      <c r="H37" s="73"/>
      <c r="I37" s="73"/>
      <c r="J37" s="73"/>
    </row>
    <row r="38" customFormat="false" ht="27.75" hidden="false" customHeight="true" outlineLevel="0" collapsed="false">
      <c r="A38" s="73" t="s">
        <v>313</v>
      </c>
      <c r="B38" s="73"/>
      <c r="C38" s="73"/>
      <c r="D38" s="73"/>
      <c r="E38" s="73"/>
      <c r="F38" s="73"/>
      <c r="G38" s="73"/>
      <c r="H38" s="73"/>
      <c r="I38" s="73"/>
      <c r="J38" s="73"/>
    </row>
    <row r="39" customFormat="false" ht="27.75" hidden="false" customHeight="true" outlineLevel="0" collapsed="false">
      <c r="A39" s="73" t="s">
        <v>314</v>
      </c>
      <c r="B39" s="73"/>
      <c r="C39" s="73"/>
      <c r="D39" s="73"/>
      <c r="E39" s="73"/>
      <c r="F39" s="73"/>
      <c r="G39" s="73"/>
      <c r="H39" s="73"/>
      <c r="I39" s="73"/>
      <c r="J39" s="73"/>
    </row>
    <row r="40" customFormat="false" ht="27.75" hidden="false" customHeight="true" outlineLevel="0" collapsed="false">
      <c r="A40" s="73" t="s">
        <v>315</v>
      </c>
      <c r="B40" s="73"/>
      <c r="C40" s="73"/>
      <c r="D40" s="73"/>
      <c r="E40" s="73"/>
      <c r="F40" s="73"/>
      <c r="G40" s="73"/>
      <c r="H40" s="73"/>
      <c r="I40" s="73"/>
      <c r="J40" s="73"/>
    </row>
    <row r="41" customFormat="false" ht="1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true" outlineLevel="0" collapsed="false">
      <c r="A42" s="42" t="s">
        <v>316</v>
      </c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true" outlineLevel="0" collapsed="false">
      <c r="A43" s="43" t="s">
        <v>317</v>
      </c>
      <c r="B43" s="43" t="s">
        <v>318</v>
      </c>
      <c r="C43" s="43"/>
      <c r="D43" s="43" t="s">
        <v>319</v>
      </c>
      <c r="E43" s="43"/>
      <c r="F43" s="43"/>
      <c r="G43" s="43"/>
      <c r="H43" s="43"/>
      <c r="I43" s="43"/>
      <c r="J43" s="43"/>
    </row>
    <row r="44" customFormat="false" ht="40.5" hidden="false" customHeight="true" outlineLevel="0" collapsed="false">
      <c r="A44" s="88" t="s">
        <v>320</v>
      </c>
      <c r="B44" s="47" t="s">
        <v>321</v>
      </c>
      <c r="C44" s="47"/>
      <c r="D44" s="47" t="s">
        <v>322</v>
      </c>
      <c r="E44" s="47"/>
      <c r="F44" s="47"/>
      <c r="G44" s="47"/>
      <c r="H44" s="47"/>
      <c r="I44" s="47"/>
      <c r="J44" s="47"/>
    </row>
    <row r="45" customFormat="false" ht="53.25" hidden="false" customHeight="true" outlineLevel="0" collapsed="false">
      <c r="A45" s="88" t="s">
        <v>323</v>
      </c>
      <c r="B45" s="47" t="s">
        <v>324</v>
      </c>
      <c r="C45" s="47"/>
      <c r="D45" s="47" t="s">
        <v>325</v>
      </c>
      <c r="E45" s="47"/>
      <c r="F45" s="47"/>
      <c r="G45" s="47"/>
      <c r="H45" s="47"/>
      <c r="I45" s="47"/>
      <c r="J45" s="47"/>
    </row>
    <row r="46" customFormat="false" ht="40.5" hidden="false" customHeight="true" outlineLevel="0" collapsed="false">
      <c r="A46" s="88" t="s">
        <v>326</v>
      </c>
      <c r="B46" s="47" t="s">
        <v>327</v>
      </c>
      <c r="C46" s="47"/>
      <c r="D46" s="47" t="s">
        <v>328</v>
      </c>
      <c r="E46" s="47"/>
      <c r="F46" s="47"/>
      <c r="G46" s="47"/>
      <c r="H46" s="47"/>
      <c r="I46" s="47"/>
      <c r="J46" s="47"/>
    </row>
    <row r="47" customFormat="false" ht="36.75" hidden="false" customHeight="true" outlineLevel="0" collapsed="false">
      <c r="A47" s="89" t="s">
        <v>329</v>
      </c>
      <c r="B47" s="89"/>
      <c r="C47" s="89"/>
      <c r="D47" s="89"/>
      <c r="E47" s="89"/>
      <c r="F47" s="89"/>
      <c r="G47" s="89"/>
      <c r="H47" s="89"/>
      <c r="I47" s="89"/>
      <c r="J47" s="89"/>
    </row>
  </sheetData>
  <mergeCells count="14">
    <mergeCell ref="A36:J36"/>
    <mergeCell ref="A37:J37"/>
    <mergeCell ref="A38:J38"/>
    <mergeCell ref="A39:J39"/>
    <mergeCell ref="A40:J40"/>
    <mergeCell ref="B43:C43"/>
    <mergeCell ref="D43:J43"/>
    <mergeCell ref="B44:C44"/>
    <mergeCell ref="D44:J44"/>
    <mergeCell ref="B45:C45"/>
    <mergeCell ref="D45:J45"/>
    <mergeCell ref="B46:C46"/>
    <mergeCell ref="D46:J46"/>
    <mergeCell ref="A47:J47"/>
  </mergeCells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374"/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46"/>
  </cols>
  <sheetData>
    <row r="1" customFormat="false" ht="18" hidden="false" customHeight="true" outlineLevel="0" collapsed="false">
      <c r="A1" s="10" t="s">
        <v>330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41" t="s">
        <v>331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43" t="s">
        <v>246</v>
      </c>
      <c r="B4" s="43" t="s">
        <v>248</v>
      </c>
      <c r="C4" s="43" t="s">
        <v>249</v>
      </c>
      <c r="D4" s="43" t="s">
        <v>332</v>
      </c>
      <c r="E4" s="43" t="s">
        <v>333</v>
      </c>
      <c r="F4" s="43" t="s">
        <v>250</v>
      </c>
      <c r="G4" s="43" t="s">
        <v>334</v>
      </c>
      <c r="H4" s="43" t="s">
        <v>335</v>
      </c>
    </row>
    <row r="5" customFormat="false" ht="27.75" hidden="false" customHeight="true" outlineLevel="0" collapsed="false">
      <c r="A5" s="90" t="str">
        <f aca="false">Assumptions!A18</f>
        <v>Substrate (anchor)</v>
      </c>
      <c r="B5" s="91" t="n">
        <f aca="false">Assumptions!C18</f>
        <v>80</v>
      </c>
      <c r="C5" s="58" t="n">
        <f aca="false">Assumptions!D18</f>
        <v>0.0761904761904762</v>
      </c>
      <c r="D5" s="46" t="n">
        <f aca="false">Assumptions!C18/Assumptions!$B$5</f>
        <v>0.32</v>
      </c>
      <c r="E5" s="92" t="n">
        <f aca="false">'Defense Supercycle'!G24</f>
        <v>4.85</v>
      </c>
      <c r="F5" s="93" t="str">
        <f aca="false">Assumptions!E18</f>
        <v>Anchor / growth</v>
      </c>
      <c r="G5" s="47" t="s">
        <v>336</v>
      </c>
      <c r="H5" s="47" t="s">
        <v>337</v>
      </c>
    </row>
    <row r="6" customFormat="false" ht="40.5" hidden="false" customHeight="true" outlineLevel="0" collapsed="false">
      <c r="A6" s="90" t="str">
        <f aca="false">Assumptions!A19</f>
        <v>EUV Tech</v>
      </c>
      <c r="B6" s="91" t="n">
        <f aca="false">Assumptions!C19</f>
        <v>30</v>
      </c>
      <c r="C6" s="58" t="n">
        <f aca="false">Assumptions!D19</f>
        <v>0.166666666666667</v>
      </c>
      <c r="D6" s="46" t="n">
        <f aca="false">Assumptions!C19/Assumptions!$B$5</f>
        <v>0.12</v>
      </c>
      <c r="E6" s="92" t="n">
        <f aca="false">'Defense Supercycle'!G25</f>
        <v>4.55</v>
      </c>
      <c r="F6" s="93" t="str">
        <f aca="false">Assumptions!E19</f>
        <v>Growth core</v>
      </c>
      <c r="G6" s="47" t="s">
        <v>338</v>
      </c>
      <c r="H6" s="47" t="s">
        <v>339</v>
      </c>
    </row>
    <row r="7" customFormat="false" ht="40.5" hidden="false" customHeight="true" outlineLevel="0" collapsed="false">
      <c r="A7" s="90" t="str">
        <f aca="false">Assumptions!A20</f>
        <v>ThinTronics</v>
      </c>
      <c r="B7" s="91" t="n">
        <f aca="false">Assumptions!C20</f>
        <v>22.5</v>
      </c>
      <c r="C7" s="58" t="n">
        <f aca="false">Assumptions!D20</f>
        <v>0.1875</v>
      </c>
      <c r="D7" s="46" t="n">
        <f aca="false">Assumptions!C20/Assumptions!$B$5</f>
        <v>0.09</v>
      </c>
      <c r="E7" s="92" t="n">
        <f aca="false">'Defense Supercycle'!G26</f>
        <v>4.45</v>
      </c>
      <c r="F7" s="93" t="str">
        <f aca="false">Assumptions!E20</f>
        <v>Growth core</v>
      </c>
      <c r="G7" s="47" t="s">
        <v>338</v>
      </c>
      <c r="H7" s="47" t="s">
        <v>340</v>
      </c>
    </row>
    <row r="8" customFormat="false" ht="27.75" hidden="false" customHeight="true" outlineLevel="0" collapsed="false">
      <c r="A8" s="90" t="str">
        <f aca="false">Assumptions!A21</f>
        <v>EdgeCortix</v>
      </c>
      <c r="B8" s="91" t="n">
        <f aca="false">Assumptions!C21</f>
        <v>30.5</v>
      </c>
      <c r="C8" s="58" t="n">
        <f aca="false">Assumptions!D21</f>
        <v>0.0871428571428572</v>
      </c>
      <c r="D8" s="46" t="n">
        <f aca="false">Assumptions!C21/Assumptions!$B$5</f>
        <v>0.122</v>
      </c>
      <c r="E8" s="92" t="n">
        <f aca="false">'Defense Supercycle'!G27</f>
        <v>2.8</v>
      </c>
      <c r="F8" s="93" t="str">
        <f aca="false">Assumptions!E21</f>
        <v>Growth core</v>
      </c>
      <c r="G8" s="47" t="s">
        <v>341</v>
      </c>
      <c r="H8" s="47" t="s">
        <v>342</v>
      </c>
    </row>
    <row r="9" customFormat="false" ht="27.75" hidden="false" customHeight="true" outlineLevel="0" collapsed="false">
      <c r="A9" s="90" t="str">
        <f aca="false">Assumptions!A22</f>
        <v>Syntiant</v>
      </c>
      <c r="B9" s="91" t="n">
        <f aca="false">Assumptions!C22</f>
        <v>31.5</v>
      </c>
      <c r="C9" s="58" t="n">
        <f aca="false">Assumptions!D22</f>
        <v>0.045</v>
      </c>
      <c r="D9" s="46" t="n">
        <f aca="false">Assumptions!C22/Assumptions!$B$5</f>
        <v>0.126</v>
      </c>
      <c r="E9" s="92" t="n">
        <f aca="false">'Defense Supercycle'!G28</f>
        <v>3.25</v>
      </c>
      <c r="F9" s="93" t="str">
        <f aca="false">Assumptions!E22</f>
        <v>Pre-IPO / liquid</v>
      </c>
      <c r="G9" s="47" t="s">
        <v>338</v>
      </c>
      <c r="H9" s="47" t="s">
        <v>343</v>
      </c>
    </row>
    <row r="10" customFormat="false" ht="27.75" hidden="false" customHeight="true" outlineLevel="0" collapsed="false">
      <c r="A10" s="90" t="str">
        <f aca="false">Assumptions!A23</f>
        <v>Infleqtion</v>
      </c>
      <c r="B10" s="91" t="n">
        <f aca="false">Assumptions!C23</f>
        <v>25</v>
      </c>
      <c r="C10" s="58" t="n">
        <f aca="false">Assumptions!D23</f>
        <v>0.00833333333333333</v>
      </c>
      <c r="D10" s="46" t="n">
        <f aca="false">Assumptions!C23/Assumptions!$B$5</f>
        <v>0.1</v>
      </c>
      <c r="E10" s="92" t="n">
        <f aca="false">'Defense Supercycle'!G29</f>
        <v>3.4</v>
      </c>
      <c r="F10" s="93" t="str">
        <f aca="false">Assumptions!E23</f>
        <v>Public / liquid</v>
      </c>
      <c r="G10" s="47" t="s">
        <v>344</v>
      </c>
      <c r="H10" s="47" t="s">
        <v>345</v>
      </c>
    </row>
    <row r="11" customFormat="false" ht="27.75" hidden="false" customHeight="true" outlineLevel="0" collapsed="false">
      <c r="A11" s="90" t="str">
        <f aca="false">Assumptions!A24</f>
        <v>Diraq</v>
      </c>
      <c r="B11" s="91" t="n">
        <f aca="false">Assumptions!C24</f>
        <v>14</v>
      </c>
      <c r="C11" s="58" t="n">
        <f aca="false">Assumptions!D24</f>
        <v>0.0933333333333333</v>
      </c>
      <c r="D11" s="46" t="n">
        <f aca="false">Assumptions!C24/Assumptions!$B$5</f>
        <v>0.056</v>
      </c>
      <c r="E11" s="92" t="n">
        <f aca="false">'Defense Supercycle'!G30</f>
        <v>3.55</v>
      </c>
      <c r="F11" s="93" t="str">
        <f aca="false">Assumptions!E24</f>
        <v>Quantum venture</v>
      </c>
      <c r="G11" s="47" t="s">
        <v>346</v>
      </c>
      <c r="H11" s="47" t="s">
        <v>347</v>
      </c>
    </row>
    <row r="12" customFormat="false" ht="27.75" hidden="false" customHeight="true" outlineLevel="0" collapsed="false">
      <c r="A12" s="90" t="str">
        <f aca="false">Assumptions!A25</f>
        <v>Mueon</v>
      </c>
      <c r="B12" s="91" t="n">
        <f aca="false">Assumptions!C25</f>
        <v>10</v>
      </c>
      <c r="C12" s="58" t="n">
        <f aca="false">Assumptions!D25</f>
        <v>0.153846153846154</v>
      </c>
      <c r="D12" s="46" t="n">
        <f aca="false">Assumptions!C25/Assumptions!$B$5</f>
        <v>0.04</v>
      </c>
      <c r="E12" s="92" t="n">
        <f aca="false">'Defense Supercycle'!G31</f>
        <v>3.45</v>
      </c>
      <c r="F12" s="93" t="str">
        <f aca="false">Assumptions!E25</f>
        <v>Seed optionality</v>
      </c>
      <c r="G12" s="47" t="s">
        <v>348</v>
      </c>
      <c r="H12" s="47" t="s">
        <v>349</v>
      </c>
    </row>
    <row r="13" customFormat="false" ht="27.75" hidden="false" customHeight="true" outlineLevel="0" collapsed="false">
      <c r="A13" s="90" t="str">
        <f aca="false">Assumptions!A26</f>
        <v>DefendEye</v>
      </c>
      <c r="B13" s="91" t="n">
        <f aca="false">Assumptions!C26</f>
        <v>6.5</v>
      </c>
      <c r="C13" s="58" t="n">
        <f aca="false">Assumptions!D26</f>
        <v>0.13</v>
      </c>
      <c r="D13" s="46" t="n">
        <f aca="false">Assumptions!C26/Assumptions!$B$5</f>
        <v>0.026</v>
      </c>
      <c r="E13" s="92" t="n">
        <f aca="false">'Defense Supercycle'!G32</f>
        <v>1.7</v>
      </c>
      <c r="F13" s="93" t="str">
        <f aca="false">Assumptions!E26</f>
        <v>Seed optionality</v>
      </c>
      <c r="G13" s="47" t="s">
        <v>350</v>
      </c>
      <c r="H13" s="47" t="s">
        <v>351</v>
      </c>
    </row>
    <row r="14" customFormat="false" ht="15" hidden="false" customHeight="true" outlineLevel="0" collapsed="false">
      <c r="A14" s="16" t="s">
        <v>352</v>
      </c>
      <c r="B14" s="82" t="n">
        <f aca="false">SUM(B5:B13)</f>
        <v>250</v>
      </c>
      <c r="C14" s="1"/>
      <c r="D14" s="94" t="n">
        <f aca="false">SUM(D5:D13)</f>
        <v>1</v>
      </c>
      <c r="E14" s="1"/>
      <c r="F14" s="1"/>
      <c r="G14" s="1"/>
      <c r="H14" s="1"/>
    </row>
  </sheetData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374"/>
    <pageSetUpPr fitToPage="tru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4" min="3" style="0" width="11"/>
  </cols>
  <sheetData>
    <row r="1" customFormat="false" ht="18" hidden="false" customHeight="true" outlineLevel="0" collapsed="false">
      <c r="A1" s="10" t="s">
        <v>353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41" t="s">
        <v>354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" hidden="false" customHeight="true" outlineLevel="0" collapsed="false">
      <c r="A4" s="60" t="s">
        <v>355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7.75" hidden="false" customHeight="true" outlineLevel="0" collapsed="false">
      <c r="A5" s="43" t="s">
        <v>246</v>
      </c>
      <c r="B5" s="43" t="s">
        <v>248</v>
      </c>
      <c r="C5" s="43" t="s">
        <v>356</v>
      </c>
      <c r="D5" s="43" t="s">
        <v>357</v>
      </c>
      <c r="E5" s="43" t="s">
        <v>358</v>
      </c>
      <c r="F5" s="43" t="s">
        <v>359</v>
      </c>
      <c r="G5" s="43" t="s">
        <v>360</v>
      </c>
      <c r="H5" s="43" t="s">
        <v>361</v>
      </c>
      <c r="I5" s="43" t="s">
        <v>362</v>
      </c>
      <c r="J5" s="43" t="s">
        <v>363</v>
      </c>
      <c r="K5" s="43" t="s">
        <v>364</v>
      </c>
      <c r="L5" s="53" t="s">
        <v>365</v>
      </c>
      <c r="M5" s="53" t="s">
        <v>366</v>
      </c>
      <c r="N5" s="53" t="s">
        <v>367</v>
      </c>
    </row>
    <row r="6" customFormat="false" ht="15" hidden="false" customHeight="true" outlineLevel="0" collapsed="false">
      <c r="A6" s="90" t="str">
        <f aca="false">Assumptions!A18</f>
        <v>Substrate (anchor)</v>
      </c>
      <c r="B6" s="91" t="n">
        <f aca="false">Assumptions!C18</f>
        <v>80</v>
      </c>
      <c r="C6" s="95" t="n">
        <f aca="false">Assumptions!C18*(1+Assumptions!F18)^5*Assumptions!$B$11</f>
        <v>183.7841550976</v>
      </c>
      <c r="D6" s="68" t="n">
        <f aca="false">C6/B6</f>
        <v>2.29730193872</v>
      </c>
      <c r="E6" s="46" t="n">
        <f aca="false">(C6/B6)^(1/5)-1</f>
        <v>0.180982917703027</v>
      </c>
      <c r="F6" s="95" t="n">
        <f aca="false">Assumptions!C18*(1+Assumptions!G18)^5*Assumptions!$B$11</f>
        <v>293.7872232832</v>
      </c>
      <c r="G6" s="68" t="n">
        <f aca="false">F6/B6</f>
        <v>3.67234029104</v>
      </c>
      <c r="H6" s="46" t="n">
        <f aca="false">(F6/B6)^(1/5)-1</f>
        <v>0.297145171903325</v>
      </c>
      <c r="I6" s="95" t="n">
        <f aca="false">Assumptions!C18*(1+Assumptions!H18)^5*Assumptions!$B$11</f>
        <v>25.2103093376</v>
      </c>
      <c r="J6" s="68" t="n">
        <f aca="false">I6/B6</f>
        <v>0.31512886672</v>
      </c>
      <c r="K6" s="46" t="n">
        <f aca="false">(I6/B6)^(1/5)-1</f>
        <v>-0.206224596297965</v>
      </c>
      <c r="L6" s="96" t="n">
        <f aca="false">Assumptions!C18*(1+Assumptions!I18)^5*Assumptions!$B$11</f>
        <v>376.289575225524</v>
      </c>
      <c r="M6" s="69" t="n">
        <f aca="false">L6/B6</f>
        <v>4.70361969031905</v>
      </c>
      <c r="N6" s="71" t="n">
        <f aca="false">(L6/B6)^(1/5)-1</f>
        <v>0.362970449283494</v>
      </c>
    </row>
    <row r="7" customFormat="false" ht="15" hidden="false" customHeight="true" outlineLevel="0" collapsed="false">
      <c r="A7" s="90" t="str">
        <f aca="false">Assumptions!A19</f>
        <v>EUV Tech</v>
      </c>
      <c r="B7" s="91" t="n">
        <f aca="false">Assumptions!C19</f>
        <v>30</v>
      </c>
      <c r="C7" s="95" t="n">
        <f aca="false">Assumptions!C19*(1+Assumptions!F19)^5*Assumptions!$B$11</f>
        <v>49.0980718512</v>
      </c>
      <c r="D7" s="68" t="n">
        <f aca="false">C7/B7</f>
        <v>1.63660239504</v>
      </c>
      <c r="E7" s="46" t="n">
        <f aca="false">(C7/B7)^(1/5)-1</f>
        <v>0.103541414902829</v>
      </c>
      <c r="F7" s="95" t="n">
        <f aca="false">Assumptions!C19*(1+Assumptions!G19)^5*Assumptions!$B$11</f>
        <v>80.9828219088</v>
      </c>
      <c r="G7" s="68" t="n">
        <f aca="false">F7/B7</f>
        <v>2.69942739696</v>
      </c>
      <c r="H7" s="46" t="n">
        <f aca="false">(F7/B7)^(1/5)-1</f>
        <v>0.219703669103126</v>
      </c>
      <c r="I7" s="95" t="n">
        <f aca="false">Assumptions!C19*(1+Assumptions!H19)^5*Assumptions!$B$11</f>
        <v>29.56148889465</v>
      </c>
      <c r="J7" s="68" t="n">
        <f aca="false">I7/B7</f>
        <v>0.985382963155</v>
      </c>
      <c r="K7" s="46" t="n">
        <f aca="false">(I7/B7)^(1/5)-1</f>
        <v>-0.00294065144744415</v>
      </c>
      <c r="L7" s="96" t="n">
        <f aca="false">Assumptions!C19*(1+Assumptions!I19)^5*Assumptions!$B$11</f>
        <v>96.1453173832581</v>
      </c>
      <c r="M7" s="69" t="n">
        <f aca="false">L7/B7</f>
        <v>3.20484391277527</v>
      </c>
      <c r="N7" s="71" t="n">
        <f aca="false">(L7/B7)^(1/5)-1</f>
        <v>0.262296495643236</v>
      </c>
    </row>
    <row r="8" customFormat="false" ht="15" hidden="false" customHeight="true" outlineLevel="0" collapsed="false">
      <c r="A8" s="90" t="str">
        <f aca="false">Assumptions!A20</f>
        <v>ThinTronics</v>
      </c>
      <c r="B8" s="91" t="n">
        <f aca="false">Assumptions!C20</f>
        <v>22.5</v>
      </c>
      <c r="C8" s="95" t="n">
        <f aca="false">Assumptions!C20*(1+Assumptions!F20)^5*Assumptions!$B$11</f>
        <v>60.7371164316</v>
      </c>
      <c r="D8" s="68" t="n">
        <f aca="false">C8/B8</f>
        <v>2.69942739696</v>
      </c>
      <c r="E8" s="46" t="n">
        <f aca="false">(C8/B8)^(1/5)-1</f>
        <v>0.219703669103126</v>
      </c>
      <c r="F8" s="95" t="n">
        <f aca="false">Assumptions!C20*(1+Assumptions!G20)^5*Assumptions!$B$11</f>
        <v>95.7187185588</v>
      </c>
      <c r="G8" s="68" t="n">
        <f aca="false">F8/B8</f>
        <v>4.25416526928</v>
      </c>
      <c r="H8" s="46" t="n">
        <f aca="false">(F8/B8)^(1/5)-1</f>
        <v>0.335865923303424</v>
      </c>
      <c r="I8" s="95" t="n">
        <f aca="false">Assumptions!C20*(1+Assumptions!H20)^5*Assumptions!$B$11</f>
        <v>11.29312125</v>
      </c>
      <c r="J8" s="68" t="n">
        <f aca="false">I8/B8</f>
        <v>0.5019165</v>
      </c>
      <c r="K8" s="46" t="n">
        <f aca="false">(I8/B8)^(1/5)-1</f>
        <v>-0.128783093497767</v>
      </c>
      <c r="L8" s="96" t="n">
        <f aca="false">Assumptions!C20*(1+Assumptions!I20)^5*Assumptions!$B$11</f>
        <v>108.872378419286</v>
      </c>
      <c r="M8" s="69" t="n">
        <f aca="false">L8/B8</f>
        <v>4.83877237419049</v>
      </c>
      <c r="N8" s="71" t="n">
        <f aca="false">(L8/B8)^(1/5)-1</f>
        <v>0.370714599563514</v>
      </c>
    </row>
    <row r="9" customFormat="false" ht="15" hidden="false" customHeight="true" outlineLevel="0" collapsed="false">
      <c r="A9" s="90" t="str">
        <f aca="false">Assumptions!A21</f>
        <v>EdgeCortix</v>
      </c>
      <c r="B9" s="91" t="n">
        <f aca="false">Assumptions!C21</f>
        <v>30.5</v>
      </c>
      <c r="C9" s="95" t="n">
        <f aca="false">Assumptions!C21*(1+Assumptions!F21)^5*Assumptions!$B$11</f>
        <v>76.00237974272</v>
      </c>
      <c r="D9" s="68" t="n">
        <f aca="false">C9/B9</f>
        <v>2.49188130304</v>
      </c>
      <c r="E9" s="46" t="n">
        <f aca="false">(C9/B9)^(1/5)-1</f>
        <v>0.200343293403077</v>
      </c>
      <c r="F9" s="95" t="n">
        <f aca="false">Assumptions!C21*(1+Assumptions!G21)^5*Assumptions!$B$11</f>
        <v>120.61832880128</v>
      </c>
      <c r="G9" s="68" t="n">
        <f aca="false">F9/B9</f>
        <v>3.95469930496</v>
      </c>
      <c r="H9" s="46" t="n">
        <f aca="false">(F9/B9)^(1/5)-1</f>
        <v>0.316505547603374</v>
      </c>
      <c r="I9" s="95" t="n">
        <f aca="false">Assumptions!C21*(1+Assumptions!H21)^5*Assumptions!$B$11</f>
        <v>17.08668848896</v>
      </c>
      <c r="J9" s="68" t="n">
        <f aca="false">I9/B9</f>
        <v>0.56021929472</v>
      </c>
      <c r="K9" s="46" t="n">
        <f aca="false">(I9/B9)^(1/5)-1</f>
        <v>-0.109422717797717</v>
      </c>
      <c r="L9" s="96" t="n">
        <f aca="false">Assumptions!C21*(1+Assumptions!I21)^5*Assumptions!$B$11</f>
        <v>83.6477251947856</v>
      </c>
      <c r="M9" s="69" t="n">
        <f aca="false">L9/B9</f>
        <v>2.74254836704215</v>
      </c>
      <c r="N9" s="71" t="n">
        <f aca="false">(L9/B9)^(1/5)-1</f>
        <v>0.223575744243137</v>
      </c>
    </row>
    <row r="10" customFormat="false" ht="15" hidden="false" customHeight="true" outlineLevel="0" collapsed="false">
      <c r="A10" s="90" t="str">
        <f aca="false">Assumptions!A22</f>
        <v>Syntiant</v>
      </c>
      <c r="B10" s="91" t="n">
        <f aca="false">Assumptions!C22</f>
        <v>31.5</v>
      </c>
      <c r="C10" s="95" t="n">
        <f aca="false">Assumptions!C22*(1+Assumptions!F22)^5*Assumptions!$B$11</f>
        <v>56.23664788224</v>
      </c>
      <c r="D10" s="68" t="n">
        <f aca="false">C10/B10</f>
        <v>1.78529040896</v>
      </c>
      <c r="E10" s="46" t="n">
        <f aca="false">(C10/B10)^(1/5)-1</f>
        <v>0.122901790602878</v>
      </c>
      <c r="F10" s="95" t="n">
        <f aca="false">Assumptions!C22*(1+Assumptions!G22)^5*Assumptions!$B$11</f>
        <v>91.99819948032</v>
      </c>
      <c r="G10" s="68" t="n">
        <f aca="false">F10/B10</f>
        <v>2.92057776128</v>
      </c>
      <c r="H10" s="46" t="n">
        <f aca="false">(F10/B10)^(1/5)-1</f>
        <v>0.239064044803176</v>
      </c>
      <c r="I10" s="95" t="n">
        <f aca="false">Assumptions!C22*(1+Assumptions!H22)^5*Assumptions!$B$11</f>
        <v>24.20247933432</v>
      </c>
      <c r="J10" s="68" t="n">
        <f aca="false">I10/B10</f>
        <v>0.76833267728</v>
      </c>
      <c r="K10" s="46" t="n">
        <f aca="false">(I10/B10)^(1/5)-1</f>
        <v>-0.0513415906975683</v>
      </c>
      <c r="L10" s="96" t="n">
        <f aca="false">Assumptions!C22*(1+Assumptions!I22)^5*Assumptions!$B$11</f>
        <v>72.36501106968</v>
      </c>
      <c r="M10" s="69" t="n">
        <f aca="false">L10/B10</f>
        <v>2.29730193872</v>
      </c>
      <c r="N10" s="71" t="n">
        <f aca="false">(L10/B10)^(1/5)-1</f>
        <v>0.180982917703027</v>
      </c>
    </row>
    <row r="11" customFormat="false" ht="15" hidden="false" customHeight="true" outlineLevel="0" collapsed="false">
      <c r="A11" s="90" t="str">
        <f aca="false">Assumptions!A23</f>
        <v>Infleqtion</v>
      </c>
      <c r="B11" s="91" t="n">
        <f aca="false">Assumptions!C23</f>
        <v>25</v>
      </c>
      <c r="C11" s="95" t="n">
        <f aca="false">Assumptions!C23*(1+Assumptions!F23)^5*Assumptions!$B$11</f>
        <v>42.741340234375</v>
      </c>
      <c r="D11" s="68" t="n">
        <f aca="false">C11/B11</f>
        <v>1.709653609375</v>
      </c>
      <c r="E11" s="46" t="n">
        <f aca="false">(C11/B11)^(1/5)-1</f>
        <v>0.113221602752853</v>
      </c>
      <c r="F11" s="95" t="n">
        <f aca="false">Assumptions!C23*(1+Assumptions!G23)^5*Assumptions!$B$11</f>
        <v>70.206534989875</v>
      </c>
      <c r="G11" s="68" t="n">
        <f aca="false">F11/B11</f>
        <v>2.808261399595</v>
      </c>
      <c r="H11" s="46" t="n">
        <f aca="false">(F11/B11)^(1/5)-1</f>
        <v>0.229383856953151</v>
      </c>
      <c r="I11" s="95" t="n">
        <f aca="false">Assumptions!C23*(1+Assumptions!H23)^5*Assumptions!$B$11</f>
        <v>12.5479125</v>
      </c>
      <c r="J11" s="68" t="n">
        <f aca="false">I11/B11</f>
        <v>0.5019165</v>
      </c>
      <c r="K11" s="46" t="n">
        <f aca="false">(I11/B11)^(1/5)-1</f>
        <v>-0.128783093497767</v>
      </c>
      <c r="L11" s="96" t="n">
        <f aca="false">Assumptions!C23*(1+Assumptions!I23)^5*Assumptions!$B$11</f>
        <v>57.9048530651547</v>
      </c>
      <c r="M11" s="69" t="n">
        <f aca="false">L11/B11</f>
        <v>2.31619412260619</v>
      </c>
      <c r="N11" s="71" t="n">
        <f aca="false">(L11/B11)^(1/5)-1</f>
        <v>0.182918955273032</v>
      </c>
    </row>
    <row r="12" customFormat="false" ht="15" hidden="false" customHeight="true" outlineLevel="0" collapsed="false">
      <c r="A12" s="90" t="str">
        <f aca="false">Assumptions!A24</f>
        <v>Diraq</v>
      </c>
      <c r="B12" s="91" t="n">
        <f aca="false">Assumptions!C24</f>
        <v>14</v>
      </c>
      <c r="C12" s="95" t="n">
        <f aca="false">Assumptions!C24*(1+Assumptions!F24)^5*Assumptions!$B$11</f>
        <v>44.183867</v>
      </c>
      <c r="D12" s="68" t="n">
        <f aca="false">C12/B12</f>
        <v>3.1559905</v>
      </c>
      <c r="E12" s="46" t="n">
        <f aca="false">(C12/B12)^(1/5)-1</f>
        <v>0.258424420503226</v>
      </c>
      <c r="F12" s="95" t="n">
        <f aca="false">Assumptions!C24*(1+Assumptions!G24)^5*Assumptions!$B$11</f>
        <v>68.70505368608</v>
      </c>
      <c r="G12" s="68" t="n">
        <f aca="false">F12/B12</f>
        <v>4.90750383472</v>
      </c>
      <c r="H12" s="46" t="n">
        <f aca="false">(F12/B12)^(1/5)-1</f>
        <v>0.374586674703523</v>
      </c>
      <c r="I12" s="95" t="n">
        <f aca="false">Assumptions!C24*(1+Assumptions!H24)^5*Assumptions!$B$11</f>
        <v>3.43573749792</v>
      </c>
      <c r="J12" s="68" t="n">
        <f aca="false">I12/B12</f>
        <v>0.24540982128</v>
      </c>
      <c r="K12" s="46" t="n">
        <f aca="false">(I12/B12)^(1/5)-1</f>
        <v>-0.244945347698065</v>
      </c>
      <c r="L12" s="96" t="n">
        <f aca="false">Assumptions!C24*(1+Assumptions!I24)^5*Assumptions!$B$11</f>
        <v>60.4264961116307</v>
      </c>
      <c r="M12" s="69" t="n">
        <f aca="false">L12/B12</f>
        <v>4.31617829368791</v>
      </c>
      <c r="N12" s="71" t="n">
        <f aca="false">(L12/B12)^(1/5)-1</f>
        <v>0.339737998443434</v>
      </c>
    </row>
    <row r="13" customFormat="false" ht="15" hidden="false" customHeight="true" outlineLevel="0" collapsed="false">
      <c r="A13" s="90" t="str">
        <f aca="false">Assumptions!A25</f>
        <v>Mueon</v>
      </c>
      <c r="B13" s="91" t="n">
        <f aca="false">Assumptions!C25</f>
        <v>10</v>
      </c>
      <c r="C13" s="95" t="n">
        <f aca="false">Assumptions!C25*(1+Assumptions!F25)^5*Assumptions!$B$11</f>
        <v>34.0634460672</v>
      </c>
      <c r="D13" s="68" t="n">
        <f aca="false">C13/B13</f>
        <v>3.40634460672</v>
      </c>
      <c r="E13" s="46" t="n">
        <f aca="false">(C13/B13)^(1/5)-1</f>
        <v>0.277784796203276</v>
      </c>
      <c r="F13" s="95" t="n">
        <f aca="false">Assumptions!C25*(1+Assumptions!G25)^5*Assumptions!$B$11</f>
        <v>52.6297595904</v>
      </c>
      <c r="G13" s="68" t="n">
        <f aca="false">F13/B13</f>
        <v>5.26297595904</v>
      </c>
      <c r="H13" s="46" t="n">
        <f aca="false">(F13/B13)^(1/5)-1</f>
        <v>0.393947050403573</v>
      </c>
      <c r="I13" s="95" t="n">
        <f aca="false">Assumptions!C25*(1+Assumptions!H25)^5*Assumptions!$B$11</f>
        <v>1.6446799872</v>
      </c>
      <c r="J13" s="68" t="n">
        <f aca="false">I13/B13</f>
        <v>0.16446799872</v>
      </c>
      <c r="K13" s="46" t="n">
        <f aca="false">(I13/B13)^(1/5)-1</f>
        <v>-0.303026474798213</v>
      </c>
      <c r="L13" s="96" t="n">
        <f aca="false">Assumptions!C25*(1+Assumptions!I25)^5*Assumptions!$B$11</f>
        <v>45.0656891928233</v>
      </c>
      <c r="M13" s="69" t="n">
        <f aca="false">L13/B13</f>
        <v>4.50656891928233</v>
      </c>
      <c r="N13" s="71" t="n">
        <f aca="false">(L13/B13)^(1/5)-1</f>
        <v>0.351354223863464</v>
      </c>
    </row>
    <row r="14" customFormat="false" ht="15" hidden="false" customHeight="true" outlineLevel="0" collapsed="false">
      <c r="A14" s="90" t="str">
        <f aca="false">Assumptions!A26</f>
        <v>DefendEye</v>
      </c>
      <c r="B14" s="91" t="n">
        <f aca="false">Assumptions!C26</f>
        <v>6.5</v>
      </c>
      <c r="C14" s="95" t="n">
        <f aca="false">Assumptions!C26*(1+Assumptions!F26)^5*Assumptions!$B$11</f>
        <v>18.98375544832</v>
      </c>
      <c r="D14" s="68" t="n">
        <f aca="false">C14/B14</f>
        <v>2.92057776128</v>
      </c>
      <c r="E14" s="46" t="n">
        <f aca="false">(C14/B14)^(1/5)-1</f>
        <v>0.239064044803176</v>
      </c>
      <c r="F14" s="95" t="n">
        <f aca="false">Assumptions!C26*(1+Assumptions!G26)^5*Assumptions!$B$11</f>
        <v>29.714776</v>
      </c>
      <c r="G14" s="68" t="n">
        <f aca="false">F14/B14</f>
        <v>4.571504</v>
      </c>
      <c r="H14" s="46" t="n">
        <f aca="false">(F14/B14)^(1/5)-1</f>
        <v>0.355226299003474</v>
      </c>
      <c r="I14" s="95" t="n">
        <f aca="false">Assumptions!C26*(1+Assumptions!H26)^5*Assumptions!$B$11</f>
        <v>1.3111083984375</v>
      </c>
      <c r="J14" s="68" t="n">
        <f aca="false">I14/B14</f>
        <v>0.201708984375</v>
      </c>
      <c r="K14" s="46" t="n">
        <f aca="false">(I14/B14)^(1/5)-1</f>
        <v>-0.273985911248139</v>
      </c>
      <c r="L14" s="96" t="n">
        <f aca="false">Assumptions!C26*(1+Assumptions!I26)^5*Assumptions!$B$11</f>
        <v>14.6892680880718</v>
      </c>
      <c r="M14" s="69" t="n">
        <f aca="false">L14/B14</f>
        <v>2.25988739816489</v>
      </c>
      <c r="N14" s="71" t="n">
        <f aca="false">(L14/B14)^(1/5)-1</f>
        <v>0.177110842563017</v>
      </c>
    </row>
    <row r="15" customFormat="false" ht="15" hidden="false" customHeight="true" outlineLevel="0" collapsed="false">
      <c r="A15" s="86" t="s">
        <v>368</v>
      </c>
      <c r="B15" s="97" t="n">
        <f aca="false">SUM(B6:B14)</f>
        <v>250</v>
      </c>
      <c r="C15" s="97" t="n">
        <f aca="false">SUM(C6:C14)</f>
        <v>565.830779755255</v>
      </c>
      <c r="D15" s="98" t="n">
        <f aca="false">C15/B15</f>
        <v>2.26332311902102</v>
      </c>
      <c r="E15" s="99" t="n">
        <f aca="false">(C15/B15)^(1/5)-1</f>
        <v>0.177468538891813</v>
      </c>
      <c r="F15" s="97" t="n">
        <f aca="false">SUM(F6:F14)</f>
        <v>904.361416298755</v>
      </c>
      <c r="G15" s="98" t="n">
        <f aca="false">F15/B15</f>
        <v>3.61744566519502</v>
      </c>
      <c r="H15" s="99" t="n">
        <f aca="false">(F15/B15)^(1/5)-1</f>
        <v>0.293243794979584</v>
      </c>
      <c r="I15" s="97" t="n">
        <f aca="false">SUM(I6:I14)</f>
        <v>126.293525689088</v>
      </c>
      <c r="J15" s="98" t="n">
        <f aca="false">I15/B15</f>
        <v>0.50517410275635</v>
      </c>
      <c r="K15" s="99" t="n">
        <f aca="false">(I15/B15)^(1/5)-1</f>
        <v>-0.127655121361233</v>
      </c>
      <c r="L15" s="100" t="n">
        <f aca="false">SUM(L6:L14)</f>
        <v>915.406313750214</v>
      </c>
      <c r="M15" s="101" t="n">
        <f aca="false">L15/B15</f>
        <v>3.66162525500086</v>
      </c>
      <c r="N15" s="102" t="n">
        <f aca="false">(L15/B15)^(1/5)-1</f>
        <v>0.296387333239672</v>
      </c>
    </row>
    <row r="16" customFormat="false" ht="1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true" outlineLevel="0" collapsed="false">
      <c r="A18" s="60" t="s">
        <v>369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27.75" hidden="false" customHeight="true" outlineLevel="0" collapsed="false">
      <c r="A19" s="43" t="s">
        <v>246</v>
      </c>
      <c r="B19" s="43" t="s">
        <v>248</v>
      </c>
      <c r="C19" s="43" t="s">
        <v>356</v>
      </c>
      <c r="D19" s="43" t="s">
        <v>357</v>
      </c>
      <c r="E19" s="43" t="s">
        <v>358</v>
      </c>
      <c r="F19" s="43" t="s">
        <v>359</v>
      </c>
      <c r="G19" s="43" t="s">
        <v>360</v>
      </c>
      <c r="H19" s="43" t="s">
        <v>361</v>
      </c>
      <c r="I19" s="43" t="s">
        <v>362</v>
      </c>
      <c r="J19" s="43" t="s">
        <v>363</v>
      </c>
      <c r="K19" s="43" t="s">
        <v>364</v>
      </c>
      <c r="L19" s="53" t="s">
        <v>365</v>
      </c>
      <c r="M19" s="53" t="s">
        <v>366</v>
      </c>
      <c r="N19" s="53" t="s">
        <v>367</v>
      </c>
    </row>
    <row r="20" customFormat="false" ht="15" hidden="false" customHeight="true" outlineLevel="0" collapsed="false">
      <c r="A20" s="90" t="str">
        <f aca="false">Assumptions!A18</f>
        <v>Substrate (anchor)</v>
      </c>
      <c r="B20" s="91" t="n">
        <f aca="false">Assumptions!C18</f>
        <v>80</v>
      </c>
      <c r="C20" s="95" t="n">
        <f aca="false">Assumptions!C18*(1+Assumptions!F18)^7*Assumptions!$B$12</f>
        <v>251.017155798669</v>
      </c>
      <c r="D20" s="68" t="n">
        <f aca="false">C20/B20</f>
        <v>3.13771444748337</v>
      </c>
      <c r="E20" s="46" t="n">
        <f aca="false">(C20/B20)^(1/7)-1</f>
        <v>0.177456235419079</v>
      </c>
      <c r="F20" s="95" t="n">
        <f aca="false">Assumptions!C18*(1+Assumptions!G18)^7*Assumptions!$B$12</f>
        <v>484.081157340359</v>
      </c>
      <c r="G20" s="68" t="n">
        <f aca="false">F20/B20</f>
        <v>6.05101446675449</v>
      </c>
      <c r="H20" s="46" t="n">
        <f aca="false">(F20/B20)^(1/7)-1</f>
        <v>0.293271602837349</v>
      </c>
      <c r="I20" s="95" t="n">
        <f aca="false">Assumptions!C18*(1+Assumptions!H18)^7*Assumptions!$B$12</f>
        <v>15.5554133634232</v>
      </c>
      <c r="J20" s="68" t="n">
        <f aca="false">I20/B20</f>
        <v>0.194442667042791</v>
      </c>
      <c r="K20" s="46" t="n">
        <f aca="false">(I20/B20)^(1/7)-1</f>
        <v>-0.208594989308488</v>
      </c>
      <c r="L20" s="96" t="n">
        <f aca="false">Assumptions!C18*(1+Assumptions!I18)^7*Assumptions!$B$12</f>
        <v>684.54684522202</v>
      </c>
      <c r="M20" s="69" t="n">
        <f aca="false">L20/B20</f>
        <v>8.55683556527525</v>
      </c>
      <c r="N20" s="71" t="n">
        <f aca="false">(L20/B20)^(1/7)-1</f>
        <v>0.358900311041035</v>
      </c>
    </row>
    <row r="21" customFormat="false" ht="15" hidden="false" customHeight="true" outlineLevel="0" collapsed="false">
      <c r="A21" s="90" t="str">
        <f aca="false">Assumptions!A19</f>
        <v>EUV Tech</v>
      </c>
      <c r="B21" s="91" t="n">
        <f aca="false">Assumptions!C19</f>
        <v>30</v>
      </c>
      <c r="C21" s="95" t="n">
        <f aca="false">Assumptions!C19*(1+Assumptions!F19)^7*Assumptions!$B$12</f>
        <v>58.5530897161168</v>
      </c>
      <c r="D21" s="68" t="n">
        <f aca="false">C21/B21</f>
        <v>1.95176965720389</v>
      </c>
      <c r="E21" s="46" t="n">
        <f aca="false">(C21/B21)^(1/7)-1</f>
        <v>0.100245990473566</v>
      </c>
      <c r="F21" s="95" t="n">
        <f aca="false">Assumptions!C19*(1+Assumptions!G19)^7*Assumptions!$B$12</f>
        <v>117.98034810433</v>
      </c>
      <c r="G21" s="68" t="n">
        <f aca="false">F21/B21</f>
        <v>3.93267827014433</v>
      </c>
      <c r="H21" s="46" t="n">
        <f aca="false">(F21/B21)^(1/7)-1</f>
        <v>0.216061357891835</v>
      </c>
      <c r="I21" s="95" t="n">
        <f aca="false">Assumptions!C19*(1+Assumptions!H19)^7*Assumptions!$B$12</f>
        <v>28.779048450942</v>
      </c>
      <c r="J21" s="68" t="n">
        <f aca="false">I21/B21</f>
        <v>0.959301615031399</v>
      </c>
      <c r="K21" s="46" t="n">
        <f aca="false">(I21/B21)^(1/7)-1</f>
        <v>-0.00591809632651552</v>
      </c>
      <c r="L21" s="96" t="n">
        <f aca="false">Assumptions!C19*(1+Assumptions!I19)^7*Assumptions!$B$12</f>
        <v>150.023397744453</v>
      </c>
      <c r="M21" s="69" t="n">
        <f aca="false">L21/B21</f>
        <v>5.00077992481509</v>
      </c>
      <c r="N21" s="71" t="n">
        <f aca="false">(L21/B21)^(1/7)-1</f>
        <v>0.258526992611868</v>
      </c>
    </row>
    <row r="22" customFormat="false" ht="15" hidden="false" customHeight="true" outlineLevel="0" collapsed="false">
      <c r="A22" s="90" t="str">
        <f aca="false">Assumptions!A20</f>
        <v>ThinTronics</v>
      </c>
      <c r="B22" s="91" t="n">
        <f aca="false">Assumptions!C20</f>
        <v>22.5</v>
      </c>
      <c r="C22" s="95" t="n">
        <f aca="false">Assumptions!C20*(1+Assumptions!F20)^7*Assumptions!$B$12</f>
        <v>88.4852610782475</v>
      </c>
      <c r="D22" s="68" t="n">
        <f aca="false">C22/B22</f>
        <v>3.93267827014433</v>
      </c>
      <c r="E22" s="46" t="n">
        <f aca="false">(C22/B22)^(1/7)-1</f>
        <v>0.216061357891835</v>
      </c>
      <c r="F22" s="95" t="n">
        <f aca="false">Assumptions!C20*(1+Assumptions!G20)^7*Assumptions!$B$12</f>
        <v>167.274879466159</v>
      </c>
      <c r="G22" s="68" t="n">
        <f aca="false">F22/B22</f>
        <v>7.43443908738485</v>
      </c>
      <c r="H22" s="46" t="n">
        <f aca="false">(F22/B22)^(1/7)-1</f>
        <v>0.331876725310105</v>
      </c>
      <c r="I22" s="95" t="n">
        <f aca="false">Assumptions!C20*(1+Assumptions!H20)^7*Assumptions!$B$12</f>
        <v>8.394110595</v>
      </c>
      <c r="J22" s="68" t="n">
        <f aca="false">I22/B22</f>
        <v>0.373071582</v>
      </c>
      <c r="K22" s="46" t="n">
        <f aca="false">(I22/B22)^(1/7)-1</f>
        <v>-0.131384744362975</v>
      </c>
      <c r="L22" s="96" t="n">
        <f aca="false">Assumptions!C20*(1+Assumptions!I20)^7*Assumptions!$B$12</f>
        <v>200.317962535777</v>
      </c>
      <c r="M22" s="69" t="n">
        <f aca="false">L22/B22</f>
        <v>8.90302055714566</v>
      </c>
      <c r="N22" s="71" t="n">
        <f aca="false">(L22/B22)^(1/7)-1</f>
        <v>0.366621335535586</v>
      </c>
    </row>
    <row r="23" customFormat="false" ht="15" hidden="false" customHeight="true" outlineLevel="0" collapsed="false">
      <c r="A23" s="90" t="str">
        <f aca="false">Assumptions!A21</f>
        <v>EdgeCortix</v>
      </c>
      <c r="B23" s="91" t="n">
        <f aca="false">Assumptions!C21</f>
        <v>30.5</v>
      </c>
      <c r="C23" s="95" t="n">
        <f aca="false">Assumptions!C21*(1+Assumptions!F21)^7*Assumptions!$B$12</f>
        <v>107.237390696561</v>
      </c>
      <c r="D23" s="68" t="n">
        <f aca="false">C23/B23</f>
        <v>3.51598002283807</v>
      </c>
      <c r="E23" s="46" t="n">
        <f aca="false">(C23/B23)^(1/7)-1</f>
        <v>0.196758796655457</v>
      </c>
      <c r="F23" s="95" t="n">
        <f aca="false">Assumptions!C21*(1+Assumptions!G21)^7*Assumptions!$B$12</f>
        <v>204.723077107836</v>
      </c>
      <c r="G23" s="68" t="n">
        <f aca="false">F23/B23</f>
        <v>6.7122320363225</v>
      </c>
      <c r="H23" s="46" t="n">
        <f aca="false">(F23/B23)^(1/7)-1</f>
        <v>0.312574164073727</v>
      </c>
      <c r="I23" s="95" t="n">
        <f aca="false">Assumptions!C21*(1+Assumptions!H21)^7*Assumptions!$B$12</f>
        <v>13.2711706434159</v>
      </c>
      <c r="J23" s="68" t="n">
        <f aca="false">I23/B23</f>
        <v>0.435120348964455</v>
      </c>
      <c r="K23" s="46" t="n">
        <f aca="false">(I23/B23)^(1/7)-1</f>
        <v>-0.112082183126596</v>
      </c>
      <c r="L23" s="96" t="n">
        <f aca="false">Assumptions!C21*(1+Assumptions!I21)^7*Assumptions!$B$12</f>
        <v>122.637689462577</v>
      </c>
      <c r="M23" s="69" t="n">
        <f aca="false">L23/B23</f>
        <v>4.02090785123203</v>
      </c>
      <c r="N23" s="71" t="n">
        <f aca="false">(L23/B23)^(1/7)-1</f>
        <v>0.219921870139111</v>
      </c>
    </row>
    <row r="24" customFormat="false" ht="15" hidden="false" customHeight="true" outlineLevel="0" collapsed="false">
      <c r="A24" s="90" t="str">
        <f aca="false">Assumptions!A22</f>
        <v>Syntiant</v>
      </c>
      <c r="B24" s="91" t="n">
        <f aca="false">Assumptions!C22</f>
        <v>31.5</v>
      </c>
      <c r="C24" s="95" t="n">
        <f aca="false">Assumptions!C22*(1+Assumptions!F22)^7*Assumptions!$B$12</f>
        <v>69.4402188758434</v>
      </c>
      <c r="D24" s="68" t="n">
        <f aca="false">C24/B24</f>
        <v>2.20445139288392</v>
      </c>
      <c r="E24" s="46" t="n">
        <f aca="false">(C24/B24)^(1/7)-1</f>
        <v>0.119548551709944</v>
      </c>
      <c r="F24" s="95" t="n">
        <f aca="false">Assumptions!C22*(1+Assumptions!G22)^7*Assumptions!$B$12</f>
        <v>138.316803555616</v>
      </c>
      <c r="G24" s="68" t="n">
        <f aca="false">F24/B24</f>
        <v>4.39100963668624</v>
      </c>
      <c r="H24" s="46" t="n">
        <f aca="false">(F24/B24)^(1/7)-1</f>
        <v>0.235363919128214</v>
      </c>
      <c r="I24" s="95" t="n">
        <f aca="false">Assumptions!C22*(1+Assumptions!H22)^7*Assumptions!$B$12</f>
        <v>21.3298443518719</v>
      </c>
      <c r="J24" s="68" t="n">
        <f aca="false">I24/B24</f>
        <v>0.677137915932442</v>
      </c>
      <c r="K24" s="46" t="n">
        <f aca="false">(I24/B24)^(1/7)-1</f>
        <v>-0.0541744994174614</v>
      </c>
      <c r="L24" s="96" t="n">
        <f aca="false">Assumptions!C22*(1+Assumptions!I22)^7*Assumptions!$B$12</f>
        <v>98.838005095726</v>
      </c>
      <c r="M24" s="69" t="n">
        <f aca="false">L24/B24</f>
        <v>3.13771444748337</v>
      </c>
      <c r="N24" s="71" t="n">
        <f aca="false">(L24/B24)^(1/7)-1</f>
        <v>0.177456235419079</v>
      </c>
    </row>
    <row r="25" customFormat="false" ht="15" hidden="false" customHeight="true" outlineLevel="0" collapsed="false">
      <c r="A25" s="90" t="str">
        <f aca="false">Assumptions!A23</f>
        <v>Infleqtion</v>
      </c>
      <c r="B25" s="91" t="n">
        <f aca="false">Assumptions!C23</f>
        <v>25</v>
      </c>
      <c r="C25" s="95" t="n">
        <f aca="false">Assumptions!C23*(1+Assumptions!F23)^7*Assumptions!$B$12</f>
        <v>51.8703876691406</v>
      </c>
      <c r="D25" s="68" t="n">
        <f aca="false">C25/B25</f>
        <v>2.07481550676562</v>
      </c>
      <c r="E25" s="46" t="n">
        <f aca="false">(C25/B25)^(1/7)-1</f>
        <v>0.109897271091755</v>
      </c>
      <c r="F25" s="95" t="n">
        <f aca="false">Assumptions!C23*(1+Assumptions!G23)^7*Assumptions!$B$12</f>
        <v>103.910792732273</v>
      </c>
      <c r="G25" s="68" t="n">
        <f aca="false">F25/B25</f>
        <v>4.15643170929092</v>
      </c>
      <c r="H25" s="46" t="n">
        <f aca="false">(F25/B25)^(1/7)-1</f>
        <v>0.225712638510025</v>
      </c>
      <c r="I25" s="95" t="n">
        <f aca="false">Assumptions!C23*(1+Assumptions!H23)^7*Assumptions!$B$12</f>
        <v>9.32678955</v>
      </c>
      <c r="J25" s="68" t="n">
        <f aca="false">I25/B25</f>
        <v>0.373071582</v>
      </c>
      <c r="K25" s="46" t="n">
        <f aca="false">(I25/B25)^(1/7)-1</f>
        <v>-0.131384744362975</v>
      </c>
      <c r="L25" s="96" t="n">
        <f aca="false">Assumptions!C23*(1+Assumptions!I23)^7*Assumptions!$B$12</f>
        <v>79.3474643194661</v>
      </c>
      <c r="M25" s="69" t="n">
        <f aca="false">L25/B25</f>
        <v>3.17389857277865</v>
      </c>
      <c r="N25" s="71" t="n">
        <f aca="false">(L25/B25)^(1/7)-1</f>
        <v>0.179386491542717</v>
      </c>
    </row>
    <row r="26" customFormat="false" ht="15" hidden="false" customHeight="true" outlineLevel="0" collapsed="false">
      <c r="A26" s="90" t="str">
        <f aca="false">Assumptions!A24</f>
        <v>Diraq</v>
      </c>
      <c r="B26" s="91" t="n">
        <f aca="false">Assumptions!C24</f>
        <v>14</v>
      </c>
      <c r="C26" s="95" t="n">
        <f aca="false">Assumptions!C24*(1+Assumptions!F24)^7*Assumptions!$B$12</f>
        <v>68.521380564</v>
      </c>
      <c r="D26" s="68" t="n">
        <f aca="false">C26/B26</f>
        <v>4.894384326</v>
      </c>
      <c r="E26" s="46" t="n">
        <f aca="false">(C26/B26)^(1/7)-1</f>
        <v>0.254666480364592</v>
      </c>
      <c r="F26" s="95" t="n">
        <f aca="false">Assumptions!C24*(1+Assumptions!G24)^7*Assumptions!$B$12</f>
        <v>127.127951525926</v>
      </c>
      <c r="G26" s="68" t="n">
        <f aca="false">F26/B26</f>
        <v>9.08056796613757</v>
      </c>
      <c r="H26" s="46" t="n">
        <f aca="false">(F26/B26)^(1/7)-1</f>
        <v>0.370481847782862</v>
      </c>
      <c r="I26" s="95" t="n">
        <f aca="false">Assumptions!C24*(1+Assumptions!H24)^7*Assumptions!$B$12</f>
        <v>1.91816011895639</v>
      </c>
      <c r="J26" s="68" t="n">
        <f aca="false">I26/B26</f>
        <v>0.137011437068314</v>
      </c>
      <c r="K26" s="46" t="n">
        <f aca="false">(I26/B26)^(1/7)-1</f>
        <v>-0.247200111781245</v>
      </c>
      <c r="L26" s="96" t="n">
        <f aca="false">Assumptions!C24*(1+Assumptions!I24)^7*Assumptions!$B$12</f>
        <v>106.212411456564</v>
      </c>
      <c r="M26" s="69" t="n">
        <f aca="false">L26/B26</f>
        <v>7.58660081832603</v>
      </c>
      <c r="N26" s="71" t="n">
        <f aca="false">(L26/B26)^(1/7)-1</f>
        <v>0.335737237557381</v>
      </c>
    </row>
    <row r="27" customFormat="false" ht="15" hidden="false" customHeight="true" outlineLevel="0" collapsed="false">
      <c r="A27" s="90" t="str">
        <f aca="false">Assumptions!A25</f>
        <v>Mueon</v>
      </c>
      <c r="B27" s="91" t="n">
        <f aca="false">Assumptions!C25</f>
        <v>10</v>
      </c>
      <c r="C27" s="95" t="n">
        <f aca="false">Assumptions!C25*(1+Assumptions!F25)^7*Assumptions!$B$12</f>
        <v>54.4643244393431</v>
      </c>
      <c r="D27" s="68" t="n">
        <f aca="false">C27/B27</f>
        <v>5.44643244393431</v>
      </c>
      <c r="E27" s="46" t="n">
        <f aca="false">(C27/B27)^(1/7)-1</f>
        <v>0.27396904160097</v>
      </c>
      <c r="F27" s="95" t="n">
        <f aca="false">Assumptions!C25*(1+Assumptions!G25)^7*Assumptions!$B$12</f>
        <v>100.145640234811</v>
      </c>
      <c r="G27" s="68" t="n">
        <f aca="false">F27/B27</f>
        <v>10.0145640234811</v>
      </c>
      <c r="H27" s="46" t="n">
        <f aca="false">(F27/B27)^(1/7)-1</f>
        <v>0.38978440901924</v>
      </c>
      <c r="I27" s="95" t="n">
        <f aca="false">Assumptions!C25*(1+Assumptions!H25)^7*Assumptions!$B$12</f>
        <v>0.782387814334464</v>
      </c>
      <c r="J27" s="68" t="n">
        <f aca="false">I27/B27</f>
        <v>0.0782387814334464</v>
      </c>
      <c r="K27" s="46" t="n">
        <f aca="false">(I27/B27)^(1/7)-1</f>
        <v>-0.30510779549038</v>
      </c>
      <c r="L27" s="96" t="n">
        <f aca="false">Assumptions!C25*(1+Assumptions!I25)^7*Assumptions!$B$12</f>
        <v>80.592110820001</v>
      </c>
      <c r="M27" s="69" t="n">
        <f aca="false">L27/B27</f>
        <v>8.0592110820001</v>
      </c>
      <c r="N27" s="71" t="n">
        <f aca="false">(L27/B27)^(1/7)-1</f>
        <v>0.347318774299208</v>
      </c>
    </row>
    <row r="28" customFormat="false" ht="15" hidden="false" customHeight="true" outlineLevel="0" collapsed="false">
      <c r="A28" s="90" t="str">
        <f aca="false">Assumptions!A26</f>
        <v>DefendEye</v>
      </c>
      <c r="B28" s="91" t="n">
        <f aca="false">Assumptions!C26</f>
        <v>6.5</v>
      </c>
      <c r="C28" s="95" t="n">
        <f aca="false">Assumptions!C26*(1+Assumptions!F26)^7*Assumptions!$B$12</f>
        <v>28.5415626384605</v>
      </c>
      <c r="D28" s="68" t="n">
        <f aca="false">C28/B28</f>
        <v>4.39100963668624</v>
      </c>
      <c r="E28" s="46" t="n">
        <f aca="false">(C28/B28)^(1/7)-1</f>
        <v>0.235363919128214</v>
      </c>
      <c r="F28" s="95" t="n">
        <f aca="false">Assumptions!C26*(1+Assumptions!G26)^7*Assumptions!$B$12</f>
        <v>53.444646528</v>
      </c>
      <c r="G28" s="68" t="n">
        <f aca="false">F28/B28</f>
        <v>8.222253312</v>
      </c>
      <c r="H28" s="46" t="n">
        <f aca="false">(F28/B28)^(1/7)-1</f>
        <v>0.351179286546484</v>
      </c>
      <c r="I28" s="95" t="n">
        <f aca="false">Assumptions!C26*(1+Assumptions!H26)^7*Assumptions!$B$12</f>
        <v>0.676763305664063</v>
      </c>
      <c r="J28" s="68" t="n">
        <f aca="false">I28/B28</f>
        <v>0.104117431640625</v>
      </c>
      <c r="K28" s="46" t="n">
        <f aca="false">(I28/B28)^(1/7)-1</f>
        <v>-0.276153953635812</v>
      </c>
      <c r="L28" s="96" t="n">
        <f aca="false">Assumptions!C26*(1+Assumptions!I26)^7*Assumptions!$B$12</f>
        <v>19.9316376792329</v>
      </c>
      <c r="M28" s="69" t="n">
        <f aca="false">L28/B28</f>
        <v>3.06640579680506</v>
      </c>
      <c r="N28" s="71" t="n">
        <f aca="false">(L28/B28)^(1/7)-1</f>
        <v>0.173595723171803</v>
      </c>
    </row>
    <row r="29" customFormat="false" ht="15" hidden="false" customHeight="true" outlineLevel="0" collapsed="false">
      <c r="A29" s="86" t="s">
        <v>368</v>
      </c>
      <c r="B29" s="97" t="n">
        <f aca="false">SUM(B20:B28)</f>
        <v>250</v>
      </c>
      <c r="C29" s="97" t="n">
        <f aca="false">SUM(C20:C28)</f>
        <v>778.130771476382</v>
      </c>
      <c r="D29" s="98" t="n">
        <f aca="false">C29/B29</f>
        <v>3.11252308590553</v>
      </c>
      <c r="E29" s="99" t="n">
        <f aca="false">(C29/B29)^(1/7)-1</f>
        <v>0.176101095419671</v>
      </c>
      <c r="F29" s="97" t="n">
        <f aca="false">SUM(F20:F28)</f>
        <v>1497.00529659531</v>
      </c>
      <c r="G29" s="98" t="n">
        <f aca="false">F29/B29</f>
        <v>5.98802118638125</v>
      </c>
      <c r="H29" s="99" t="n">
        <f aca="false">(F29/B29)^(1/7)-1</f>
        <v>0.291339618539895</v>
      </c>
      <c r="I29" s="97" t="n">
        <f aca="false">SUM(I20:I28)</f>
        <v>100.033688193608</v>
      </c>
      <c r="J29" s="98" t="n">
        <f aca="false">I29/B29</f>
        <v>0.400134752774432</v>
      </c>
      <c r="K29" s="99" t="n">
        <f aca="false">(I29/B29)^(1/7)-1</f>
        <v>-0.122651122718396</v>
      </c>
      <c r="L29" s="100" t="n">
        <f aca="false">SUM(L20:L28)</f>
        <v>1542.44752433582</v>
      </c>
      <c r="M29" s="101" t="n">
        <f aca="false">L29/B29</f>
        <v>6.16979009734327</v>
      </c>
      <c r="N29" s="102" t="n">
        <f aca="false">(L29/B29)^(1/7)-1</f>
        <v>0.296867986963714</v>
      </c>
    </row>
    <row r="30" customFormat="false" ht="1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true" outlineLevel="0" collapsed="false">
      <c r="A32" s="60" t="s">
        <v>370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27.75" hidden="false" customHeight="true" outlineLevel="0" collapsed="false">
      <c r="A33" s="43" t="s">
        <v>246</v>
      </c>
      <c r="B33" s="43" t="s">
        <v>248</v>
      </c>
      <c r="C33" s="43" t="s">
        <v>356</v>
      </c>
      <c r="D33" s="43" t="s">
        <v>357</v>
      </c>
      <c r="E33" s="43" t="s">
        <v>358</v>
      </c>
      <c r="F33" s="43" t="s">
        <v>359</v>
      </c>
      <c r="G33" s="43" t="s">
        <v>360</v>
      </c>
      <c r="H33" s="43" t="s">
        <v>361</v>
      </c>
      <c r="I33" s="43" t="s">
        <v>362</v>
      </c>
      <c r="J33" s="43" t="s">
        <v>363</v>
      </c>
      <c r="K33" s="43" t="s">
        <v>364</v>
      </c>
      <c r="L33" s="53" t="s">
        <v>365</v>
      </c>
      <c r="M33" s="53" t="s">
        <v>366</v>
      </c>
      <c r="N33" s="53" t="s">
        <v>367</v>
      </c>
    </row>
    <row r="34" customFormat="false" ht="15" hidden="false" customHeight="true" outlineLevel="0" collapsed="false">
      <c r="A34" s="90" t="str">
        <f aca="false">Assumptions!A18</f>
        <v>Substrate (anchor)</v>
      </c>
      <c r="B34" s="91" t="n">
        <f aca="false">Assumptions!C18</f>
        <v>80</v>
      </c>
      <c r="C34" s="95" t="n">
        <f aca="false">Assumptions!C18*(1+Assumptions!F18)^10*Assumptions!$B$13</f>
        <v>397.371948999279</v>
      </c>
      <c r="D34" s="68" t="n">
        <f aca="false">C34/B34</f>
        <v>4.96714936249098</v>
      </c>
      <c r="E34" s="46" t="n">
        <f aca="false">(C34/B34)^(1/10)-1</f>
        <v>0.17384491223357</v>
      </c>
      <c r="F34" s="95" t="n">
        <f aca="false">Assumptions!C18*(1+Assumptions!G18)^10*Assumptions!$B$13</f>
        <v>1015.42273605239</v>
      </c>
      <c r="G34" s="68" t="n">
        <f aca="false">F34/B34</f>
        <v>12.6927842006548</v>
      </c>
      <c r="H34" s="46" t="n">
        <f aca="false">(F34/B34)^(1/10)-1</f>
        <v>0.289305067535233</v>
      </c>
      <c r="I34" s="95" t="n">
        <f aca="false">Assumptions!C18*(1+Assumptions!H18)^10*Assumptions!$B$13</f>
        <v>7.47717290467626</v>
      </c>
      <c r="J34" s="68" t="n">
        <f aca="false">I34/B34</f>
        <v>0.0934646613084533</v>
      </c>
      <c r="K34" s="46" t="n">
        <f aca="false">(I34/B34)^(1/10)-1</f>
        <v>-0.211022272105305</v>
      </c>
      <c r="L34" s="96" t="n">
        <f aca="false">Assumptions!C18*(1+Assumptions!I18)^10*Assumptions!$B$13</f>
        <v>1665.809934393</v>
      </c>
      <c r="M34" s="69" t="n">
        <f aca="false">L34/B34</f>
        <v>20.8226241799126</v>
      </c>
      <c r="N34" s="71" t="n">
        <f aca="false">(L34/B34)^(1/10)-1</f>
        <v>0.354732488872842</v>
      </c>
    </row>
    <row r="35" customFormat="false" ht="15" hidden="false" customHeight="true" outlineLevel="0" collapsed="false">
      <c r="A35" s="90" t="str">
        <f aca="false">Assumptions!A19</f>
        <v>EUV Tech</v>
      </c>
      <c r="B35" s="91" t="n">
        <f aca="false">Assumptions!C19</f>
        <v>30</v>
      </c>
      <c r="C35" s="95" t="n">
        <f aca="false">Assumptions!C19*(1+Assumptions!F19)^10*Assumptions!$B$13</f>
        <v>75.6273148080188</v>
      </c>
      <c r="D35" s="68" t="n">
        <f aca="false">C35/B35</f>
        <v>2.52091049360063</v>
      </c>
      <c r="E35" s="46" t="n">
        <f aca="false">(C35/B35)^(1/10)-1</f>
        <v>0.0968714753657953</v>
      </c>
      <c r="F35" s="95" t="n">
        <f aca="false">Assumptions!C19*(1+Assumptions!G19)^10*Assumptions!$B$13</f>
        <v>205.747998252939</v>
      </c>
      <c r="G35" s="68" t="n">
        <f aca="false">F35/B35</f>
        <v>6.85826660843129</v>
      </c>
      <c r="H35" s="46" t="n">
        <f aca="false">(F35/B35)^(1/10)-1</f>
        <v>0.212331630667458</v>
      </c>
      <c r="I35" s="95" t="n">
        <f aca="false">Assumptions!C19*(1+Assumptions!H19)^10*Assumptions!$B$13</f>
        <v>27.4158941386201</v>
      </c>
      <c r="J35" s="68" t="n">
        <f aca="false">I35/B35</f>
        <v>0.913863137954003</v>
      </c>
      <c r="K35" s="46" t="n">
        <f aca="false">(I35/B35)^(1/10)-1</f>
        <v>-0.0089670003273955</v>
      </c>
      <c r="L35" s="96" t="n">
        <f aca="false">Assumptions!C19*(1+Assumptions!I19)^10*Assumptions!$B$13</f>
        <v>290.005397795371</v>
      </c>
      <c r="M35" s="69" t="n">
        <f aca="false">L35/B35</f>
        <v>9.66684659317902</v>
      </c>
      <c r="N35" s="71" t="n">
        <f aca="false">(L35/B35)^(1/10)-1</f>
        <v>0.254667020944734</v>
      </c>
    </row>
    <row r="36" customFormat="false" ht="15" hidden="false" customHeight="true" outlineLevel="0" collapsed="false">
      <c r="A36" s="90" t="str">
        <f aca="false">Assumptions!A20</f>
        <v>ThinTronics</v>
      </c>
      <c r="B36" s="91" t="n">
        <f aca="false">Assumptions!C20</f>
        <v>22.5</v>
      </c>
      <c r="C36" s="95" t="n">
        <f aca="false">Assumptions!C20*(1+Assumptions!F20)^10*Assumptions!$B$13</f>
        <v>154.310998689704</v>
      </c>
      <c r="D36" s="68" t="n">
        <f aca="false">C36/B36</f>
        <v>6.85826660843129</v>
      </c>
      <c r="E36" s="46" t="n">
        <f aca="false">(C36/B36)^(1/10)-1</f>
        <v>0.212331630667458</v>
      </c>
      <c r="F36" s="95" t="n">
        <f aca="false">Assumptions!C20*(1+Assumptions!G20)^10*Assumptions!$B$13</f>
        <v>383.250115870902</v>
      </c>
      <c r="G36" s="68" t="n">
        <f aca="false">F36/B36</f>
        <v>17.0333384831512</v>
      </c>
      <c r="H36" s="46" t="n">
        <f aca="false">(F36/B36)^(1/10)-1</f>
        <v>0.32779178596912</v>
      </c>
      <c r="I36" s="95" t="n">
        <f aca="false">Assumptions!C20*(1+Assumptions!H20)^10*Assumptions!$B$13</f>
        <v>5.33478013353</v>
      </c>
      <c r="J36" s="68" t="n">
        <f aca="false">I36/B36</f>
        <v>0.237101339268</v>
      </c>
      <c r="K36" s="46" t="n">
        <f aca="false">(I36/B36)^(1/10)-1</f>
        <v>-0.13404883523753</v>
      </c>
      <c r="L36" s="96" t="n">
        <f aca="false">Assumptions!C20*(1+Assumptions!I20)^10*Assumptions!$B$13</f>
        <v>495.819912477792</v>
      </c>
      <c r="M36" s="69" t="n">
        <f aca="false">L36/B36</f>
        <v>22.0364405545685</v>
      </c>
      <c r="N36" s="71" t="n">
        <f aca="false">(L36/B36)^(1/10)-1</f>
        <v>0.362429832559619</v>
      </c>
    </row>
    <row r="37" customFormat="false" ht="15" hidden="false" customHeight="true" outlineLevel="0" collapsed="false">
      <c r="A37" s="90" t="str">
        <f aca="false">Assumptions!A21</f>
        <v>EdgeCortix</v>
      </c>
      <c r="B37" s="91" t="n">
        <f aca="false">Assumptions!C21</f>
        <v>30.5</v>
      </c>
      <c r="C37" s="95" t="n">
        <f aca="false">Assumptions!C21*(1+Assumptions!F21)^10*Assumptions!$B$13</f>
        <v>178.24838500464</v>
      </c>
      <c r="D37" s="68" t="n">
        <f aca="false">C37/B37</f>
        <v>5.84420934441443</v>
      </c>
      <c r="E37" s="46" t="n">
        <f aca="false">(C37/B37)^(1/10)-1</f>
        <v>0.193088271450514</v>
      </c>
      <c r="F37" s="95" t="n">
        <f aca="false">Assumptions!C21*(1+Assumptions!G21)^10*Assumptions!$B$13</f>
        <v>448.94985513022</v>
      </c>
      <c r="G37" s="68" t="n">
        <f aca="false">F37/B37</f>
        <v>14.7196673813187</v>
      </c>
      <c r="H37" s="46" t="n">
        <f aca="false">(F37/B37)^(1/10)-1</f>
        <v>0.308548426752177</v>
      </c>
      <c r="I37" s="95" t="n">
        <f aca="false">Assumptions!C21*(1+Assumptions!H21)^10*Assumptions!$B$13</f>
        <v>9.00921654059814</v>
      </c>
      <c r="J37" s="68" t="n">
        <f aca="false">I37/B37</f>
        <v>0.29538414887207</v>
      </c>
      <c r="K37" s="46" t="n">
        <f aca="false">(I37/B37)^(1/10)-1</f>
        <v>-0.114805476020586</v>
      </c>
      <c r="L37" s="96" t="n">
        <f aca="false">Assumptions!C21*(1+Assumptions!I21)^10*Assumptions!$B$13</f>
        <v>215.913347896235</v>
      </c>
      <c r="M37" s="69" t="n">
        <f aca="false">L37/B37</f>
        <v>7.0791261605323</v>
      </c>
      <c r="N37" s="71" t="n">
        <f aca="false">(L37/B37)^(1/10)-1</f>
        <v>0.216180302510847</v>
      </c>
    </row>
    <row r="38" customFormat="false" ht="15" hidden="false" customHeight="true" outlineLevel="0" collapsed="false">
      <c r="A38" s="90" t="str">
        <f aca="false">Assumptions!A22</f>
        <v>Syntiant</v>
      </c>
      <c r="B38" s="91" t="n">
        <f aca="false">Assumptions!C22</f>
        <v>31.5</v>
      </c>
      <c r="C38" s="95" t="n">
        <f aca="false">Assumptions!C22*(1+Assumptions!F22)^10*Assumptions!$B$13</f>
        <v>94.4929393846811</v>
      </c>
      <c r="D38" s="68" t="n">
        <f aca="false">C38/B38</f>
        <v>2.99977585348194</v>
      </c>
      <c r="E38" s="46" t="n">
        <f aca="false">(C38/B38)^(1/10)-1</f>
        <v>0.116114834582739</v>
      </c>
      <c r="F38" s="95" t="n">
        <f aca="false">Assumptions!C22*(1+Assumptions!G22)^10*Assumptions!$B$13</f>
        <v>252.88272515767</v>
      </c>
      <c r="G38" s="68" t="n">
        <f aca="false">F38/B38</f>
        <v>8.0280230208784</v>
      </c>
      <c r="H38" s="46" t="n">
        <f aca="false">(F38/B38)^(1/10)-1</f>
        <v>0.231574989884402</v>
      </c>
      <c r="I38" s="95" t="n">
        <f aca="false">Assumptions!C22*(1+Assumptions!H22)^10*Assumptions!$B$13</f>
        <v>17.5016995235313</v>
      </c>
      <c r="J38" s="68" t="n">
        <f aca="false">I38/B38</f>
        <v>0.555609508683532</v>
      </c>
      <c r="K38" s="46" t="n">
        <f aca="false">(I38/B38)^(1/10)-1</f>
        <v>-0.0570753983697551</v>
      </c>
      <c r="L38" s="96" t="n">
        <f aca="false">Assumptions!C22*(1+Assumptions!I22)^10*Assumptions!$B$13</f>
        <v>156.465204918466</v>
      </c>
      <c r="M38" s="69" t="n">
        <f aca="false">L38/B38</f>
        <v>4.96714936249098</v>
      </c>
      <c r="N38" s="71" t="n">
        <f aca="false">(L38/B38)^(1/10)-1</f>
        <v>0.17384491223357</v>
      </c>
    </row>
    <row r="39" customFormat="false" ht="15" hidden="false" customHeight="true" outlineLevel="0" collapsed="false">
      <c r="A39" s="90" t="str">
        <f aca="false">Assumptions!A23</f>
        <v>Infleqtion</v>
      </c>
      <c r="B39" s="91" t="n">
        <f aca="false">Assumptions!C23</f>
        <v>25</v>
      </c>
      <c r="C39" s="95" t="n">
        <f aca="false">Assumptions!C23*(1+Assumptions!F23)^10*Assumptions!$B$13</f>
        <v>68.7744815070344</v>
      </c>
      <c r="D39" s="68" t="n">
        <f aca="false">C39/B39</f>
        <v>2.75097926028138</v>
      </c>
      <c r="E39" s="46" t="n">
        <f aca="false">(C39/B39)^(1/10)-1</f>
        <v>0.106493154974267</v>
      </c>
      <c r="F39" s="95" t="n">
        <f aca="false">Assumptions!C23*(1+Assumptions!G23)^10*Assumptions!$B$13</f>
        <v>185.560755022477</v>
      </c>
      <c r="G39" s="68" t="n">
        <f aca="false">F39/B39</f>
        <v>7.42243020089908</v>
      </c>
      <c r="H39" s="46" t="n">
        <f aca="false">(F39/B39)^(1/10)-1</f>
        <v>0.22195331027593</v>
      </c>
      <c r="I39" s="95" t="n">
        <f aca="false">Assumptions!C23*(1+Assumptions!H23)^10*Assumptions!$B$13</f>
        <v>5.9275334817</v>
      </c>
      <c r="J39" s="68" t="n">
        <f aca="false">I39/B39</f>
        <v>0.237101339268</v>
      </c>
      <c r="K39" s="46" t="n">
        <f aca="false">(I39/B39)^(1/10)-1</f>
        <v>-0.13404883523753</v>
      </c>
      <c r="L39" s="96" t="n">
        <f aca="false">Assumptions!C23*(1+Assumptions!I23)^10*Assumptions!$B$13</f>
        <v>126.22953443754</v>
      </c>
      <c r="M39" s="69" t="n">
        <f aca="false">L39/B39</f>
        <v>5.04918137750159</v>
      </c>
      <c r="N39" s="71" t="n">
        <f aca="false">(L39/B39)^(1/10)-1</f>
        <v>0.175769248155265</v>
      </c>
    </row>
    <row r="40" customFormat="false" ht="15" hidden="false" customHeight="true" outlineLevel="0" collapsed="false">
      <c r="A40" s="90" t="str">
        <f aca="false">Assumptions!A24</f>
        <v>Diraq</v>
      </c>
      <c r="B40" s="91" t="n">
        <f aca="false">Assumptions!C24</f>
        <v>14</v>
      </c>
      <c r="C40" s="95" t="n">
        <f aca="false">Assumptions!C24*(1+Assumptions!F24)^10*Assumptions!$B$13</f>
        <v>131.241284240248</v>
      </c>
      <c r="D40" s="68" t="n">
        <f aca="false">C40/B40</f>
        <v>9.37437744573201</v>
      </c>
      <c r="E40" s="46" t="n">
        <f aca="false">(C40/B40)^(1/10)-1</f>
        <v>0.250818349101346</v>
      </c>
      <c r="F40" s="95" t="n">
        <f aca="false">Assumptions!C24*(1+Assumptions!G24)^10*Assumptions!$B$13</f>
        <v>317.336766521488</v>
      </c>
      <c r="G40" s="68" t="n">
        <f aca="false">F40/B40</f>
        <v>22.666911894392</v>
      </c>
      <c r="H40" s="46" t="n">
        <f aca="false">(F40/B40)^(1/10)-1</f>
        <v>0.366278504403008</v>
      </c>
      <c r="I40" s="95" t="n">
        <f aca="false">Assumptions!C24*(1+Assumptions!H24)^10*Assumptions!$B$13</f>
        <v>0.793565859133687</v>
      </c>
      <c r="J40" s="68" t="n">
        <f aca="false">I40/B40</f>
        <v>0.0566832756524062</v>
      </c>
      <c r="K40" s="46" t="n">
        <f aca="false">(I40/B40)^(1/10)-1</f>
        <v>-0.249508990539193</v>
      </c>
      <c r="L40" s="96" t="n">
        <f aca="false">Assumptions!C24*(1+Assumptions!I24)^10*Assumptions!$B$13</f>
        <v>245.469676122953</v>
      </c>
      <c r="M40" s="69" t="n">
        <f aca="false">L40/B40</f>
        <v>17.5335482944966</v>
      </c>
      <c r="N40" s="71" t="n">
        <f aca="false">(L40/B40)^(1/10)-1</f>
        <v>0.331640457812509</v>
      </c>
    </row>
    <row r="41" customFormat="false" ht="15" hidden="false" customHeight="true" outlineLevel="0" collapsed="false">
      <c r="A41" s="90" t="str">
        <f aca="false">Assumptions!A25</f>
        <v>Mueon</v>
      </c>
      <c r="B41" s="91" t="n">
        <f aca="false">Assumptions!C25</f>
        <v>10</v>
      </c>
      <c r="C41" s="95" t="n">
        <f aca="false">Assumptions!C25*(1+Assumptions!F25)^10*Assumptions!$B$13</f>
        <v>109.206433691581</v>
      </c>
      <c r="D41" s="68" t="n">
        <f aca="false">C41/B41</f>
        <v>10.9206433691581</v>
      </c>
      <c r="E41" s="46" t="n">
        <f aca="false">(C41/B41)^(1/10)-1</f>
        <v>0.270061708318289</v>
      </c>
      <c r="F41" s="95" t="n">
        <f aca="false">Assumptions!C25*(1+Assumptions!G25)^10*Assumptions!$B$13</f>
        <v>260.695679486428</v>
      </c>
      <c r="G41" s="68" t="n">
        <f aca="false">F41/B41</f>
        <v>26.0695679486428</v>
      </c>
      <c r="H41" s="46" t="n">
        <f aca="false">(F41/B41)^(1/10)-1</f>
        <v>0.385521863619952</v>
      </c>
      <c r="I41" s="95" t="n">
        <f aca="false">Assumptions!C25*(1+Assumptions!H25)^10*Assumptions!$B$13</f>
        <v>0.254585624498465</v>
      </c>
      <c r="J41" s="68" t="n">
        <f aca="false">I41/B41</f>
        <v>0.0254585624498465</v>
      </c>
      <c r="K41" s="46" t="n">
        <f aca="false">(I41/B41)^(1/10)-1</f>
        <v>-0.307239068190024</v>
      </c>
      <c r="L41" s="96" t="n">
        <f aca="false">Assumptions!C25*(1+Assumptions!I25)^10*Assumptions!$B$13</f>
        <v>191.145067522273</v>
      </c>
      <c r="M41" s="69" t="n">
        <f aca="false">L41/B41</f>
        <v>19.1145067522273</v>
      </c>
      <c r="N41" s="71" t="n">
        <f aca="false">(L41/B41)^(1/10)-1</f>
        <v>0.343186473342676</v>
      </c>
    </row>
    <row r="42" customFormat="false" ht="15" hidden="false" customHeight="true" outlineLevel="0" collapsed="false">
      <c r="A42" s="90" t="str">
        <f aca="false">Assumptions!A26</f>
        <v>DefendEye</v>
      </c>
      <c r="B42" s="91" t="n">
        <f aca="false">Assumptions!C26</f>
        <v>6.5</v>
      </c>
      <c r="C42" s="95" t="n">
        <f aca="false">Assumptions!C26*(1+Assumptions!F26)^10*Assumptions!$B$13</f>
        <v>52.1821496357096</v>
      </c>
      <c r="D42" s="68" t="n">
        <f aca="false">C42/B42</f>
        <v>8.0280230208784</v>
      </c>
      <c r="E42" s="46" t="n">
        <f aca="false">(C42/B42)^(1/10)-1</f>
        <v>0.231574989884402</v>
      </c>
      <c r="F42" s="95" t="n">
        <f aca="false">Assumptions!C26*(1+Assumptions!G26)^10*Assumptions!$B$13</f>
        <v>127.850557499392</v>
      </c>
      <c r="G42" s="68" t="n">
        <f aca="false">F42/B42</f>
        <v>19.669316538368</v>
      </c>
      <c r="H42" s="46" t="n">
        <f aca="false">(F42/B42)^(1/10)-1</f>
        <v>0.347035145186064</v>
      </c>
      <c r="I42" s="95" t="n">
        <f aca="false">Assumptions!C26*(1+Assumptions!H26)^10*Assumptions!$B$13</f>
        <v>0.248905735015869</v>
      </c>
      <c r="J42" s="68" t="n">
        <f aca="false">I42/B42</f>
        <v>0.0382931900024414</v>
      </c>
      <c r="K42" s="46" t="n">
        <f aca="false">(I42/B42)^(1/10)-1</f>
        <v>-0.278374029364608</v>
      </c>
      <c r="L42" s="96" t="n">
        <f aca="false">Assumptions!C26*(1+Assumptions!I26)^10*Assumptions!$B$13</f>
        <v>31.2433805557638</v>
      </c>
      <c r="M42" s="69" t="n">
        <f aca="false">L42/B42</f>
        <v>4.80667393165598</v>
      </c>
      <c r="N42" s="71" t="n">
        <f aca="false">(L42/B42)^(1/10)-1</f>
        <v>0.169996240390182</v>
      </c>
    </row>
    <row r="43" customFormat="false" ht="15" hidden="false" customHeight="true" outlineLevel="0" collapsed="false">
      <c r="A43" s="86" t="s">
        <v>368</v>
      </c>
      <c r="B43" s="97" t="n">
        <f aca="false">SUM(B34:B42)</f>
        <v>250</v>
      </c>
      <c r="C43" s="97" t="n">
        <f aca="false">SUM(C34:C42)</f>
        <v>1261.4559359609</v>
      </c>
      <c r="D43" s="98" t="n">
        <f aca="false">C43/B43</f>
        <v>5.04582374384358</v>
      </c>
      <c r="E43" s="99" t="n">
        <f aca="false">(C43/B43)^(1/10)-1</f>
        <v>0.17569103776909</v>
      </c>
      <c r="F43" s="97" t="n">
        <f aca="false">SUM(F34:F42)</f>
        <v>3197.6971889939</v>
      </c>
      <c r="G43" s="98" t="n">
        <f aca="false">F43/B43</f>
        <v>12.7907887559756</v>
      </c>
      <c r="H43" s="99" t="n">
        <f aca="false">(F43/B43)^(1/10)-1</f>
        <v>0.290297134075621</v>
      </c>
      <c r="I43" s="97" t="n">
        <f aca="false">SUM(I34:I42)</f>
        <v>73.9633539413038</v>
      </c>
      <c r="J43" s="98" t="n">
        <f aca="false">I43/B43</f>
        <v>0.295853415765215</v>
      </c>
      <c r="K43" s="99" t="n">
        <f aca="false">(I43/B43)^(1/10)-1</f>
        <v>-0.114664948568426</v>
      </c>
      <c r="L43" s="100" t="n">
        <f aca="false">SUM(L34:L42)</f>
        <v>3418.1014561194</v>
      </c>
      <c r="M43" s="101" t="n">
        <f aca="false">L43/B43</f>
        <v>13.6724058244776</v>
      </c>
      <c r="N43" s="102" t="n">
        <f aca="false">(L43/B43)^(1/10)-1</f>
        <v>0.298926251547621</v>
      </c>
    </row>
  </sheetData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374"/>
    <pageSetUpPr fitToPage="tru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3"/>
    <col collapsed="false" customWidth="true" hidden="false" outlineLevel="0" max="6" min="6" style="0" width="14"/>
  </cols>
  <sheetData>
    <row r="1" customFormat="false" ht="18" hidden="false" customHeight="true" outlineLevel="0" collapsed="false">
      <c r="A1" s="10" t="s">
        <v>371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41" t="s">
        <v>372</v>
      </c>
      <c r="B2" s="1"/>
      <c r="C2" s="1"/>
      <c r="D2" s="1"/>
      <c r="E2" s="1"/>
      <c r="F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</row>
    <row r="4" customFormat="false" ht="15" hidden="false" customHeight="true" outlineLevel="0" collapsed="false">
      <c r="A4" s="60" t="s">
        <v>373</v>
      </c>
      <c r="B4" s="1"/>
      <c r="C4" s="1"/>
      <c r="D4" s="1"/>
      <c r="E4" s="1"/>
      <c r="F4" s="1"/>
    </row>
    <row r="5" customFormat="false" ht="15" hidden="false" customHeight="true" outlineLevel="0" collapsed="false">
      <c r="A5" s="43" t="s">
        <v>113</v>
      </c>
      <c r="B5" s="43" t="s">
        <v>36</v>
      </c>
      <c r="C5" s="43" t="s">
        <v>37</v>
      </c>
      <c r="D5" s="43" t="s">
        <v>38</v>
      </c>
      <c r="E5" s="53" t="s">
        <v>39</v>
      </c>
      <c r="F5" s="61" t="s">
        <v>40</v>
      </c>
    </row>
    <row r="6" customFormat="false" ht="15" hidden="false" customHeight="true" outlineLevel="0" collapsed="false">
      <c r="A6" s="44" t="s">
        <v>374</v>
      </c>
      <c r="B6" s="62" t="n">
        <f aca="false">'Portfolio Returns'!C15</f>
        <v>565.830779755255</v>
      </c>
      <c r="C6" s="62" t="n">
        <f aca="false">'Portfolio Returns'!F15</f>
        <v>904.361416298755</v>
      </c>
      <c r="D6" s="62" t="n">
        <f aca="false">'Portfolio Returns'!I15</f>
        <v>126.293525689088</v>
      </c>
      <c r="E6" s="63" t="n">
        <f aca="false">'Portfolio Returns'!L15</f>
        <v>915.406313750214</v>
      </c>
      <c r="F6" s="62" t="n">
        <f aca="false">B6*'Defense Supercycle'!$B$17+C6*'Defense Supercycle'!$B$18+D6*'Defense Supercycle'!$B$19+E6*'Defense Supercycle'!$B$20</f>
        <v>636.969180880449</v>
      </c>
    </row>
    <row r="7" customFormat="false" ht="15" hidden="false" customHeight="true" outlineLevel="0" collapsed="false">
      <c r="A7" s="44" t="s">
        <v>375</v>
      </c>
      <c r="B7" s="62" t="n">
        <f aca="false">-Assumptions!$B$5</f>
        <v>-250</v>
      </c>
      <c r="C7" s="62" t="n">
        <f aca="false">-Assumptions!$B$5</f>
        <v>-250</v>
      </c>
      <c r="D7" s="62" t="n">
        <f aca="false">-Assumptions!$B$5</f>
        <v>-250</v>
      </c>
      <c r="E7" s="63" t="n">
        <f aca="false">-Assumptions!$B$5</f>
        <v>-250</v>
      </c>
      <c r="F7" s="62" t="n">
        <f aca="false">B7*'Defense Supercycle'!$B$17+C7*'Defense Supercycle'!$B$18+D7*'Defense Supercycle'!$B$19+E7*'Defense Supercycle'!$B$20</f>
        <v>-250</v>
      </c>
    </row>
    <row r="8" customFormat="false" ht="15" hidden="false" customHeight="true" outlineLevel="0" collapsed="false">
      <c r="A8" s="44" t="s">
        <v>376</v>
      </c>
      <c r="B8" s="62" t="n">
        <f aca="false">-Assumptions!$B$5*((1+Assumptions!$B$10)^5-1)</f>
        <v>-117.3320192</v>
      </c>
      <c r="C8" s="62" t="n">
        <f aca="false">-Assumptions!$B$5*((1+Assumptions!$B$10)^5-1)</f>
        <v>-117.3320192</v>
      </c>
      <c r="D8" s="62" t="n">
        <f aca="false">-Assumptions!$B$5*((1+Assumptions!$B$10)^5-1)</f>
        <v>-117.3320192</v>
      </c>
      <c r="E8" s="63" t="n">
        <f aca="false">-Assumptions!$B$5*((1+Assumptions!$B$10)^5-1)</f>
        <v>-117.3320192</v>
      </c>
      <c r="F8" s="62" t="n">
        <f aca="false">B8*'Defense Supercycle'!$B$17+C8*'Defense Supercycle'!$B$18+D8*'Defense Supercycle'!$B$19+E8*'Defense Supercycle'!$B$20</f>
        <v>-117.3320192</v>
      </c>
    </row>
    <row r="9" customFormat="false" ht="15" hidden="false" customHeight="true" outlineLevel="0" collapsed="false">
      <c r="A9" s="44" t="s">
        <v>377</v>
      </c>
      <c r="B9" s="62" t="n">
        <f aca="false">MAX(0,B6+B7+B8)</f>
        <v>198.498760555255</v>
      </c>
      <c r="C9" s="62" t="n">
        <f aca="false">MAX(0,C6+C7+C8)</f>
        <v>537.029397098755</v>
      </c>
      <c r="D9" s="62" t="n">
        <f aca="false">MAX(0,D6+D7+D8)</f>
        <v>0</v>
      </c>
      <c r="E9" s="63" t="n">
        <f aca="false">MAX(0,E6+E7+E8)</f>
        <v>548.074294550214</v>
      </c>
      <c r="F9" s="62" t="n">
        <f aca="false">B9*'Defense Supercycle'!$B$17+C9*'Defense Supercycle'!$B$18+D9*'Defense Supercycle'!$B$19+E9*'Defense Supercycle'!$B$20</f>
        <v>305.792935707086</v>
      </c>
    </row>
    <row r="10" customFormat="false" ht="15" hidden="false" customHeight="true" outlineLevel="0" collapsed="false">
      <c r="A10" s="44" t="s">
        <v>378</v>
      </c>
      <c r="B10" s="62" t="n">
        <f aca="false">-Assumptions!$B$9*B9</f>
        <v>-39.699752111051</v>
      </c>
      <c r="C10" s="62" t="n">
        <f aca="false">-Assumptions!$B$9*C9</f>
        <v>-107.405879419751</v>
      </c>
      <c r="D10" s="62" t="n">
        <f aca="false">-Assumptions!$B$9*D9</f>
        <v>-0</v>
      </c>
      <c r="E10" s="63" t="n">
        <f aca="false">-Assumptions!$B$9*E9</f>
        <v>-109.614858910043</v>
      </c>
      <c r="F10" s="62" t="n">
        <f aca="false">B10*'Defense Supercycle'!$B$17+C10*'Defense Supercycle'!$B$18+D10*'Defense Supercycle'!$B$19+E10*'Defense Supercycle'!$B$20</f>
        <v>-61.1585871414171</v>
      </c>
    </row>
    <row r="11" customFormat="false" ht="15" hidden="false" customHeight="true" outlineLevel="0" collapsed="false">
      <c r="A11" s="44" t="s">
        <v>379</v>
      </c>
      <c r="B11" s="62" t="n">
        <f aca="false">-Assumptions!$B$5*Assumptions!$B$8*5</f>
        <v>-25</v>
      </c>
      <c r="C11" s="62" t="n">
        <f aca="false">-Assumptions!$B$5*Assumptions!$B$8*5</f>
        <v>-25</v>
      </c>
      <c r="D11" s="62" t="n">
        <f aca="false">-Assumptions!$B$5*Assumptions!$B$8*5</f>
        <v>-25</v>
      </c>
      <c r="E11" s="63" t="n">
        <f aca="false">-Assumptions!$B$5*Assumptions!$B$8*5</f>
        <v>-25</v>
      </c>
      <c r="F11" s="62" t="n">
        <f aca="false">B11*'Defense Supercycle'!$B$17+C11*'Defense Supercycle'!$B$18+D11*'Defense Supercycle'!$B$19+E11*'Defense Supercycle'!$B$20</f>
        <v>-25</v>
      </c>
    </row>
    <row r="12" customFormat="false" ht="15" hidden="false" customHeight="true" outlineLevel="0" collapsed="false">
      <c r="A12" s="65" t="s">
        <v>380</v>
      </c>
      <c r="B12" s="66" t="n">
        <f aca="false">B6+B10+B11</f>
        <v>501.131027644204</v>
      </c>
      <c r="C12" s="66" t="n">
        <f aca="false">C6+C10+C11</f>
        <v>771.955536879004</v>
      </c>
      <c r="D12" s="66" t="n">
        <f aca="false">D6+D10+D11</f>
        <v>101.293525689088</v>
      </c>
      <c r="E12" s="66" t="n">
        <f aca="false">E6+E10+E11</f>
        <v>780.791454840172</v>
      </c>
      <c r="F12" s="103" t="n">
        <f aca="false">B12*'Defense Supercycle'!$B$17+C12*'Defense Supercycle'!$B$18+D12*'Defense Supercycle'!$B$19+E12*'Defense Supercycle'!$B$20</f>
        <v>550.810593739032</v>
      </c>
    </row>
    <row r="13" customFormat="false" ht="15" hidden="false" customHeight="true" outlineLevel="0" collapsed="false">
      <c r="A13" s="44" t="s">
        <v>381</v>
      </c>
      <c r="B13" s="68" t="n">
        <f aca="false">B6/Assumptions!$B$5</f>
        <v>2.26332311902102</v>
      </c>
      <c r="C13" s="68" t="n">
        <f aca="false">C6/Assumptions!$B$5</f>
        <v>3.61744566519502</v>
      </c>
      <c r="D13" s="68" t="n">
        <f aca="false">D6/Assumptions!$B$5</f>
        <v>0.50517410275635</v>
      </c>
      <c r="E13" s="69" t="n">
        <f aca="false">E6/Assumptions!$B$5</f>
        <v>3.66162525500086</v>
      </c>
      <c r="F13" s="68" t="n">
        <f aca="false">F6/Assumptions!$B$5</f>
        <v>2.54787672352179</v>
      </c>
    </row>
    <row r="14" customFormat="false" ht="15" hidden="false" customHeight="true" outlineLevel="0" collapsed="false">
      <c r="A14" s="65" t="s">
        <v>382</v>
      </c>
      <c r="B14" s="67" t="n">
        <f aca="false">B12/Assumptions!$B$5</f>
        <v>2.00452411057682</v>
      </c>
      <c r="C14" s="67" t="n">
        <f aca="false">C12/Assumptions!$B$5</f>
        <v>3.08782214751602</v>
      </c>
      <c r="D14" s="67" t="n">
        <f aca="false">D12/Assumptions!$B$5</f>
        <v>0.40517410275635</v>
      </c>
      <c r="E14" s="67" t="n">
        <f aca="false">E12/Assumptions!$B$5</f>
        <v>3.12316581936069</v>
      </c>
      <c r="F14" s="104" t="n">
        <f aca="false">F12/Assumptions!$B$5</f>
        <v>2.20324237495613</v>
      </c>
    </row>
    <row r="15" customFormat="false" ht="15" hidden="false" customHeight="true" outlineLevel="0" collapsed="false">
      <c r="A15" s="44" t="s">
        <v>383</v>
      </c>
      <c r="B15" s="46" t="n">
        <f aca="false">(B6/Assumptions!$B$5)^(1/5)-1</f>
        <v>0.177468538891813</v>
      </c>
      <c r="C15" s="46" t="n">
        <f aca="false">(C6/Assumptions!$B$5)^(1/5)-1</f>
        <v>0.293243794979584</v>
      </c>
      <c r="D15" s="46" t="n">
        <f aca="false">(D6/Assumptions!$B$5)^(1/5)-1</f>
        <v>-0.127655121361233</v>
      </c>
      <c r="E15" s="71" t="n">
        <f aca="false">(E6/Assumptions!$B$5)^(1/5)-1</f>
        <v>0.296387333239672</v>
      </c>
      <c r="F15" s="46" t="n">
        <f aca="false">(F6/Assumptions!$B$5)^(1/5)-1</f>
        <v>0.205690064872908</v>
      </c>
    </row>
    <row r="16" customFormat="false" ht="15" hidden="false" customHeight="true" outlineLevel="0" collapsed="false">
      <c r="A16" s="65" t="s">
        <v>384</v>
      </c>
      <c r="B16" s="51" t="n">
        <f aca="false">(B12/Assumptions!$B$5)^(1/5)-1</f>
        <v>0.149217569250538</v>
      </c>
      <c r="C16" s="51" t="n">
        <f aca="false">(C12/Assumptions!$B$5)^(1/5)-1</f>
        <v>0.25294052305987</v>
      </c>
      <c r="D16" s="51" t="n">
        <f aca="false">(D12/Assumptions!$B$5)^(1/5)-1</f>
        <v>-0.165303993240778</v>
      </c>
      <c r="E16" s="51" t="n">
        <f aca="false">(E12/Assumptions!$B$5)^(1/5)-1</f>
        <v>0.255795749018457</v>
      </c>
      <c r="F16" s="105" t="n">
        <f aca="false">(F12/Assumptions!$B$5)^(1/5)-1</f>
        <v>0.171149817743607</v>
      </c>
    </row>
    <row r="17" customFormat="false" ht="15" hidden="false" customHeight="true" outlineLevel="0" collapsed="false">
      <c r="A17" s="44" t="s">
        <v>385</v>
      </c>
      <c r="B17" s="68" t="n">
        <f aca="false">B12/Assumptions!$B$5</f>
        <v>2.00452411057682</v>
      </c>
      <c r="C17" s="68" t="n">
        <f aca="false">C12/Assumptions!$B$5</f>
        <v>3.08782214751602</v>
      </c>
      <c r="D17" s="68" t="n">
        <f aca="false">D12/Assumptions!$B$5</f>
        <v>0.40517410275635</v>
      </c>
      <c r="E17" s="69" t="n">
        <f aca="false">E12/Assumptions!$B$5</f>
        <v>3.12316581936069</v>
      </c>
      <c r="F17" s="68" t="n">
        <f aca="false">F12/Assumptions!$B$5</f>
        <v>2.20324237495613</v>
      </c>
    </row>
    <row r="18" customFormat="false" ht="15" hidden="false" customHeight="true" outlineLevel="0" collapsed="false">
      <c r="A18" s="1"/>
      <c r="B18" s="1"/>
      <c r="C18" s="1"/>
      <c r="D18" s="1"/>
      <c r="E18" s="1"/>
      <c r="F18" s="1"/>
    </row>
    <row r="19" customFormat="false" ht="15" hidden="false" customHeight="true" outlineLevel="0" collapsed="false">
      <c r="A19" s="1"/>
      <c r="B19" s="1"/>
      <c r="C19" s="1"/>
      <c r="D19" s="1"/>
      <c r="E19" s="1"/>
      <c r="F19" s="1"/>
    </row>
    <row r="20" customFormat="false" ht="15" hidden="false" customHeight="true" outlineLevel="0" collapsed="false">
      <c r="A20" s="60" t="s">
        <v>386</v>
      </c>
      <c r="B20" s="1"/>
      <c r="C20" s="1"/>
      <c r="D20" s="1"/>
      <c r="E20" s="1"/>
      <c r="F20" s="1"/>
    </row>
    <row r="21" customFormat="false" ht="15" hidden="false" customHeight="true" outlineLevel="0" collapsed="false">
      <c r="A21" s="43" t="s">
        <v>113</v>
      </c>
      <c r="B21" s="43" t="s">
        <v>36</v>
      </c>
      <c r="C21" s="43" t="s">
        <v>37</v>
      </c>
      <c r="D21" s="43" t="s">
        <v>38</v>
      </c>
      <c r="E21" s="53" t="s">
        <v>39</v>
      </c>
      <c r="F21" s="61" t="s">
        <v>40</v>
      </c>
    </row>
    <row r="22" customFormat="false" ht="15" hidden="false" customHeight="true" outlineLevel="0" collapsed="false">
      <c r="A22" s="44" t="s">
        <v>374</v>
      </c>
      <c r="B22" s="62" t="n">
        <f aca="false">'Portfolio Returns'!C29</f>
        <v>778.130771476382</v>
      </c>
      <c r="C22" s="62" t="n">
        <f aca="false">'Portfolio Returns'!F29</f>
        <v>1497.00529659531</v>
      </c>
      <c r="D22" s="62" t="n">
        <f aca="false">'Portfolio Returns'!I29</f>
        <v>100.033688193608</v>
      </c>
      <c r="E22" s="63" t="n">
        <f aca="false">'Portfolio Returns'!L29</f>
        <v>1542.44752433582</v>
      </c>
      <c r="F22" s="62" t="n">
        <f aca="false">B22*'Defense Supercycle'!$B$17+C22*'Defense Supercycle'!$B$18+D22*'Defense Supercycle'!$B$19+E22*'Defense Supercycle'!$B$20</f>
        <v>970.782353192614</v>
      </c>
    </row>
    <row r="23" customFormat="false" ht="15" hidden="false" customHeight="true" outlineLevel="0" collapsed="false">
      <c r="A23" s="44" t="s">
        <v>375</v>
      </c>
      <c r="B23" s="62" t="n">
        <f aca="false">-Assumptions!$B$5</f>
        <v>-250</v>
      </c>
      <c r="C23" s="62" t="n">
        <f aca="false">-Assumptions!$B$5</f>
        <v>-250</v>
      </c>
      <c r="D23" s="62" t="n">
        <f aca="false">-Assumptions!$B$5</f>
        <v>-250</v>
      </c>
      <c r="E23" s="63" t="n">
        <f aca="false">-Assumptions!$B$5</f>
        <v>-250</v>
      </c>
      <c r="F23" s="62" t="n">
        <f aca="false">B23*'Defense Supercycle'!$B$17+C23*'Defense Supercycle'!$B$18+D23*'Defense Supercycle'!$B$19+E23*'Defense Supercycle'!$B$20</f>
        <v>-250</v>
      </c>
    </row>
    <row r="24" customFormat="false" ht="15" hidden="false" customHeight="true" outlineLevel="0" collapsed="false">
      <c r="A24" s="44" t="s">
        <v>376</v>
      </c>
      <c r="B24" s="62" t="n">
        <f aca="false">-Assumptions!$B$5*((1+Assumptions!$B$10)^7-1)</f>
        <v>-178.45606719488</v>
      </c>
      <c r="C24" s="62" t="n">
        <f aca="false">-Assumptions!$B$5*((1+Assumptions!$B$10)^7-1)</f>
        <v>-178.45606719488</v>
      </c>
      <c r="D24" s="62" t="n">
        <f aca="false">-Assumptions!$B$5*((1+Assumptions!$B$10)^7-1)</f>
        <v>-178.45606719488</v>
      </c>
      <c r="E24" s="63" t="n">
        <f aca="false">-Assumptions!$B$5*((1+Assumptions!$B$10)^7-1)</f>
        <v>-178.45606719488</v>
      </c>
      <c r="F24" s="62" t="n">
        <f aca="false">B24*'Defense Supercycle'!$B$17+C24*'Defense Supercycle'!$B$18+D24*'Defense Supercycle'!$B$19+E24*'Defense Supercycle'!$B$20</f>
        <v>-178.45606719488</v>
      </c>
    </row>
    <row r="25" customFormat="false" ht="15" hidden="false" customHeight="true" outlineLevel="0" collapsed="false">
      <c r="A25" s="44" t="s">
        <v>377</v>
      </c>
      <c r="B25" s="62" t="n">
        <f aca="false">MAX(0,B22+B23+B24)</f>
        <v>349.674704281502</v>
      </c>
      <c r="C25" s="62" t="n">
        <f aca="false">MAX(0,C22+C23+C24)</f>
        <v>1068.54922940043</v>
      </c>
      <c r="D25" s="62" t="n">
        <f aca="false">MAX(0,D22+D23+D24)</f>
        <v>0</v>
      </c>
      <c r="E25" s="63" t="n">
        <f aca="false">MAX(0,E22+E23+E24)</f>
        <v>1113.99145714094</v>
      </c>
      <c r="F25" s="62" t="n">
        <f aca="false">B25*'Defense Supercycle'!$B$17+C25*'Defense Supercycle'!$B$18+D25*'Defense Supercycle'!$B$19+E25*'Defense Supercycle'!$B$20</f>
        <v>591.589642847924</v>
      </c>
    </row>
    <row r="26" customFormat="false" ht="15" hidden="false" customHeight="true" outlineLevel="0" collapsed="false">
      <c r="A26" s="44" t="s">
        <v>378</v>
      </c>
      <c r="B26" s="62" t="n">
        <f aca="false">-Assumptions!$B$9*B25</f>
        <v>-69.9349408563004</v>
      </c>
      <c r="C26" s="62" t="n">
        <f aca="false">-Assumptions!$B$9*C25</f>
        <v>-213.709845880086</v>
      </c>
      <c r="D26" s="62" t="n">
        <f aca="false">-Assumptions!$B$9*D25</f>
        <v>-0</v>
      </c>
      <c r="E26" s="63" t="n">
        <f aca="false">-Assumptions!$B$9*E25</f>
        <v>-222.798291428187</v>
      </c>
      <c r="F26" s="62" t="n">
        <f aca="false">B26*'Defense Supercycle'!$B$17+C26*'Defense Supercycle'!$B$18+D26*'Defense Supercycle'!$B$19+E26*'Defense Supercycle'!$B$20</f>
        <v>-118.317928569585</v>
      </c>
    </row>
    <row r="27" customFormat="false" ht="15" hidden="false" customHeight="true" outlineLevel="0" collapsed="false">
      <c r="A27" s="44" t="s">
        <v>379</v>
      </c>
      <c r="B27" s="62" t="n">
        <f aca="false">-Assumptions!$B$5*Assumptions!$B$8*7</f>
        <v>-35</v>
      </c>
      <c r="C27" s="62" t="n">
        <f aca="false">-Assumptions!$B$5*Assumptions!$B$8*7</f>
        <v>-35</v>
      </c>
      <c r="D27" s="62" t="n">
        <f aca="false">-Assumptions!$B$5*Assumptions!$B$8*7</f>
        <v>-35</v>
      </c>
      <c r="E27" s="63" t="n">
        <f aca="false">-Assumptions!$B$5*Assumptions!$B$8*7</f>
        <v>-35</v>
      </c>
      <c r="F27" s="62" t="n">
        <f aca="false">B27*'Defense Supercycle'!$B$17+C27*'Defense Supercycle'!$B$18+D27*'Defense Supercycle'!$B$19+E27*'Defense Supercycle'!$B$20</f>
        <v>-35</v>
      </c>
    </row>
    <row r="28" customFormat="false" ht="15" hidden="false" customHeight="true" outlineLevel="0" collapsed="false">
      <c r="A28" s="65" t="s">
        <v>380</v>
      </c>
      <c r="B28" s="66" t="n">
        <f aca="false">B22+B26+B27</f>
        <v>673.195830620082</v>
      </c>
      <c r="C28" s="66" t="n">
        <f aca="false">C22+C26+C27</f>
        <v>1248.29545071523</v>
      </c>
      <c r="D28" s="66" t="n">
        <f aca="false">D22+D26+D27</f>
        <v>65.0336881936079</v>
      </c>
      <c r="E28" s="66" t="n">
        <f aca="false">E22+E26+E27</f>
        <v>1284.64923290763</v>
      </c>
      <c r="F28" s="103" t="n">
        <f aca="false">B28*'Defense Supercycle'!$B$17+C28*'Defense Supercycle'!$B$18+D28*'Defense Supercycle'!$B$19+E28*'Defense Supercycle'!$B$20</f>
        <v>817.464424623029</v>
      </c>
    </row>
    <row r="29" customFormat="false" ht="15" hidden="false" customHeight="true" outlineLevel="0" collapsed="false">
      <c r="A29" s="44" t="s">
        <v>381</v>
      </c>
      <c r="B29" s="68" t="n">
        <f aca="false">B22/Assumptions!$B$5</f>
        <v>3.11252308590553</v>
      </c>
      <c r="C29" s="68" t="n">
        <f aca="false">C22/Assumptions!$B$5</f>
        <v>5.98802118638125</v>
      </c>
      <c r="D29" s="68" t="n">
        <f aca="false">D22/Assumptions!$B$5</f>
        <v>0.400134752774432</v>
      </c>
      <c r="E29" s="69" t="n">
        <f aca="false">E22/Assumptions!$B$5</f>
        <v>6.16979009734327</v>
      </c>
      <c r="F29" s="68" t="n">
        <f aca="false">F22/Assumptions!$B$5</f>
        <v>3.88312941277046</v>
      </c>
    </row>
    <row r="30" customFormat="false" ht="15" hidden="false" customHeight="true" outlineLevel="0" collapsed="false">
      <c r="A30" s="65" t="s">
        <v>382</v>
      </c>
      <c r="B30" s="67" t="n">
        <f aca="false">B28/Assumptions!$B$5</f>
        <v>2.69278332248033</v>
      </c>
      <c r="C30" s="67" t="n">
        <f aca="false">C28/Assumptions!$B$5</f>
        <v>4.9931818028609</v>
      </c>
      <c r="D30" s="67" t="n">
        <f aca="false">D28/Assumptions!$B$5</f>
        <v>0.260134752774432</v>
      </c>
      <c r="E30" s="67" t="n">
        <f aca="false">E28/Assumptions!$B$5</f>
        <v>5.13859693163052</v>
      </c>
      <c r="F30" s="104" t="n">
        <f aca="false">F28/Assumptions!$B$5</f>
        <v>3.26985769849212</v>
      </c>
    </row>
    <row r="31" customFormat="false" ht="15" hidden="false" customHeight="true" outlineLevel="0" collapsed="false">
      <c r="A31" s="44" t="s">
        <v>383</v>
      </c>
      <c r="B31" s="46" t="n">
        <f aca="false">(B22/Assumptions!$B$5)^(1/7)-1</f>
        <v>0.176101095419671</v>
      </c>
      <c r="C31" s="46" t="n">
        <f aca="false">(C22/Assumptions!$B$5)^(1/7)-1</f>
        <v>0.291339618539895</v>
      </c>
      <c r="D31" s="46" t="n">
        <f aca="false">(D22/Assumptions!$B$5)^(1/7)-1</f>
        <v>-0.122651122718396</v>
      </c>
      <c r="E31" s="71" t="n">
        <f aca="false">(E22/Assumptions!$B$5)^(1/7)-1</f>
        <v>0.296867986963714</v>
      </c>
      <c r="F31" s="46" t="n">
        <f aca="false">(F22/Assumptions!$B$5)^(1/7)-1</f>
        <v>0.213860663302741</v>
      </c>
    </row>
    <row r="32" customFormat="false" ht="15" hidden="false" customHeight="true" outlineLevel="0" collapsed="false">
      <c r="A32" s="65" t="s">
        <v>384</v>
      </c>
      <c r="B32" s="51" t="n">
        <f aca="false">(B28/Assumptions!$B$5)^(1/7)-1</f>
        <v>0.152012904964638</v>
      </c>
      <c r="C32" s="51" t="n">
        <f aca="false">(C28/Assumptions!$B$5)^(1/7)-1</f>
        <v>0.258253644559407</v>
      </c>
      <c r="D32" s="51" t="n">
        <f aca="false">(D28/Assumptions!$B$5)^(1/7)-1</f>
        <v>-0.174994372749316</v>
      </c>
      <c r="E32" s="51" t="n">
        <f aca="false">(E28/Assumptions!$B$5)^(1/7)-1</f>
        <v>0.263424289157445</v>
      </c>
      <c r="F32" s="105" t="n">
        <f aca="false">(F28/Assumptions!$B$5)^(1/7)-1</f>
        <v>0.184415608120029</v>
      </c>
    </row>
    <row r="33" customFormat="false" ht="15" hidden="false" customHeight="true" outlineLevel="0" collapsed="false">
      <c r="A33" s="44" t="s">
        <v>385</v>
      </c>
      <c r="B33" s="68" t="n">
        <f aca="false">B28/Assumptions!$B$5</f>
        <v>2.69278332248033</v>
      </c>
      <c r="C33" s="68" t="n">
        <f aca="false">C28/Assumptions!$B$5</f>
        <v>4.9931818028609</v>
      </c>
      <c r="D33" s="68" t="n">
        <f aca="false">D28/Assumptions!$B$5</f>
        <v>0.260134752774432</v>
      </c>
      <c r="E33" s="69" t="n">
        <f aca="false">E28/Assumptions!$B$5</f>
        <v>5.13859693163052</v>
      </c>
      <c r="F33" s="68" t="n">
        <f aca="false">F28/Assumptions!$B$5</f>
        <v>3.26985769849212</v>
      </c>
    </row>
    <row r="34" customFormat="false" ht="15" hidden="false" customHeight="true" outlineLevel="0" collapsed="false">
      <c r="A34" s="1"/>
      <c r="B34" s="1"/>
      <c r="C34" s="1"/>
      <c r="D34" s="1"/>
      <c r="E34" s="1"/>
      <c r="F34" s="1"/>
    </row>
    <row r="35" customFormat="false" ht="15" hidden="false" customHeight="true" outlineLevel="0" collapsed="false">
      <c r="A35" s="1"/>
      <c r="B35" s="1"/>
      <c r="C35" s="1"/>
      <c r="D35" s="1"/>
      <c r="E35" s="1"/>
      <c r="F35" s="1"/>
    </row>
    <row r="36" customFormat="false" ht="15" hidden="false" customHeight="true" outlineLevel="0" collapsed="false">
      <c r="A36" s="60" t="s">
        <v>387</v>
      </c>
      <c r="B36" s="1"/>
      <c r="C36" s="1"/>
      <c r="D36" s="1"/>
      <c r="E36" s="1"/>
      <c r="F36" s="1"/>
    </row>
    <row r="37" customFormat="false" ht="15" hidden="false" customHeight="true" outlineLevel="0" collapsed="false">
      <c r="A37" s="43" t="s">
        <v>113</v>
      </c>
      <c r="B37" s="43" t="s">
        <v>36</v>
      </c>
      <c r="C37" s="43" t="s">
        <v>37</v>
      </c>
      <c r="D37" s="43" t="s">
        <v>38</v>
      </c>
      <c r="E37" s="53" t="s">
        <v>39</v>
      </c>
      <c r="F37" s="61" t="s">
        <v>40</v>
      </c>
    </row>
    <row r="38" customFormat="false" ht="15" hidden="false" customHeight="true" outlineLevel="0" collapsed="false">
      <c r="A38" s="44" t="s">
        <v>374</v>
      </c>
      <c r="B38" s="62" t="n">
        <f aca="false">'Portfolio Returns'!C43</f>
        <v>1261.4559359609</v>
      </c>
      <c r="C38" s="62" t="n">
        <f aca="false">'Portfolio Returns'!F43</f>
        <v>3197.6971889939</v>
      </c>
      <c r="D38" s="62" t="n">
        <f aca="false">'Portfolio Returns'!I43</f>
        <v>73.9633539413038</v>
      </c>
      <c r="E38" s="63" t="n">
        <f aca="false">'Portfolio Returns'!L43</f>
        <v>3418.1014561194</v>
      </c>
      <c r="F38" s="62" t="n">
        <f aca="false">B38*'Defense Supercycle'!$B$17+C38*'Defense Supercycle'!$B$18+D38*'Defense Supercycle'!$B$19+E38*'Defense Supercycle'!$B$20</f>
        <v>1890.88918993998</v>
      </c>
    </row>
    <row r="39" customFormat="false" ht="15" hidden="false" customHeight="true" outlineLevel="0" collapsed="false">
      <c r="A39" s="44" t="s">
        <v>375</v>
      </c>
      <c r="B39" s="62" t="n">
        <f aca="false">-Assumptions!$B$5</f>
        <v>-250</v>
      </c>
      <c r="C39" s="62" t="n">
        <f aca="false">-Assumptions!$B$5</f>
        <v>-250</v>
      </c>
      <c r="D39" s="62" t="n">
        <f aca="false">-Assumptions!$B$5</f>
        <v>-250</v>
      </c>
      <c r="E39" s="63" t="n">
        <f aca="false">-Assumptions!$B$5</f>
        <v>-250</v>
      </c>
      <c r="F39" s="62" t="n">
        <f aca="false">B39*'Defense Supercycle'!$B$17+C39*'Defense Supercycle'!$B$18+D39*'Defense Supercycle'!$B$19+E39*'Defense Supercycle'!$B$20</f>
        <v>-250</v>
      </c>
    </row>
    <row r="40" customFormat="false" ht="15" hidden="false" customHeight="true" outlineLevel="0" collapsed="false">
      <c r="A40" s="44" t="s">
        <v>376</v>
      </c>
      <c r="B40" s="62" t="n">
        <f aca="false">-Assumptions!$B$5*((1+Assumptions!$B$10)^10-1)</f>
        <v>-289.731249318197</v>
      </c>
      <c r="C40" s="62" t="n">
        <f aca="false">-Assumptions!$B$5*((1+Assumptions!$B$10)^10-1)</f>
        <v>-289.731249318197</v>
      </c>
      <c r="D40" s="62" t="n">
        <f aca="false">-Assumptions!$B$5*((1+Assumptions!$B$10)^10-1)</f>
        <v>-289.731249318197</v>
      </c>
      <c r="E40" s="63" t="n">
        <f aca="false">-Assumptions!$B$5*((1+Assumptions!$B$10)^10-1)</f>
        <v>-289.731249318197</v>
      </c>
      <c r="F40" s="62" t="n">
        <f aca="false">B40*'Defense Supercycle'!$B$17+C40*'Defense Supercycle'!$B$18+D40*'Defense Supercycle'!$B$19+E40*'Defense Supercycle'!$B$20</f>
        <v>-289.731249318197</v>
      </c>
    </row>
    <row r="41" customFormat="false" ht="15" hidden="false" customHeight="true" outlineLevel="0" collapsed="false">
      <c r="A41" s="44" t="s">
        <v>377</v>
      </c>
      <c r="B41" s="62" t="n">
        <f aca="false">MAX(0,B38+B39+B40)</f>
        <v>721.724686642698</v>
      </c>
      <c r="C41" s="62" t="n">
        <f aca="false">MAX(0,C38+C39+C40)</f>
        <v>2657.9659396757</v>
      </c>
      <c r="D41" s="62" t="n">
        <f aca="false">MAX(0,D38+D39+D40)</f>
        <v>0</v>
      </c>
      <c r="E41" s="63" t="n">
        <f aca="false">MAX(0,E38+E39+E40)</f>
        <v>2878.3702068012</v>
      </c>
      <c r="F41" s="62" t="n">
        <f aca="false">B41*'Defense Supercycle'!$B$17+C41*'Defense Supercycle'!$B$18+D41*'Defense Supercycle'!$B$19+E41*'Defense Supercycle'!$B$20</f>
        <v>1421.02312492832</v>
      </c>
    </row>
    <row r="42" customFormat="false" ht="15" hidden="false" customHeight="true" outlineLevel="0" collapsed="false">
      <c r="A42" s="44" t="s">
        <v>378</v>
      </c>
      <c r="B42" s="62" t="n">
        <f aca="false">-Assumptions!$B$9*B41</f>
        <v>-144.34493732854</v>
      </c>
      <c r="C42" s="62" t="n">
        <f aca="false">-Assumptions!$B$9*C41</f>
        <v>-531.593187935141</v>
      </c>
      <c r="D42" s="62" t="n">
        <f aca="false">-Assumptions!$B$9*D41</f>
        <v>-0</v>
      </c>
      <c r="E42" s="63" t="n">
        <f aca="false">-Assumptions!$B$9*E41</f>
        <v>-575.67404136024</v>
      </c>
      <c r="F42" s="62" t="n">
        <f aca="false">B42*'Defense Supercycle'!$B$17+C42*'Defense Supercycle'!$B$18+D42*'Defense Supercycle'!$B$19+E42*'Defense Supercycle'!$B$20</f>
        <v>-284.204624985664</v>
      </c>
    </row>
    <row r="43" customFormat="false" ht="15" hidden="false" customHeight="true" outlineLevel="0" collapsed="false">
      <c r="A43" s="44" t="s">
        <v>379</v>
      </c>
      <c r="B43" s="62" t="n">
        <f aca="false">-Assumptions!$B$5*Assumptions!$B$8*10</f>
        <v>-50</v>
      </c>
      <c r="C43" s="62" t="n">
        <f aca="false">-Assumptions!$B$5*Assumptions!$B$8*10</f>
        <v>-50</v>
      </c>
      <c r="D43" s="62" t="n">
        <f aca="false">-Assumptions!$B$5*Assumptions!$B$8*10</f>
        <v>-50</v>
      </c>
      <c r="E43" s="63" t="n">
        <f aca="false">-Assumptions!$B$5*Assumptions!$B$8*10</f>
        <v>-50</v>
      </c>
      <c r="F43" s="62" t="n">
        <f aca="false">B43*'Defense Supercycle'!$B$17+C43*'Defense Supercycle'!$B$18+D43*'Defense Supercycle'!$B$19+E43*'Defense Supercycle'!$B$20</f>
        <v>-50</v>
      </c>
    </row>
    <row r="44" customFormat="false" ht="15" hidden="false" customHeight="true" outlineLevel="0" collapsed="false">
      <c r="A44" s="65" t="s">
        <v>380</v>
      </c>
      <c r="B44" s="66" t="n">
        <f aca="false">B38+B42+B43</f>
        <v>1067.11099863236</v>
      </c>
      <c r="C44" s="66" t="n">
        <f aca="false">C38+C42+C43</f>
        <v>2616.10400105876</v>
      </c>
      <c r="D44" s="66" t="n">
        <f aca="false">D38+D42+D43</f>
        <v>23.9633539413038</v>
      </c>
      <c r="E44" s="66" t="n">
        <f aca="false">E38+E42+E43</f>
        <v>2792.42741475916</v>
      </c>
      <c r="F44" s="103" t="n">
        <f aca="false">B44*'Defense Supercycle'!$B$17+C44*'Defense Supercycle'!$B$18+D44*'Defense Supercycle'!$B$19+E44*'Defense Supercycle'!$B$20</f>
        <v>1556.68456495432</v>
      </c>
    </row>
    <row r="45" customFormat="false" ht="15" hidden="false" customHeight="true" outlineLevel="0" collapsed="false">
      <c r="A45" s="44" t="s">
        <v>381</v>
      </c>
      <c r="B45" s="68" t="n">
        <f aca="false">B38/Assumptions!$B$5</f>
        <v>5.04582374384358</v>
      </c>
      <c r="C45" s="68" t="n">
        <f aca="false">C38/Assumptions!$B$5</f>
        <v>12.7907887559756</v>
      </c>
      <c r="D45" s="68" t="n">
        <f aca="false">D38/Assumptions!$B$5</f>
        <v>0.295853415765215</v>
      </c>
      <c r="E45" s="69" t="n">
        <f aca="false">E38/Assumptions!$B$5</f>
        <v>13.6724058244776</v>
      </c>
      <c r="F45" s="68" t="n">
        <f aca="false">F38/Assumptions!$B$5</f>
        <v>7.56355675975994</v>
      </c>
    </row>
    <row r="46" customFormat="false" ht="15" hidden="false" customHeight="true" outlineLevel="0" collapsed="false">
      <c r="A46" s="65" t="s">
        <v>382</v>
      </c>
      <c r="B46" s="67" t="n">
        <f aca="false">B44/Assumptions!$B$5</f>
        <v>4.26844399452942</v>
      </c>
      <c r="C46" s="67" t="n">
        <f aca="false">C44/Assumptions!$B$5</f>
        <v>10.464416004235</v>
      </c>
      <c r="D46" s="67" t="n">
        <f aca="false">D44/Assumptions!$B$5</f>
        <v>0.0958534157652151</v>
      </c>
      <c r="E46" s="67" t="n">
        <f aca="false">E44/Assumptions!$B$5</f>
        <v>11.1697096590366</v>
      </c>
      <c r="F46" s="104" t="n">
        <f aca="false">F44/Assumptions!$B$5</f>
        <v>6.22673825981728</v>
      </c>
    </row>
    <row r="47" customFormat="false" ht="15" hidden="false" customHeight="true" outlineLevel="0" collapsed="false">
      <c r="A47" s="44" t="s">
        <v>383</v>
      </c>
      <c r="B47" s="46" t="n">
        <f aca="false">(B38/Assumptions!$B$5)^(1/10)-1</f>
        <v>0.17569103776909</v>
      </c>
      <c r="C47" s="46" t="n">
        <f aca="false">(C38/Assumptions!$B$5)^(1/10)-1</f>
        <v>0.290297134075621</v>
      </c>
      <c r="D47" s="46" t="n">
        <f aca="false">(D38/Assumptions!$B$5)^(1/10)-1</f>
        <v>-0.114664948568426</v>
      </c>
      <c r="E47" s="71" t="n">
        <f aca="false">(E38/Assumptions!$B$5)^(1/10)-1</f>
        <v>0.298926251547621</v>
      </c>
      <c r="F47" s="46" t="n">
        <f aca="false">(F38/Assumptions!$B$5)^(1/10)-1</f>
        <v>0.224257031429005</v>
      </c>
    </row>
    <row r="48" customFormat="false" ht="15" hidden="false" customHeight="true" outlineLevel="0" collapsed="false">
      <c r="A48" s="65" t="s">
        <v>384</v>
      </c>
      <c r="B48" s="51" t="n">
        <f aca="false">(B44/Assumptions!$B$5)^(1/10)-1</f>
        <v>0.156184009873286</v>
      </c>
      <c r="C48" s="51" t="n">
        <f aca="false">(C44/Assumptions!$B$5)^(1/10)-1</f>
        <v>0.26465335248213</v>
      </c>
      <c r="D48" s="51" t="n">
        <f aca="false">(D44/Assumptions!$B$5)^(1/10)-1</f>
        <v>-0.209028638539147</v>
      </c>
      <c r="E48" s="51" t="n">
        <f aca="false">(E44/Assumptions!$B$5)^(1/10)-1</f>
        <v>0.272929022562435</v>
      </c>
      <c r="F48" s="105" t="n">
        <f aca="false">(F44/Assumptions!$B$5)^(1/10)-1</f>
        <v>0.200676639570199</v>
      </c>
    </row>
    <row r="49" customFormat="false" ht="15" hidden="false" customHeight="true" outlineLevel="0" collapsed="false">
      <c r="A49" s="44" t="s">
        <v>385</v>
      </c>
      <c r="B49" s="68" t="n">
        <f aca="false">B44/Assumptions!$B$5</f>
        <v>4.26844399452942</v>
      </c>
      <c r="C49" s="68" t="n">
        <f aca="false">C44/Assumptions!$B$5</f>
        <v>10.464416004235</v>
      </c>
      <c r="D49" s="68" t="n">
        <f aca="false">D44/Assumptions!$B$5</f>
        <v>0.0958534157652151</v>
      </c>
      <c r="E49" s="69" t="n">
        <f aca="false">E44/Assumptions!$B$5</f>
        <v>11.1697096590366</v>
      </c>
      <c r="F49" s="68" t="n">
        <f aca="false">F44/Assumptions!$B$5</f>
        <v>6.22673825981728</v>
      </c>
    </row>
  </sheetData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374"/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</cols>
  <sheetData>
    <row r="1" customFormat="false" ht="18" hidden="false" customHeight="true" outlineLevel="0" collapsed="false">
      <c r="A1" s="10" t="s">
        <v>388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41" t="s">
        <v>389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42" t="s">
        <v>390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27.75" hidden="false" customHeight="true" outlineLevel="0" collapsed="false">
      <c r="A5" s="43" t="s">
        <v>317</v>
      </c>
      <c r="B5" s="43" t="s">
        <v>318</v>
      </c>
      <c r="C5" s="43" t="s">
        <v>248</v>
      </c>
      <c r="D5" s="43" t="s">
        <v>391</v>
      </c>
      <c r="E5" s="43" t="s">
        <v>51</v>
      </c>
      <c r="F5" s="43" t="s">
        <v>392</v>
      </c>
      <c r="G5" s="43" t="s">
        <v>393</v>
      </c>
      <c r="H5" s="1"/>
      <c r="I5" s="1"/>
      <c r="J5" s="1"/>
    </row>
    <row r="6" customFormat="false" ht="27.75" hidden="false" customHeight="true" outlineLevel="0" collapsed="false">
      <c r="A6" s="88" t="s">
        <v>320</v>
      </c>
      <c r="B6" s="47" t="s">
        <v>321</v>
      </c>
      <c r="C6" s="91" t="n">
        <f aca="false">Assumptions!C18+Assumptions!C19+Assumptions!C20</f>
        <v>132.5</v>
      </c>
      <c r="D6" s="46" t="n">
        <f aca="false">C6/Assumptions!$B$5</f>
        <v>0.53</v>
      </c>
      <c r="E6" s="46" t="n">
        <f aca="false">C6/'Holdco Summary'!$B$9</f>
        <v>0.157738095238095</v>
      </c>
      <c r="F6" s="92" t="n">
        <f aca="false">AVERAGE('Defense Supercycle'!G24,'Defense Supercycle'!G25,'Defense Supercycle'!G26)</f>
        <v>4.61666666666667</v>
      </c>
      <c r="G6" s="106" t="n">
        <f aca="false">AVERAGE('Defense Supercycle'!I24,'Defense Supercycle'!I25,'Defense Supercycle'!I26)</f>
        <v>0.376</v>
      </c>
      <c r="H6" s="1"/>
      <c r="I6" s="1"/>
      <c r="J6" s="1"/>
    </row>
    <row r="7" customFormat="false" ht="15" hidden="false" customHeight="true" outlineLevel="0" collapsed="false">
      <c r="A7" s="88" t="s">
        <v>323</v>
      </c>
      <c r="B7" s="47" t="s">
        <v>324</v>
      </c>
      <c r="C7" s="91" t="n">
        <f aca="false">Assumptions!C21+Assumptions!C22</f>
        <v>62</v>
      </c>
      <c r="D7" s="46" t="n">
        <f aca="false">C7/Assumptions!$B$5</f>
        <v>0.248</v>
      </c>
      <c r="E7" s="46" t="n">
        <f aca="false">C7/'Holdco Summary'!$B$9</f>
        <v>0.0738095238095238</v>
      </c>
      <c r="F7" s="92" t="n">
        <f aca="false">AVERAGE('Defense Supercycle'!G27,'Defense Supercycle'!G28)</f>
        <v>3.025</v>
      </c>
      <c r="G7" s="106" t="n">
        <f aca="false">AVERAGE('Defense Supercycle'!I27,'Defense Supercycle'!I28)</f>
        <v>0.242</v>
      </c>
      <c r="H7" s="1"/>
      <c r="I7" s="1"/>
      <c r="J7" s="1"/>
    </row>
    <row r="8" customFormat="false" ht="15" hidden="false" customHeight="true" outlineLevel="0" collapsed="false">
      <c r="A8" s="88" t="s">
        <v>326</v>
      </c>
      <c r="B8" s="47" t="s">
        <v>394</v>
      </c>
      <c r="C8" s="91" t="n">
        <f aca="false">Assumptions!C23+Assumptions!C24+Assumptions!C25</f>
        <v>49</v>
      </c>
      <c r="D8" s="46" t="n">
        <f aca="false">C8/Assumptions!$B$5</f>
        <v>0.196</v>
      </c>
      <c r="E8" s="46" t="n">
        <f aca="false">C8/'Holdco Summary'!$B$9</f>
        <v>0.0583333333333333</v>
      </c>
      <c r="F8" s="92" t="n">
        <f aca="false">AVERAGE('Defense Supercycle'!G29,'Defense Supercycle'!G30,'Defense Supercycle'!G31)</f>
        <v>3.46666666666667</v>
      </c>
      <c r="G8" s="106" t="n">
        <f aca="false">AVERAGE('Defense Supercycle'!I29,'Defense Supercycle'!I30,'Defense Supercycle'!I31)</f>
        <v>0.334</v>
      </c>
      <c r="H8" s="1"/>
      <c r="I8" s="1"/>
      <c r="J8" s="1"/>
    </row>
    <row r="9" customFormat="false" ht="15" hidden="false" customHeight="true" outlineLevel="0" collapsed="false">
      <c r="A9" s="88" t="s">
        <v>395</v>
      </c>
      <c r="B9" s="47" t="s">
        <v>277</v>
      </c>
      <c r="C9" s="91" t="n">
        <f aca="false">Assumptions!C26</f>
        <v>6.5</v>
      </c>
      <c r="D9" s="46" t="n">
        <f aca="false">C9/Assumptions!$B$5</f>
        <v>0.026</v>
      </c>
      <c r="E9" s="46" t="n">
        <f aca="false">C9/'Holdco Summary'!$B$9</f>
        <v>0.00773809523809524</v>
      </c>
      <c r="F9" s="92" t="n">
        <f aca="false">AVERAGE('Defense Supercycle'!G32)</f>
        <v>1.7</v>
      </c>
      <c r="G9" s="106" t="n">
        <f aca="false">AVERAGE('Defense Supercycle'!I32)</f>
        <v>0.216</v>
      </c>
      <c r="H9" s="1"/>
      <c r="I9" s="1"/>
      <c r="J9" s="1"/>
    </row>
    <row r="10" customFormat="false" ht="15" hidden="false" customHeight="true" outlineLevel="0" collapsed="false">
      <c r="A10" s="86" t="s">
        <v>396</v>
      </c>
      <c r="B10" s="1"/>
      <c r="C10" s="50" t="n">
        <f aca="false">SUM(C6:C9)</f>
        <v>250</v>
      </c>
      <c r="D10" s="51" t="n">
        <f aca="false">SUM(D6:D9)</f>
        <v>1</v>
      </c>
      <c r="E10" s="1"/>
      <c r="F10" s="87" t="n">
        <f aca="false">AVERAGE('Defense Supercycle'!G24,'Defense Supercycle'!G25,'Defense Supercycle'!G26,'Defense Supercycle'!G27,'Defense Supercycle'!G28,'Defense Supercycle'!G29,'Defense Supercycle'!G30,'Defense Supercycle'!G31,'Defense Supercycle'!G32)</f>
        <v>3.55555555555556</v>
      </c>
      <c r="G10" s="1"/>
      <c r="H10" s="1"/>
      <c r="I10" s="1"/>
      <c r="J10" s="1"/>
    </row>
    <row r="11" customFormat="false" ht="1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true" outlineLevel="0" collapsed="false">
      <c r="A12" s="60" t="s">
        <v>397</v>
      </c>
      <c r="B12" s="1"/>
      <c r="C12" s="1"/>
      <c r="D12" s="1"/>
      <c r="E12" s="1"/>
      <c r="F12" s="1"/>
      <c r="G12" s="1"/>
      <c r="H12" s="1"/>
      <c r="I12" s="1"/>
      <c r="J12" s="1"/>
    </row>
    <row r="13" customFormat="false" ht="27.75" hidden="false" customHeight="true" outlineLevel="0" collapsed="false">
      <c r="A13" s="43" t="s">
        <v>398</v>
      </c>
      <c r="B13" s="43" t="s">
        <v>248</v>
      </c>
      <c r="C13" s="43" t="s">
        <v>356</v>
      </c>
      <c r="D13" s="43" t="s">
        <v>357</v>
      </c>
      <c r="E13" s="43" t="s">
        <v>359</v>
      </c>
      <c r="F13" s="43" t="s">
        <v>360</v>
      </c>
      <c r="G13" s="43" t="s">
        <v>362</v>
      </c>
      <c r="H13" s="43" t="s">
        <v>363</v>
      </c>
      <c r="I13" s="53" t="s">
        <v>365</v>
      </c>
      <c r="J13" s="53" t="s">
        <v>366</v>
      </c>
    </row>
    <row r="14" customFormat="false" ht="27.75" hidden="false" customHeight="true" outlineLevel="0" collapsed="false">
      <c r="A14" s="47" t="s">
        <v>320</v>
      </c>
      <c r="B14" s="91" t="n">
        <f aca="false">Assumptions!C18+Assumptions!C19+Assumptions!C20</f>
        <v>132.5</v>
      </c>
      <c r="C14" s="95" t="n">
        <f aca="false">'Portfolio Returns'!C6+'Portfolio Returns'!C7+'Portfolio Returns'!C8</f>
        <v>293.6193433804</v>
      </c>
      <c r="D14" s="68" t="n">
        <f aca="false">C14/B14</f>
        <v>2.21599504438038</v>
      </c>
      <c r="E14" s="95" t="n">
        <f aca="false">'Portfolio Returns'!F6+'Portfolio Returns'!F7+'Portfolio Returns'!F8</f>
        <v>470.4887637508</v>
      </c>
      <c r="F14" s="68" t="n">
        <f aca="false">E14/B14</f>
        <v>3.55085859434566</v>
      </c>
      <c r="G14" s="95" t="n">
        <f aca="false">'Portfolio Returns'!I6+'Portfolio Returns'!I7+'Portfolio Returns'!I8</f>
        <v>66.06491948225</v>
      </c>
      <c r="H14" s="68" t="n">
        <f aca="false">G14/B14</f>
        <v>0.498603165903774</v>
      </c>
      <c r="I14" s="96" t="n">
        <f aca="false">'Portfolio Returns'!L6+'Portfolio Returns'!L7+'Portfolio Returns'!L8</f>
        <v>581.307271028068</v>
      </c>
      <c r="J14" s="69" t="n">
        <f aca="false">I14/B14</f>
        <v>4.38722468700429</v>
      </c>
    </row>
    <row r="15" customFormat="false" ht="15" hidden="false" customHeight="true" outlineLevel="0" collapsed="false">
      <c r="A15" s="47" t="s">
        <v>323</v>
      </c>
      <c r="B15" s="91" t="n">
        <f aca="false">Assumptions!C21+Assumptions!C22</f>
        <v>62</v>
      </c>
      <c r="C15" s="95" t="n">
        <f aca="false">'Portfolio Returns'!C9+'Portfolio Returns'!C10</f>
        <v>132.23902762496</v>
      </c>
      <c r="D15" s="68" t="n">
        <f aca="false">C15/B15</f>
        <v>2.13288754233806</v>
      </c>
      <c r="E15" s="95" t="n">
        <f aca="false">'Portfolio Returns'!F9+'Portfolio Returns'!F10</f>
        <v>212.6165282816</v>
      </c>
      <c r="F15" s="68" t="n">
        <f aca="false">E15/B15</f>
        <v>3.42929884325161</v>
      </c>
      <c r="G15" s="95" t="n">
        <f aca="false">'Portfolio Returns'!I9+'Portfolio Returns'!I10</f>
        <v>41.28916782328</v>
      </c>
      <c r="H15" s="68" t="n">
        <f aca="false">G15/B15</f>
        <v>0.665954319730323</v>
      </c>
      <c r="I15" s="96" t="n">
        <f aca="false">'Portfolio Returns'!L9+'Portfolio Returns'!L10</f>
        <v>156.012736264466</v>
      </c>
      <c r="J15" s="69" t="n">
        <f aca="false">I15/B15</f>
        <v>2.51633445587848</v>
      </c>
    </row>
    <row r="16" customFormat="false" ht="15" hidden="false" customHeight="true" outlineLevel="0" collapsed="false">
      <c r="A16" s="47" t="s">
        <v>326</v>
      </c>
      <c r="B16" s="91" t="n">
        <f aca="false">Assumptions!C23+Assumptions!C24+Assumptions!C25</f>
        <v>49</v>
      </c>
      <c r="C16" s="95" t="n">
        <f aca="false">'Portfolio Returns'!C11+'Portfolio Returns'!C12+'Portfolio Returns'!C13</f>
        <v>120.988653301575</v>
      </c>
      <c r="D16" s="68" t="n">
        <f aca="false">C16/B16</f>
        <v>2.46915618982806</v>
      </c>
      <c r="E16" s="95" t="n">
        <f aca="false">'Portfolio Returns'!F11+'Portfolio Returns'!F12+'Portfolio Returns'!F13</f>
        <v>191.541348266355</v>
      </c>
      <c r="F16" s="68" t="n">
        <f aca="false">E16/B16</f>
        <v>3.90900710747663</v>
      </c>
      <c r="G16" s="95" t="n">
        <f aca="false">'Portfolio Returns'!I11+'Portfolio Returns'!I12+'Portfolio Returns'!I13</f>
        <v>17.62832998512</v>
      </c>
      <c r="H16" s="68" t="n">
        <f aca="false">G16/B16</f>
        <v>0.35976183643102</v>
      </c>
      <c r="I16" s="96" t="n">
        <f aca="false">'Portfolio Returns'!L11+'Portfolio Returns'!L12+'Portfolio Returns'!L13</f>
        <v>163.397038369609</v>
      </c>
      <c r="J16" s="69" t="n">
        <f aca="false">I16/B16</f>
        <v>3.33463343611446</v>
      </c>
    </row>
    <row r="17" customFormat="false" ht="15" hidden="false" customHeight="true" outlineLevel="0" collapsed="false">
      <c r="A17" s="47" t="s">
        <v>395</v>
      </c>
      <c r="B17" s="91" t="n">
        <f aca="false">Assumptions!C26</f>
        <v>6.5</v>
      </c>
      <c r="C17" s="95" t="n">
        <f aca="false">'Portfolio Returns'!C14</f>
        <v>18.98375544832</v>
      </c>
      <c r="D17" s="68" t="n">
        <f aca="false">C17/B17</f>
        <v>2.92057776128</v>
      </c>
      <c r="E17" s="95" t="n">
        <f aca="false">'Portfolio Returns'!F14</f>
        <v>29.714776</v>
      </c>
      <c r="F17" s="68" t="n">
        <f aca="false">E17/B17</f>
        <v>4.571504</v>
      </c>
      <c r="G17" s="95" t="n">
        <f aca="false">'Portfolio Returns'!I14</f>
        <v>1.3111083984375</v>
      </c>
      <c r="H17" s="68" t="n">
        <f aca="false">G17/B17</f>
        <v>0.201708984375</v>
      </c>
      <c r="I17" s="96" t="n">
        <f aca="false">'Portfolio Returns'!L14</f>
        <v>14.6892680880718</v>
      </c>
      <c r="J17" s="69" t="n">
        <f aca="false">I17/B17</f>
        <v>2.25988739816489</v>
      </c>
    </row>
    <row r="18" customFormat="false" ht="15" hidden="false" customHeight="true" outlineLevel="0" collapsed="false">
      <c r="A18" s="86" t="s">
        <v>399</v>
      </c>
      <c r="B18" s="107" t="n">
        <f aca="false">SUM(B14:B17)</f>
        <v>250</v>
      </c>
      <c r="C18" s="107" t="n">
        <f aca="false">SUM(C14:C17)</f>
        <v>565.830779755255</v>
      </c>
      <c r="D18" s="108" t="n">
        <f aca="false">C18/B18</f>
        <v>2.26332311902102</v>
      </c>
      <c r="E18" s="107" t="n">
        <f aca="false">SUM(E14:E17)</f>
        <v>904.361416298755</v>
      </c>
      <c r="F18" s="108" t="n">
        <f aca="false">E18/B18</f>
        <v>3.61744566519502</v>
      </c>
      <c r="G18" s="107" t="n">
        <f aca="false">SUM(G14:G17)</f>
        <v>126.293525689088</v>
      </c>
      <c r="H18" s="108" t="n">
        <f aca="false">G18/B18</f>
        <v>0.50517410275635</v>
      </c>
      <c r="I18" s="109" t="n">
        <f aca="false">SUM(I14:I17)</f>
        <v>915.406313750214</v>
      </c>
      <c r="J18" s="110" t="n">
        <f aca="false">I18/B18</f>
        <v>3.66162525500086</v>
      </c>
    </row>
    <row r="19" customFormat="false" ht="1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true" outlineLevel="0" collapsed="false">
      <c r="A20" s="60" t="s">
        <v>400</v>
      </c>
      <c r="B20" s="1"/>
      <c r="C20" s="1"/>
      <c r="D20" s="1"/>
      <c r="E20" s="1"/>
      <c r="F20" s="1"/>
      <c r="G20" s="1"/>
      <c r="H20" s="1"/>
      <c r="I20" s="1"/>
      <c r="J20" s="1"/>
    </row>
    <row r="21" customFormat="false" ht="27.75" hidden="false" customHeight="true" outlineLevel="0" collapsed="false">
      <c r="A21" s="43" t="s">
        <v>398</v>
      </c>
      <c r="B21" s="43" t="s">
        <v>248</v>
      </c>
      <c r="C21" s="43" t="s">
        <v>356</v>
      </c>
      <c r="D21" s="43" t="s">
        <v>357</v>
      </c>
      <c r="E21" s="43" t="s">
        <v>359</v>
      </c>
      <c r="F21" s="43" t="s">
        <v>360</v>
      </c>
      <c r="G21" s="43" t="s">
        <v>362</v>
      </c>
      <c r="H21" s="43" t="s">
        <v>363</v>
      </c>
      <c r="I21" s="53" t="s">
        <v>365</v>
      </c>
      <c r="J21" s="53" t="s">
        <v>366</v>
      </c>
    </row>
    <row r="22" customFormat="false" ht="27.75" hidden="false" customHeight="true" outlineLevel="0" collapsed="false">
      <c r="A22" s="47" t="s">
        <v>320</v>
      </c>
      <c r="B22" s="91" t="n">
        <f aca="false">Assumptions!C18+Assumptions!C19+Assumptions!C20</f>
        <v>132.5</v>
      </c>
      <c r="C22" s="95" t="n">
        <f aca="false">'Portfolio Returns'!C20+'Portfolio Returns'!C21+'Portfolio Returns'!C22</f>
        <v>398.055506593034</v>
      </c>
      <c r="D22" s="68" t="n">
        <f aca="false">C22/B22</f>
        <v>3.00419250258893</v>
      </c>
      <c r="E22" s="95" t="n">
        <f aca="false">'Portfolio Returns'!F20+'Portfolio Returns'!F21+'Portfolio Returns'!F22</f>
        <v>769.336384910848</v>
      </c>
      <c r="F22" s="68" t="n">
        <f aca="false">E22/B22</f>
        <v>5.8063123389498</v>
      </c>
      <c r="G22" s="95" t="n">
        <f aca="false">'Portfolio Returns'!I20+'Portfolio Returns'!I21+'Portfolio Returns'!I22</f>
        <v>52.7285724093652</v>
      </c>
      <c r="H22" s="68" t="n">
        <f aca="false">G22/B22</f>
        <v>0.397951489882002</v>
      </c>
      <c r="I22" s="96" t="n">
        <f aca="false">'Portfolio Returns'!L20+'Portfolio Returns'!L21+'Portfolio Returns'!L22</f>
        <v>1034.88820550225</v>
      </c>
      <c r="J22" s="69" t="n">
        <f aca="false">I22/B22</f>
        <v>7.81047702265849</v>
      </c>
    </row>
    <row r="23" customFormat="false" ht="15" hidden="false" customHeight="true" outlineLevel="0" collapsed="false">
      <c r="A23" s="47" t="s">
        <v>323</v>
      </c>
      <c r="B23" s="91" t="n">
        <f aca="false">Assumptions!C21+Assumptions!C22</f>
        <v>62</v>
      </c>
      <c r="C23" s="95" t="n">
        <f aca="false">'Portfolio Returns'!C23+'Portfolio Returns'!C24</f>
        <v>176.677609572404</v>
      </c>
      <c r="D23" s="68" t="n">
        <f aca="false">C23/B23</f>
        <v>2.84963886407104</v>
      </c>
      <c r="E23" s="95" t="n">
        <f aca="false">'Portfolio Returns'!F23+'Portfolio Returns'!F24</f>
        <v>343.039880663453</v>
      </c>
      <c r="F23" s="68" t="n">
        <f aca="false">E23/B23</f>
        <v>5.53290130102343</v>
      </c>
      <c r="G23" s="95" t="n">
        <f aca="false">'Portfolio Returns'!I23+'Portfolio Returns'!I24</f>
        <v>34.6010149952878</v>
      </c>
      <c r="H23" s="68" t="n">
        <f aca="false">G23/B23</f>
        <v>0.558080887020771</v>
      </c>
      <c r="I23" s="96" t="n">
        <f aca="false">'Portfolio Returns'!L23+'Portfolio Returns'!L24</f>
        <v>221.475694558303</v>
      </c>
      <c r="J23" s="69" t="n">
        <f aca="false">I23/B23</f>
        <v>3.57218862190811</v>
      </c>
    </row>
    <row r="24" customFormat="false" ht="15" hidden="false" customHeight="true" outlineLevel="0" collapsed="false">
      <c r="A24" s="47" t="s">
        <v>326</v>
      </c>
      <c r="B24" s="91" t="n">
        <f aca="false">Assumptions!C23+Assumptions!C24+Assumptions!C25</f>
        <v>49</v>
      </c>
      <c r="C24" s="95" t="n">
        <f aca="false">'Portfolio Returns'!C25+'Portfolio Returns'!C26+'Portfolio Returns'!C27</f>
        <v>174.856092672484</v>
      </c>
      <c r="D24" s="68" t="n">
        <f aca="false">C24/B24</f>
        <v>3.56849168719355</v>
      </c>
      <c r="E24" s="95" t="n">
        <f aca="false">'Portfolio Returns'!F25+'Portfolio Returns'!F26+'Portfolio Returns'!F27</f>
        <v>331.18438449301</v>
      </c>
      <c r="F24" s="68" t="n">
        <f aca="false">E24/B24</f>
        <v>6.75886498965327</v>
      </c>
      <c r="G24" s="95" t="n">
        <f aca="false">'Portfolio Returns'!I25+'Portfolio Returns'!I26+'Portfolio Returns'!I27</f>
        <v>12.0273374832909</v>
      </c>
      <c r="H24" s="68" t="n">
        <f aca="false">G24/B24</f>
        <v>0.245455867005936</v>
      </c>
      <c r="I24" s="96" t="n">
        <f aca="false">'Portfolio Returns'!L25+'Portfolio Returns'!L26+'Portfolio Returns'!L27</f>
        <v>266.151986596032</v>
      </c>
      <c r="J24" s="69" t="n">
        <f aca="false">I24/B24</f>
        <v>5.43167319583738</v>
      </c>
    </row>
    <row r="25" customFormat="false" ht="15" hidden="false" customHeight="true" outlineLevel="0" collapsed="false">
      <c r="A25" s="47" t="s">
        <v>395</v>
      </c>
      <c r="B25" s="91" t="n">
        <f aca="false">Assumptions!C26</f>
        <v>6.5</v>
      </c>
      <c r="C25" s="95" t="n">
        <f aca="false">'Portfolio Returns'!C28</f>
        <v>28.5415626384605</v>
      </c>
      <c r="D25" s="68" t="n">
        <f aca="false">C25/B25</f>
        <v>4.39100963668624</v>
      </c>
      <c r="E25" s="95" t="n">
        <f aca="false">'Portfolio Returns'!F28</f>
        <v>53.444646528</v>
      </c>
      <c r="F25" s="68" t="n">
        <f aca="false">E25/B25</f>
        <v>8.222253312</v>
      </c>
      <c r="G25" s="95" t="n">
        <f aca="false">'Portfolio Returns'!I28</f>
        <v>0.676763305664063</v>
      </c>
      <c r="H25" s="68" t="n">
        <f aca="false">G25/B25</f>
        <v>0.104117431640625</v>
      </c>
      <c r="I25" s="96" t="n">
        <f aca="false">'Portfolio Returns'!L28</f>
        <v>19.9316376792329</v>
      </c>
      <c r="J25" s="69" t="n">
        <f aca="false">I25/B25</f>
        <v>3.06640579680506</v>
      </c>
    </row>
    <row r="26" customFormat="false" ht="15" hidden="false" customHeight="true" outlineLevel="0" collapsed="false">
      <c r="A26" s="86" t="s">
        <v>399</v>
      </c>
      <c r="B26" s="107" t="n">
        <f aca="false">SUM(B22:B25)</f>
        <v>250</v>
      </c>
      <c r="C26" s="107" t="n">
        <f aca="false">SUM(C22:C25)</f>
        <v>778.130771476382</v>
      </c>
      <c r="D26" s="108" t="n">
        <f aca="false">C26/B26</f>
        <v>3.11252308590553</v>
      </c>
      <c r="E26" s="107" t="n">
        <f aca="false">SUM(E22:E25)</f>
        <v>1497.00529659531</v>
      </c>
      <c r="F26" s="108" t="n">
        <f aca="false">E26/B26</f>
        <v>5.98802118638124</v>
      </c>
      <c r="G26" s="107" t="n">
        <f aca="false">SUM(G22:G25)</f>
        <v>100.033688193608</v>
      </c>
      <c r="H26" s="108" t="n">
        <f aca="false">G26/B26</f>
        <v>0.400134752774432</v>
      </c>
      <c r="I26" s="109" t="n">
        <f aca="false">SUM(I22:I25)</f>
        <v>1542.44752433582</v>
      </c>
      <c r="J26" s="110" t="n">
        <f aca="false">I26/B26</f>
        <v>6.16979009734327</v>
      </c>
    </row>
    <row r="27" customFormat="false" ht="1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true" outlineLevel="0" collapsed="false">
      <c r="A28" s="60" t="s">
        <v>401</v>
      </c>
      <c r="B28" s="1"/>
      <c r="C28" s="1"/>
      <c r="D28" s="1"/>
      <c r="E28" s="1"/>
      <c r="F28" s="1"/>
      <c r="G28" s="1"/>
      <c r="H28" s="1"/>
      <c r="I28" s="1"/>
      <c r="J28" s="1"/>
    </row>
    <row r="29" customFormat="false" ht="27.75" hidden="false" customHeight="true" outlineLevel="0" collapsed="false">
      <c r="A29" s="43" t="s">
        <v>398</v>
      </c>
      <c r="B29" s="43" t="s">
        <v>248</v>
      </c>
      <c r="C29" s="43" t="s">
        <v>356</v>
      </c>
      <c r="D29" s="43" t="s">
        <v>357</v>
      </c>
      <c r="E29" s="43" t="s">
        <v>359</v>
      </c>
      <c r="F29" s="43" t="s">
        <v>360</v>
      </c>
      <c r="G29" s="43" t="s">
        <v>362</v>
      </c>
      <c r="H29" s="43" t="s">
        <v>363</v>
      </c>
      <c r="I29" s="53" t="s">
        <v>365</v>
      </c>
      <c r="J29" s="53" t="s">
        <v>366</v>
      </c>
    </row>
    <row r="30" customFormat="false" ht="27.75" hidden="false" customHeight="true" outlineLevel="0" collapsed="false">
      <c r="A30" s="47" t="s">
        <v>320</v>
      </c>
      <c r="B30" s="91" t="n">
        <f aca="false">Assumptions!C18+Assumptions!C19+Assumptions!C20</f>
        <v>132.5</v>
      </c>
      <c r="C30" s="95" t="n">
        <f aca="false">'Portfolio Returns'!C34+'Portfolio Returns'!C35+'Portfolio Returns'!C36</f>
        <v>627.310262497002</v>
      </c>
      <c r="D30" s="68" t="n">
        <f aca="false">C30/B30</f>
        <v>4.73441707544907</v>
      </c>
      <c r="E30" s="95" t="n">
        <f aca="false">'Portfolio Returns'!F34+'Portfolio Returns'!F35+'Portfolio Returns'!F36</f>
        <v>1604.42085017623</v>
      </c>
      <c r="F30" s="68" t="n">
        <f aca="false">E30/B30</f>
        <v>12.1088366051036</v>
      </c>
      <c r="G30" s="95" t="n">
        <f aca="false">'Portfolio Returns'!I34+'Portfolio Returns'!I35+'Portfolio Returns'!I36</f>
        <v>40.2278471768264</v>
      </c>
      <c r="H30" s="68" t="n">
        <f aca="false">G30/B30</f>
        <v>0.303606393787369</v>
      </c>
      <c r="I30" s="96" t="n">
        <f aca="false">'Portfolio Returns'!L34+'Portfolio Returns'!L35+'Portfolio Returns'!L36</f>
        <v>2451.63524466617</v>
      </c>
      <c r="J30" s="69" t="n">
        <f aca="false">I30/B30</f>
        <v>18.5029075069145</v>
      </c>
    </row>
    <row r="31" customFormat="false" ht="15" hidden="false" customHeight="true" outlineLevel="0" collapsed="false">
      <c r="A31" s="47" t="s">
        <v>323</v>
      </c>
      <c r="B31" s="91" t="n">
        <f aca="false">Assumptions!C21+Assumptions!C22</f>
        <v>62</v>
      </c>
      <c r="C31" s="95" t="n">
        <f aca="false">'Portfolio Returns'!C37+'Portfolio Returns'!C38</f>
        <v>272.741324389321</v>
      </c>
      <c r="D31" s="68" t="n">
        <f aca="false">C31/B31</f>
        <v>4.3990536191826</v>
      </c>
      <c r="E31" s="95" t="n">
        <f aca="false">'Portfolio Returns'!F37+'Portfolio Returns'!F38</f>
        <v>701.832580287889</v>
      </c>
      <c r="F31" s="68" t="n">
        <f aca="false">E31/B31</f>
        <v>11.319880327224</v>
      </c>
      <c r="G31" s="95" t="n">
        <f aca="false">'Portfolio Returns'!I37+'Portfolio Returns'!I38</f>
        <v>26.5109160641294</v>
      </c>
      <c r="H31" s="68" t="n">
        <f aca="false">G31/B31</f>
        <v>0.427595420389184</v>
      </c>
      <c r="I31" s="96" t="n">
        <f aca="false">'Portfolio Returns'!L37+'Portfolio Returns'!L38</f>
        <v>372.378552814701</v>
      </c>
      <c r="J31" s="69" t="n">
        <f aca="false">I31/B31</f>
        <v>6.0061056905597</v>
      </c>
    </row>
    <row r="32" customFormat="false" ht="15" hidden="false" customHeight="true" outlineLevel="0" collapsed="false">
      <c r="A32" s="47" t="s">
        <v>326</v>
      </c>
      <c r="B32" s="91" t="n">
        <f aca="false">Assumptions!C23+Assumptions!C24+Assumptions!C25</f>
        <v>49</v>
      </c>
      <c r="C32" s="95" t="n">
        <f aca="false">'Portfolio Returns'!C39+'Portfolio Returns'!C40+'Portfolio Returns'!C41</f>
        <v>309.222199438863</v>
      </c>
      <c r="D32" s="68" t="n">
        <f aca="false">C32/B32</f>
        <v>6.31065713140537</v>
      </c>
      <c r="E32" s="95" t="n">
        <f aca="false">'Portfolio Returns'!F39+'Portfolio Returns'!F40+'Portfolio Returns'!F41</f>
        <v>763.593201030393</v>
      </c>
      <c r="F32" s="68" t="n">
        <f aca="false">E32/B32</f>
        <v>15.583534714906</v>
      </c>
      <c r="G32" s="95" t="n">
        <f aca="false">'Portfolio Returns'!I39+'Portfolio Returns'!I40+'Portfolio Returns'!I41</f>
        <v>6.97568496533216</v>
      </c>
      <c r="H32" s="68" t="n">
        <f aca="false">G32/B32</f>
        <v>0.14236091765984</v>
      </c>
      <c r="I32" s="96" t="n">
        <f aca="false">'Portfolio Returns'!L39+'Portfolio Returns'!L40+'Portfolio Returns'!L41</f>
        <v>562.844278082766</v>
      </c>
      <c r="J32" s="69" t="n">
        <f aca="false">I32/B32</f>
        <v>11.4866179200564</v>
      </c>
    </row>
    <row r="33" customFormat="false" ht="15" hidden="false" customHeight="true" outlineLevel="0" collapsed="false">
      <c r="A33" s="47" t="s">
        <v>395</v>
      </c>
      <c r="B33" s="91" t="n">
        <f aca="false">Assumptions!C26</f>
        <v>6.5</v>
      </c>
      <c r="C33" s="95" t="n">
        <f aca="false">'Portfolio Returns'!C42</f>
        <v>52.1821496357096</v>
      </c>
      <c r="D33" s="68" t="n">
        <f aca="false">C33/B33</f>
        <v>8.0280230208784</v>
      </c>
      <c r="E33" s="95" t="n">
        <f aca="false">'Portfolio Returns'!F42</f>
        <v>127.850557499392</v>
      </c>
      <c r="F33" s="68" t="n">
        <f aca="false">E33/B33</f>
        <v>19.669316538368</v>
      </c>
      <c r="G33" s="95" t="n">
        <f aca="false">'Portfolio Returns'!I42</f>
        <v>0.248905735015869</v>
      </c>
      <c r="H33" s="68" t="n">
        <f aca="false">G33/B33</f>
        <v>0.0382931900024414</v>
      </c>
      <c r="I33" s="96" t="n">
        <f aca="false">'Portfolio Returns'!L42</f>
        <v>31.2433805557638</v>
      </c>
      <c r="J33" s="69" t="n">
        <f aca="false">I33/B33</f>
        <v>4.80667393165598</v>
      </c>
    </row>
    <row r="34" customFormat="false" ht="15" hidden="false" customHeight="true" outlineLevel="0" collapsed="false">
      <c r="A34" s="86" t="s">
        <v>399</v>
      </c>
      <c r="B34" s="107" t="n">
        <f aca="false">SUM(B30:B33)</f>
        <v>250</v>
      </c>
      <c r="C34" s="107" t="n">
        <f aca="false">SUM(C30:C33)</f>
        <v>1261.4559359609</v>
      </c>
      <c r="D34" s="108" t="n">
        <f aca="false">C34/B34</f>
        <v>5.04582374384358</v>
      </c>
      <c r="E34" s="107" t="n">
        <f aca="false">SUM(E30:E33)</f>
        <v>3197.6971889939</v>
      </c>
      <c r="F34" s="108" t="n">
        <f aca="false">E34/B34</f>
        <v>12.7907887559756</v>
      </c>
      <c r="G34" s="107" t="n">
        <f aca="false">SUM(G30:G33)</f>
        <v>73.9633539413038</v>
      </c>
      <c r="H34" s="108" t="n">
        <f aca="false">G34/B34</f>
        <v>0.295853415765215</v>
      </c>
      <c r="I34" s="109" t="n">
        <f aca="false">SUM(I30:I33)</f>
        <v>3418.1014561194</v>
      </c>
      <c r="J34" s="110" t="n">
        <f aca="false">I34/B34</f>
        <v>13.6724058244776</v>
      </c>
    </row>
    <row r="35" customFormat="false" ht="1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25.5" hidden="false" customHeight="true" outlineLevel="0" collapsed="false">
      <c r="A36" s="11" t="s">
        <v>402</v>
      </c>
      <c r="B36" s="11"/>
      <c r="C36" s="11"/>
      <c r="D36" s="11"/>
      <c r="E36" s="11"/>
      <c r="F36" s="11"/>
      <c r="G36" s="11"/>
      <c r="H36" s="11"/>
      <c r="I36" s="11"/>
      <c r="J36" s="11"/>
    </row>
  </sheetData>
  <mergeCells count="1">
    <mergeCell ref="A36:J36"/>
  </mergeCells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3B2E"/>
    <pageSetUpPr fitToPage="true"/>
  </sheetPr>
  <dimension ref="A1:V6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3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9" min="7" style="0" width="10"/>
    <col collapsed="false" customWidth="true" hidden="false" outlineLevel="0" max="10" min="10" style="0" width="24"/>
    <col collapsed="false" customWidth="true" hidden="false" outlineLevel="0" max="11" min="11" style="0" width="10"/>
    <col collapsed="false" customWidth="true" hidden="false" outlineLevel="0" max="14" min="12" style="0" width="11"/>
    <col collapsed="false" customWidth="true" hidden="false" outlineLevel="0" max="22" min="16" style="0" width="13"/>
  </cols>
  <sheetData>
    <row r="1" customFormat="false" ht="18" hidden="false" customHeight="true" outlineLevel="0" collapsed="false">
      <c r="A1" s="10" t="s">
        <v>403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41" t="s">
        <v>404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" hidden="false" customHeight="true" outlineLevel="0" collapsed="false">
      <c r="A4" s="42" t="s">
        <v>405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P4" s="111" t="s">
        <v>406</v>
      </c>
    </row>
    <row r="5" customFormat="false" ht="15" hidden="false" customHeight="true" outlineLevel="0" collapsed="false">
      <c r="A5" s="57" t="s">
        <v>407</v>
      </c>
      <c r="B5" s="78" t="n">
        <f aca="false">'Holdco Summary'!$B$7</f>
        <v>390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P5" s="112" t="s">
        <v>408</v>
      </c>
      <c r="Q5" s="113" t="n">
        <v>0.005</v>
      </c>
    </row>
    <row r="6" customFormat="false" ht="15" hidden="false" customHeight="true" outlineLevel="0" collapsed="false">
      <c r="A6" s="57" t="s">
        <v>409</v>
      </c>
      <c r="B6" s="59" t="n">
        <v>0.92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P6" s="112" t="s">
        <v>410</v>
      </c>
      <c r="Q6" s="113" t="n">
        <v>0.008</v>
      </c>
    </row>
    <row r="7" customFormat="false" ht="15" hidden="false" customHeight="true" outlineLevel="0" collapsed="false">
      <c r="A7" s="57" t="s">
        <v>411</v>
      </c>
      <c r="B7" s="59" t="n">
        <v>0.88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P7" s="112" t="s">
        <v>412</v>
      </c>
      <c r="Q7" s="113" t="n">
        <v>0.004</v>
      </c>
    </row>
    <row r="8" customFormat="false" ht="15" hidden="false" customHeight="true" outlineLevel="0" collapsed="false">
      <c r="A8" s="57" t="s">
        <v>413</v>
      </c>
      <c r="B8" s="59" t="n">
        <v>0.82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P8" s="112" t="s">
        <v>414</v>
      </c>
      <c r="Q8" s="113" t="n">
        <v>0.006</v>
      </c>
    </row>
    <row r="9" customFormat="false" ht="1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true" outlineLevel="0" collapsed="false">
      <c r="A10" s="42" t="s">
        <v>415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27.75" hidden="false" customHeight="true" outlineLevel="0" collapsed="false">
      <c r="A11" s="43" t="s">
        <v>246</v>
      </c>
      <c r="B11" s="43" t="s">
        <v>247</v>
      </c>
      <c r="C11" s="43" t="s">
        <v>248</v>
      </c>
      <c r="D11" s="43" t="s">
        <v>249</v>
      </c>
      <c r="E11" s="43" t="s">
        <v>416</v>
      </c>
      <c r="F11" s="43" t="s">
        <v>36</v>
      </c>
      <c r="G11" s="43" t="s">
        <v>37</v>
      </c>
      <c r="H11" s="43" t="s">
        <v>38</v>
      </c>
      <c r="I11" s="53" t="s">
        <v>417</v>
      </c>
      <c r="J11" s="43" t="s">
        <v>254</v>
      </c>
      <c r="K11" s="1"/>
      <c r="L11" s="1"/>
      <c r="M11" s="1"/>
      <c r="N11" s="1"/>
      <c r="P11" s="43" t="s">
        <v>418</v>
      </c>
      <c r="Q11" s="43" t="s">
        <v>419</v>
      </c>
      <c r="R11" s="43" t="s">
        <v>420</v>
      </c>
      <c r="S11" s="43" t="s">
        <v>421</v>
      </c>
      <c r="T11" s="43" t="s">
        <v>422</v>
      </c>
      <c r="U11" s="43" t="s">
        <v>423</v>
      </c>
      <c r="V11" s="43" t="s">
        <v>424</v>
      </c>
    </row>
    <row r="12" customFormat="false" ht="40.5" hidden="false" customHeight="true" outlineLevel="0" collapsed="false">
      <c r="A12" s="44" t="s">
        <v>425</v>
      </c>
      <c r="B12" s="79" t="n">
        <v>9250</v>
      </c>
      <c r="C12" s="79" t="n">
        <v>70</v>
      </c>
      <c r="D12" s="46" t="n">
        <f aca="false">C12/B12</f>
        <v>0.00756756756756757</v>
      </c>
      <c r="E12" s="47" t="s">
        <v>426</v>
      </c>
      <c r="F12" s="80" t="n">
        <v>0.26</v>
      </c>
      <c r="G12" s="80" t="n">
        <v>0.4</v>
      </c>
      <c r="H12" s="80" t="n">
        <v>0</v>
      </c>
      <c r="I12" s="114" t="n">
        <v>0.38</v>
      </c>
      <c r="J12" s="75" t="s">
        <v>427</v>
      </c>
      <c r="K12" s="1"/>
      <c r="L12" s="1"/>
      <c r="M12" s="1"/>
      <c r="N12" s="1"/>
      <c r="P12" s="115" t="n">
        <v>2</v>
      </c>
      <c r="Q12" s="115" t="n">
        <v>3</v>
      </c>
      <c r="R12" s="116" t="n">
        <f aca="false">AVERAGE(P12:Q12)</f>
        <v>2.5</v>
      </c>
      <c r="S12" s="117" t="n">
        <f aca="false">F12+$R12*$Q$5</f>
        <v>0.2725</v>
      </c>
      <c r="T12" s="117" t="n">
        <f aca="false">G12+$R12*$Q$6</f>
        <v>0.42</v>
      </c>
      <c r="U12" s="117" t="n">
        <f aca="false">H12+$R12*$Q$7</f>
        <v>0.01</v>
      </c>
      <c r="V12" s="117" t="n">
        <f aca="false">I12+$R12*$Q$8</f>
        <v>0.395</v>
      </c>
    </row>
    <row r="13" customFormat="false" ht="27.75" hidden="false" customHeight="true" outlineLevel="0" collapsed="false">
      <c r="A13" s="44" t="s">
        <v>428</v>
      </c>
      <c r="B13" s="79" t="n">
        <v>1350</v>
      </c>
      <c r="C13" s="79" t="n">
        <v>45</v>
      </c>
      <c r="D13" s="46" t="n">
        <f aca="false">C13/B13</f>
        <v>0.0333333333333333</v>
      </c>
      <c r="E13" s="47" t="s">
        <v>429</v>
      </c>
      <c r="F13" s="80" t="n">
        <v>0.24</v>
      </c>
      <c r="G13" s="80" t="n">
        <v>0.38</v>
      </c>
      <c r="H13" s="80" t="n">
        <v>-0.02</v>
      </c>
      <c r="I13" s="114" t="n">
        <v>0.4</v>
      </c>
      <c r="J13" s="75" t="s">
        <v>430</v>
      </c>
      <c r="K13" s="1"/>
      <c r="L13" s="1"/>
      <c r="M13" s="1"/>
      <c r="N13" s="1"/>
      <c r="P13" s="115" t="n">
        <v>3</v>
      </c>
      <c r="Q13" s="115" t="n">
        <v>3</v>
      </c>
      <c r="R13" s="116" t="n">
        <f aca="false">AVERAGE(P13:Q13)</f>
        <v>3</v>
      </c>
      <c r="S13" s="117" t="n">
        <f aca="false">F13+$R13*$Q$5</f>
        <v>0.255</v>
      </c>
      <c r="T13" s="117" t="n">
        <f aca="false">G13+$R13*$Q$6</f>
        <v>0.404</v>
      </c>
      <c r="U13" s="117" t="n">
        <f aca="false">H13+$R13*$Q$7</f>
        <v>-0.008</v>
      </c>
      <c r="V13" s="117" t="n">
        <f aca="false">I13+$R13*$Q$8</f>
        <v>0.418</v>
      </c>
    </row>
    <row r="14" customFormat="false" ht="53.25" hidden="false" customHeight="true" outlineLevel="0" collapsed="false">
      <c r="A14" s="44" t="s">
        <v>431</v>
      </c>
      <c r="B14" s="79" t="n">
        <v>16000</v>
      </c>
      <c r="C14" s="79" t="n">
        <v>40</v>
      </c>
      <c r="D14" s="46" t="n">
        <f aca="false">C14/B14</f>
        <v>0.0025</v>
      </c>
      <c r="E14" s="47" t="s">
        <v>432</v>
      </c>
      <c r="F14" s="80" t="n">
        <v>0.17</v>
      </c>
      <c r="G14" s="80" t="n">
        <v>0.28</v>
      </c>
      <c r="H14" s="80" t="n">
        <v>0.06</v>
      </c>
      <c r="I14" s="114" t="n">
        <v>0.28</v>
      </c>
      <c r="J14" s="75" t="s">
        <v>433</v>
      </c>
      <c r="K14" s="1"/>
      <c r="L14" s="1"/>
      <c r="M14" s="1"/>
      <c r="N14" s="1"/>
      <c r="P14" s="115" t="n">
        <v>5</v>
      </c>
      <c r="Q14" s="115" t="n">
        <v>5</v>
      </c>
      <c r="R14" s="116" t="n">
        <f aca="false">AVERAGE(P14:Q14)</f>
        <v>5</v>
      </c>
      <c r="S14" s="117" t="n">
        <f aca="false">F14+$R14*$Q$5</f>
        <v>0.195</v>
      </c>
      <c r="T14" s="117" t="n">
        <f aca="false">G14+$R14*$Q$6</f>
        <v>0.32</v>
      </c>
      <c r="U14" s="117" t="n">
        <f aca="false">H14+$R14*$Q$7</f>
        <v>0.08</v>
      </c>
      <c r="V14" s="117" t="n">
        <f aca="false">I14+$R14*$Q$8</f>
        <v>0.31</v>
      </c>
    </row>
    <row r="15" customFormat="false" ht="40.5" hidden="false" customHeight="true" outlineLevel="0" collapsed="false">
      <c r="A15" s="44" t="s">
        <v>434</v>
      </c>
      <c r="B15" s="79" t="n">
        <v>3000</v>
      </c>
      <c r="C15" s="79" t="n">
        <v>30</v>
      </c>
      <c r="D15" s="46" t="n">
        <f aca="false">C15/B15</f>
        <v>0.01</v>
      </c>
      <c r="E15" s="47" t="s">
        <v>435</v>
      </c>
      <c r="F15" s="80" t="n">
        <v>0.16</v>
      </c>
      <c r="G15" s="80" t="n">
        <v>0.26</v>
      </c>
      <c r="H15" s="80" t="n">
        <v>0.05</v>
      </c>
      <c r="I15" s="114" t="n">
        <v>0.28</v>
      </c>
      <c r="J15" s="75" t="s">
        <v>436</v>
      </c>
      <c r="K15" s="1"/>
      <c r="L15" s="1"/>
      <c r="M15" s="1"/>
      <c r="N15" s="1"/>
      <c r="P15" s="115" t="n">
        <v>2</v>
      </c>
      <c r="Q15" s="115" t="n">
        <v>4</v>
      </c>
      <c r="R15" s="116" t="n">
        <f aca="false">AVERAGE(P15:Q15)</f>
        <v>3</v>
      </c>
      <c r="S15" s="117" t="n">
        <f aca="false">F15+$R15*$Q$5</f>
        <v>0.175</v>
      </c>
      <c r="T15" s="117" t="n">
        <f aca="false">G15+$R15*$Q$6</f>
        <v>0.284</v>
      </c>
      <c r="U15" s="117" t="n">
        <f aca="false">H15+$R15*$Q$7</f>
        <v>0.062</v>
      </c>
      <c r="V15" s="117" t="n">
        <f aca="false">I15+$R15*$Q$8</f>
        <v>0.298</v>
      </c>
    </row>
    <row r="16" customFormat="false" ht="27.75" hidden="false" customHeight="true" outlineLevel="0" collapsed="false">
      <c r="A16" s="44" t="s">
        <v>437</v>
      </c>
      <c r="B16" s="79" t="n">
        <v>1800</v>
      </c>
      <c r="C16" s="79" t="n">
        <v>35</v>
      </c>
      <c r="D16" s="46" t="n">
        <f aca="false">C16/B16</f>
        <v>0.0194444444444444</v>
      </c>
      <c r="E16" s="47" t="s">
        <v>438</v>
      </c>
      <c r="F16" s="80" t="n">
        <v>0.12</v>
      </c>
      <c r="G16" s="80" t="n">
        <v>0.2</v>
      </c>
      <c r="H16" s="80" t="n">
        <v>0.04</v>
      </c>
      <c r="I16" s="114" t="n">
        <v>0.22</v>
      </c>
      <c r="J16" s="75" t="s">
        <v>439</v>
      </c>
      <c r="K16" s="1"/>
      <c r="L16" s="1"/>
      <c r="M16" s="1"/>
      <c r="N16" s="1"/>
      <c r="P16" s="115" t="n">
        <v>3</v>
      </c>
      <c r="Q16" s="115" t="n">
        <v>3</v>
      </c>
      <c r="R16" s="116" t="n">
        <f aca="false">AVERAGE(P16:Q16)</f>
        <v>3</v>
      </c>
      <c r="S16" s="117" t="n">
        <f aca="false">F16+$R16*$Q$5</f>
        <v>0.135</v>
      </c>
      <c r="T16" s="117" t="n">
        <f aca="false">G16+$R16*$Q$6</f>
        <v>0.224</v>
      </c>
      <c r="U16" s="117" t="n">
        <f aca="false">H16+$R16*$Q$7</f>
        <v>0.052</v>
      </c>
      <c r="V16" s="117" t="n">
        <f aca="false">I16+$R16*$Q$8</f>
        <v>0.238</v>
      </c>
    </row>
    <row r="17" customFormat="false" ht="27.75" hidden="false" customHeight="true" outlineLevel="0" collapsed="false">
      <c r="A17" s="44" t="s">
        <v>440</v>
      </c>
      <c r="B17" s="79" t="n">
        <v>150</v>
      </c>
      <c r="C17" s="79" t="n">
        <v>40</v>
      </c>
      <c r="D17" s="46" t="n">
        <f aca="false">C17/B17</f>
        <v>0.266666666666667</v>
      </c>
      <c r="E17" s="47" t="s">
        <v>441</v>
      </c>
      <c r="F17" s="80" t="n">
        <v>0.28</v>
      </c>
      <c r="G17" s="80" t="n">
        <v>0.44</v>
      </c>
      <c r="H17" s="80" t="n">
        <v>0.02</v>
      </c>
      <c r="I17" s="114" t="n">
        <v>0.46</v>
      </c>
      <c r="J17" s="75" t="s">
        <v>442</v>
      </c>
      <c r="K17" s="1"/>
      <c r="L17" s="1"/>
      <c r="M17" s="1"/>
      <c r="N17" s="1"/>
      <c r="P17" s="115" t="n">
        <v>5</v>
      </c>
      <c r="Q17" s="115" t="n">
        <v>3</v>
      </c>
      <c r="R17" s="116" t="n">
        <f aca="false">AVERAGE(P17:Q17)</f>
        <v>4</v>
      </c>
      <c r="S17" s="117" t="n">
        <f aca="false">F17+$R17*$Q$5</f>
        <v>0.3</v>
      </c>
      <c r="T17" s="117" t="n">
        <f aca="false">G17+$R17*$Q$6</f>
        <v>0.472</v>
      </c>
      <c r="U17" s="117" t="n">
        <f aca="false">H17+$R17*$Q$7</f>
        <v>0.036</v>
      </c>
      <c r="V17" s="117" t="n">
        <f aca="false">I17+$R17*$Q$8</f>
        <v>0.484</v>
      </c>
    </row>
    <row r="18" customFormat="false" ht="27.75" hidden="false" customHeight="true" outlineLevel="0" collapsed="false">
      <c r="A18" s="44" t="s">
        <v>443</v>
      </c>
      <c r="B18" s="118" t="n">
        <v>1200</v>
      </c>
      <c r="C18" s="118" t="n">
        <v>50</v>
      </c>
      <c r="D18" s="46" t="n">
        <f aca="false">C18/B18</f>
        <v>0.0416666666666667</v>
      </c>
      <c r="E18" s="47" t="s">
        <v>444</v>
      </c>
      <c r="F18" s="119" t="n">
        <v>0.13</v>
      </c>
      <c r="G18" s="119" t="n">
        <v>0.22</v>
      </c>
      <c r="H18" s="119" t="n">
        <v>0.04</v>
      </c>
      <c r="I18" s="120" t="n">
        <v>0.23</v>
      </c>
      <c r="J18" s="75" t="s">
        <v>445</v>
      </c>
      <c r="K18" s="1"/>
      <c r="L18" s="1"/>
      <c r="M18" s="1"/>
      <c r="N18" s="1"/>
      <c r="P18" s="115" t="n">
        <v>5</v>
      </c>
      <c r="Q18" s="115" t="n">
        <v>4</v>
      </c>
      <c r="R18" s="116" t="n">
        <f aca="false">AVERAGE(P18:Q18)</f>
        <v>4.5</v>
      </c>
      <c r="S18" s="117" t="n">
        <f aca="false">F18+$R18*$Q$5</f>
        <v>0.1525</v>
      </c>
      <c r="T18" s="117" t="n">
        <f aca="false">G18+$R18*$Q$6</f>
        <v>0.256</v>
      </c>
      <c r="U18" s="117" t="n">
        <f aca="false">H18+$R18*$Q$7</f>
        <v>0.058</v>
      </c>
      <c r="V18" s="117" t="n">
        <f aca="false">I18+$R18*$Q$8</f>
        <v>0.257</v>
      </c>
    </row>
    <row r="19" customFormat="false" ht="27.75" hidden="false" customHeight="true" outlineLevel="0" collapsed="false">
      <c r="A19" s="44" t="s">
        <v>446</v>
      </c>
      <c r="B19" s="121" t="n">
        <v>400</v>
      </c>
      <c r="C19" s="118" t="n">
        <v>31</v>
      </c>
      <c r="D19" s="46" t="n">
        <f aca="false">C19/B19</f>
        <v>0.0775</v>
      </c>
      <c r="E19" s="47" t="s">
        <v>447</v>
      </c>
      <c r="F19" s="119" t="n">
        <v>0.13</v>
      </c>
      <c r="G19" s="119" t="n">
        <v>0.21</v>
      </c>
      <c r="H19" s="119" t="n">
        <v>0.03</v>
      </c>
      <c r="I19" s="120" t="n">
        <v>0.22</v>
      </c>
      <c r="J19" s="122" t="s">
        <v>448</v>
      </c>
      <c r="K19" s="1"/>
      <c r="L19" s="1"/>
      <c r="M19" s="1"/>
      <c r="N19" s="1"/>
      <c r="P19" s="115" t="n">
        <v>5</v>
      </c>
      <c r="Q19" s="115" t="n">
        <v>4</v>
      </c>
      <c r="R19" s="116" t="n">
        <f aca="false">AVERAGE(P19:Q19)</f>
        <v>4.5</v>
      </c>
      <c r="S19" s="117" t="n">
        <f aca="false">F19+$R19*$Q$5</f>
        <v>0.1525</v>
      </c>
      <c r="T19" s="117" t="n">
        <f aca="false">G19+$R19*$Q$6</f>
        <v>0.246</v>
      </c>
      <c r="U19" s="117" t="n">
        <f aca="false">H19+$R19*$Q$7</f>
        <v>0.048</v>
      </c>
      <c r="V19" s="117" t="n">
        <f aca="false">I19+$R19*$Q$8</f>
        <v>0.247</v>
      </c>
    </row>
    <row r="20" customFormat="false" ht="27.75" hidden="false" customHeight="true" outlineLevel="0" collapsed="false">
      <c r="A20" s="44" t="s">
        <v>449</v>
      </c>
      <c r="B20" s="79" t="n">
        <v>1200</v>
      </c>
      <c r="C20" s="79" t="n">
        <v>40</v>
      </c>
      <c r="D20" s="46" t="n">
        <f aca="false">C20/B20</f>
        <v>0.0333333333333333</v>
      </c>
      <c r="E20" s="47" t="s">
        <v>450</v>
      </c>
      <c r="F20" s="80" t="n">
        <v>0.14</v>
      </c>
      <c r="G20" s="80" t="n">
        <v>0.22</v>
      </c>
      <c r="H20" s="80" t="n">
        <v>0.06</v>
      </c>
      <c r="I20" s="114" t="n">
        <v>0.24</v>
      </c>
      <c r="J20" s="75" t="s">
        <v>451</v>
      </c>
      <c r="K20" s="1"/>
      <c r="L20" s="1"/>
      <c r="M20" s="1"/>
      <c r="N20" s="1"/>
      <c r="P20" s="115" t="n">
        <v>3</v>
      </c>
      <c r="Q20" s="115" t="n">
        <v>2</v>
      </c>
      <c r="R20" s="116" t="n">
        <f aca="false">AVERAGE(P20:Q20)</f>
        <v>2.5</v>
      </c>
      <c r="S20" s="117" t="n">
        <f aca="false">F20+$R20*$Q$5</f>
        <v>0.1525</v>
      </c>
      <c r="T20" s="117" t="n">
        <f aca="false">G20+$R20*$Q$6</f>
        <v>0.24</v>
      </c>
      <c r="U20" s="117" t="n">
        <f aca="false">H20+$R20*$Q$7</f>
        <v>0.07</v>
      </c>
      <c r="V20" s="117" t="n">
        <f aca="false">I20+$R20*$Q$8</f>
        <v>0.255</v>
      </c>
    </row>
    <row r="21" customFormat="false" ht="40.5" hidden="false" customHeight="true" outlineLevel="0" collapsed="false">
      <c r="A21" s="44" t="s">
        <v>452</v>
      </c>
      <c r="B21" s="78" t="n">
        <f aca="false">'Faxon Build'!$B$6</f>
        <v>92</v>
      </c>
      <c r="C21" s="78" t="n">
        <f aca="false">'Faxon Build'!$B$7</f>
        <v>9</v>
      </c>
      <c r="D21" s="46" t="n">
        <f aca="false">C21/B21</f>
        <v>0.0978260869565217</v>
      </c>
      <c r="E21" s="47" t="s">
        <v>453</v>
      </c>
      <c r="F21" s="123" t="n">
        <f aca="false">'Faxon Build'!C$97-$R21*$Q$5</f>
        <v>0.146702814424438</v>
      </c>
      <c r="G21" s="123" t="n">
        <f aca="false">'Faxon Build'!D$97-$R21*$Q$6</f>
        <v>0.294194842742812</v>
      </c>
      <c r="H21" s="123" t="n">
        <f aca="false">'Faxon Build'!E$97-$R21*$Q$7</f>
        <v>-0.094799895310316</v>
      </c>
      <c r="I21" s="123" t="n">
        <f aca="false">'Faxon Build'!F$97-$R21*$Q$8</f>
        <v>0.30205132917649</v>
      </c>
      <c r="J21" s="75" t="s">
        <v>454</v>
      </c>
      <c r="K21" s="1"/>
      <c r="L21" s="1"/>
      <c r="M21" s="1"/>
      <c r="N21" s="1"/>
      <c r="P21" s="115" t="n">
        <v>5</v>
      </c>
      <c r="Q21" s="115" t="n">
        <v>4</v>
      </c>
      <c r="R21" s="116" t="n">
        <f aca="false">AVERAGE(P21:Q21)</f>
        <v>4.5</v>
      </c>
      <c r="S21" s="117" t="n">
        <f aca="false">F21+$R21*$Q$5</f>
        <v>0.169202814424438</v>
      </c>
      <c r="T21" s="117" t="n">
        <f aca="false">G21+$R21*$Q$6</f>
        <v>0.330194842742812</v>
      </c>
      <c r="U21" s="117" t="n">
        <f aca="false">H21+$R21*$Q$7</f>
        <v>-0.076799895310316</v>
      </c>
      <c r="V21" s="117" t="n">
        <f aca="false">I21+$R21*$Q$8</f>
        <v>0.32905132917649</v>
      </c>
    </row>
    <row r="22" customFormat="false" ht="15" hidden="false" customHeight="true" outlineLevel="0" collapsed="false">
      <c r="A22" s="16" t="s">
        <v>455</v>
      </c>
      <c r="B22" s="1"/>
      <c r="C22" s="50" t="n">
        <f aca="false">SUM(C12:C21)</f>
        <v>390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true" outlineLevel="0" collapsed="false">
      <c r="A24" s="60" t="s">
        <v>456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27.75" hidden="false" customHeight="true" outlineLevel="0" collapsed="false">
      <c r="A25" s="43" t="s">
        <v>246</v>
      </c>
      <c r="B25" s="43" t="s">
        <v>248</v>
      </c>
      <c r="C25" s="43" t="s">
        <v>356</v>
      </c>
      <c r="D25" s="43" t="s">
        <v>357</v>
      </c>
      <c r="E25" s="43" t="s">
        <v>358</v>
      </c>
      <c r="F25" s="43" t="s">
        <v>359</v>
      </c>
      <c r="G25" s="43" t="s">
        <v>360</v>
      </c>
      <c r="H25" s="43" t="s">
        <v>361</v>
      </c>
      <c r="I25" s="43" t="s">
        <v>362</v>
      </c>
      <c r="J25" s="43" t="s">
        <v>363</v>
      </c>
      <c r="K25" s="43" t="s">
        <v>364</v>
      </c>
      <c r="L25" s="53" t="s">
        <v>365</v>
      </c>
      <c r="M25" s="53" t="s">
        <v>366</v>
      </c>
      <c r="N25" s="53" t="s">
        <v>367</v>
      </c>
    </row>
    <row r="26" customFormat="false" ht="15" hidden="false" customHeight="true" outlineLevel="0" collapsed="false">
      <c r="A26" s="90" t="str">
        <f aca="false">A12</f>
        <v>Saronic</v>
      </c>
      <c r="B26" s="91" t="n">
        <f aca="false">C12</f>
        <v>70</v>
      </c>
      <c r="C26" s="95" t="n">
        <f aca="false">B26*(1+S12)^5*'Weapons Sleeve'!$B$6</f>
        <v>214.869524328492</v>
      </c>
      <c r="D26" s="68" t="n">
        <f aca="false">C26/B26</f>
        <v>3.06956463326417</v>
      </c>
      <c r="E26" s="46" t="n">
        <f aca="false">(C26/B26)^(1/5)-1</f>
        <v>0.251455341976744</v>
      </c>
      <c r="F26" s="95" t="n">
        <f aca="false">B26*(1+T12)^5*'Weapons Sleeve'!$B$6</f>
        <v>371.81558465408</v>
      </c>
      <c r="G26" s="68" t="n">
        <f aca="false">F26/B26</f>
        <v>5.311651209344</v>
      </c>
      <c r="H26" s="46" t="n">
        <f aca="false">(F26/B26)^(1/5)-1</f>
        <v>0.39651598083063</v>
      </c>
      <c r="I26" s="95" t="n">
        <f aca="false">B26*(1+U12)^5*'Weapons Sleeve'!$B$6</f>
        <v>67.68504722644</v>
      </c>
      <c r="J26" s="68" t="n">
        <f aca="false">I26/B26</f>
        <v>0.966929246092</v>
      </c>
      <c r="K26" s="46" t="n">
        <f aca="false">(I26/B26)^(1/5)-1</f>
        <v>-0.00670342208525598</v>
      </c>
      <c r="L26" s="96" t="n">
        <f aca="false">B26*(1+V12)^5*'Weapons Sleeve'!$B$6</f>
        <v>340.217700901549</v>
      </c>
      <c r="M26" s="69" t="n">
        <f aca="false">L26/B26</f>
        <v>4.86025287002213</v>
      </c>
      <c r="N26" s="71" t="n">
        <f aca="false">(L26/B26)^(1/5)-1</f>
        <v>0.371929431872345</v>
      </c>
    </row>
    <row r="27" customFormat="false" ht="15" hidden="false" customHeight="true" outlineLevel="0" collapsed="false">
      <c r="A27" s="90" t="str">
        <f aca="false">A13</f>
        <v>Epirus</v>
      </c>
      <c r="B27" s="91" t="n">
        <f aca="false">C13</f>
        <v>45</v>
      </c>
      <c r="C27" s="95" t="n">
        <f aca="false">B27*(1+S13)^5*'Weapons Sleeve'!$B$6</f>
        <v>128.889924771223</v>
      </c>
      <c r="D27" s="68" t="n">
        <f aca="false">C27/B27</f>
        <v>2.86422055047162</v>
      </c>
      <c r="E27" s="46" t="n">
        <f aca="false">(C27/B27)^(1/5)-1</f>
        <v>0.234244757705944</v>
      </c>
      <c r="F27" s="95" t="n">
        <f aca="false">B27*(1+T13)^5*'Weapons Sleeve'!$B$6</f>
        <v>225.858209062391</v>
      </c>
      <c r="G27" s="68" t="n">
        <f aca="false">F27/B27</f>
        <v>5.01907131249758</v>
      </c>
      <c r="H27" s="46" t="n">
        <f aca="false">(F27/B27)^(1/5)-1</f>
        <v>0.380780589497327</v>
      </c>
      <c r="I27" s="95" t="n">
        <f aca="false">B27*(1+U13)^5*'Weapons Sleeve'!$B$6</f>
        <v>39.7702848785154</v>
      </c>
      <c r="J27" s="68" t="n">
        <f aca="false">I27/B27</f>
        <v>0.883784108411453</v>
      </c>
      <c r="K27" s="46" t="n">
        <f aca="false">(I27/B27)^(1/5)-1</f>
        <v>-0.0244057373352217</v>
      </c>
      <c r="L27" s="96" t="n">
        <f aca="false">B27*(1+V13)^5*'Weapons Sleeve'!$B$6</f>
        <v>237.345769602353</v>
      </c>
      <c r="M27" s="69" t="n">
        <f aca="false">L27/B27</f>
        <v>5.27435043560785</v>
      </c>
      <c r="N27" s="71" t="n">
        <f aca="false">(L27/B27)^(1/5)-1</f>
        <v>0.394549056913968</v>
      </c>
    </row>
    <row r="28" customFormat="false" ht="15" hidden="false" customHeight="true" outlineLevel="0" collapsed="false">
      <c r="A28" s="90" t="str">
        <f aca="false">A14</f>
        <v>Israel Aerospace Ind.</v>
      </c>
      <c r="B28" s="91" t="n">
        <f aca="false">C14</f>
        <v>40</v>
      </c>
      <c r="C28" s="95" t="n">
        <f aca="false">B28*(1+S14)^5*'Weapons Sleeve'!$B$6</f>
        <v>89.678295497885</v>
      </c>
      <c r="D28" s="68" t="n">
        <f aca="false">C28/B28</f>
        <v>2.24195738744713</v>
      </c>
      <c r="E28" s="46" t="n">
        <f aca="false">(C28/B28)^(1/5)-1</f>
        <v>0.175237040206059</v>
      </c>
      <c r="F28" s="95" t="n">
        <f aca="false">B28*(1+T14)^5*'Weapons Sleeve'!$B$6</f>
        <v>147.47468414976</v>
      </c>
      <c r="G28" s="68" t="n">
        <f aca="false">F28/B28</f>
        <v>3.686867103744</v>
      </c>
      <c r="H28" s="46" t="n">
        <f aca="false">(F28/B28)^(1/5)-1</f>
        <v>0.298169784997487</v>
      </c>
      <c r="I28" s="95" t="n">
        <f aca="false">B28*(1+U14)^5*'Weapons Sleeve'!$B$6</f>
        <v>54.07127322624</v>
      </c>
      <c r="J28" s="68" t="n">
        <f aca="false">I28/B28</f>
        <v>1.351781830656</v>
      </c>
      <c r="K28" s="46" t="n">
        <f aca="false">(I28/B28)^(1/5)-1</f>
        <v>0.0621389149979441</v>
      </c>
      <c r="L28" s="96" t="n">
        <f aca="false">B28*(1+V14)^5*'Weapons Sleeve'!$B$6</f>
        <v>141.97252191568</v>
      </c>
      <c r="M28" s="69" t="n">
        <f aca="false">L28/B28</f>
        <v>3.549313047892</v>
      </c>
      <c r="N28" s="71" t="n">
        <f aca="false">(L28/B28)^(1/5)-1</f>
        <v>0.288335165414173</v>
      </c>
    </row>
    <row r="29" customFormat="false" ht="15" hidden="false" customHeight="true" outlineLevel="0" collapsed="false">
      <c r="A29" s="90" t="str">
        <f aca="false">A15</f>
        <v>Elta Systems</v>
      </c>
      <c r="B29" s="91" t="n">
        <f aca="false">C15</f>
        <v>30</v>
      </c>
      <c r="C29" s="95" t="n">
        <f aca="false">B29*(1+S15)^5*'Weapons Sleeve'!$B$6</f>
        <v>61.8156464179688</v>
      </c>
      <c r="D29" s="68" t="n">
        <f aca="false">C29/B29</f>
        <v>2.06052154726563</v>
      </c>
      <c r="E29" s="46" t="n">
        <f aca="false">(C29/B29)^(1/5)-1</f>
        <v>0.15556780103943</v>
      </c>
      <c r="F29" s="95" t="n">
        <f aca="false">B29*(1+T15)^5*'Weapons Sleeve'!$B$6</f>
        <v>96.3239316219777</v>
      </c>
      <c r="G29" s="68" t="n">
        <f aca="false">F29/B29</f>
        <v>3.21079772073259</v>
      </c>
      <c r="H29" s="46" t="n">
        <f aca="false">(F29/B29)^(1/5)-1</f>
        <v>0.262765154497556</v>
      </c>
      <c r="I29" s="95" t="n">
        <f aca="false">B29*(1+U15)^5*'Weapons Sleeve'!$B$6</f>
        <v>37.2847869476342</v>
      </c>
      <c r="J29" s="68" t="n">
        <f aca="false">I29/B29</f>
        <v>1.24282623158781</v>
      </c>
      <c r="K29" s="46" t="n">
        <f aca="false">(I29/B29)^(1/5)-1</f>
        <v>0.0444365997479785</v>
      </c>
      <c r="L29" s="96" t="n">
        <f aca="false">B29*(1+V15)^5*'Weapons Sleeve'!$B$6</f>
        <v>101.69100615935</v>
      </c>
      <c r="M29" s="69" t="n">
        <f aca="false">L29/B29</f>
        <v>3.38970020531165</v>
      </c>
      <c r="N29" s="71" t="n">
        <f aca="false">(L29/B29)^(1/5)-1</f>
        <v>0.276533621914196</v>
      </c>
    </row>
    <row r="30" customFormat="false" ht="15" hidden="false" customHeight="true" outlineLevel="0" collapsed="false">
      <c r="A30" s="90" t="str">
        <f aca="false">A16</f>
        <v>Heckler &amp; Koch</v>
      </c>
      <c r="B30" s="91" t="n">
        <f aca="false">C16</f>
        <v>35</v>
      </c>
      <c r="C30" s="95" t="n">
        <f aca="false">B30*(1+S16)^5*'Weapons Sleeve'!$B$6</f>
        <v>60.6506108593919</v>
      </c>
      <c r="D30" s="68" t="n">
        <f aca="false">C30/B30</f>
        <v>1.73287459598263</v>
      </c>
      <c r="E30" s="46" t="n">
        <f aca="false">(C30/B30)^(1/5)-1</f>
        <v>0.116229322706173</v>
      </c>
      <c r="F30" s="95" t="n">
        <f aca="false">B30*(1+T16)^5*'Weapons Sleeve'!$B$6</f>
        <v>88.4632642838397</v>
      </c>
      <c r="G30" s="68" t="n">
        <f aca="false">F30/B30</f>
        <v>2.52752183668113</v>
      </c>
      <c r="H30" s="46" t="n">
        <f aca="false">(F30/B30)^(1/5)-1</f>
        <v>0.20375743699767</v>
      </c>
      <c r="I30" s="95" t="n">
        <f aca="false">B30*(1+U16)^5*'Weapons Sleeve'!$B$6</f>
        <v>41.4891531887458</v>
      </c>
      <c r="J30" s="68" t="n">
        <f aca="false">I30/B30</f>
        <v>1.18540437682131</v>
      </c>
      <c r="K30" s="46" t="n">
        <f aca="false">(I30/B30)^(1/5)-1</f>
        <v>0.0346019801646642</v>
      </c>
      <c r="L30" s="96" t="n">
        <f aca="false">B30*(1+V16)^5*'Weapons Sleeve'!$B$6</f>
        <v>93.6395019526076</v>
      </c>
      <c r="M30" s="69" t="n">
        <f aca="false">L30/B30</f>
        <v>2.67541434150307</v>
      </c>
      <c r="N30" s="71" t="n">
        <f aca="false">(L30/B30)^(1/5)-1</f>
        <v>0.21752590441431</v>
      </c>
    </row>
    <row r="31" customFormat="false" ht="15" hidden="false" customHeight="true" outlineLevel="0" collapsed="false">
      <c r="A31" s="90" t="str">
        <f aca="false">A17</f>
        <v>Helicon Chemical</v>
      </c>
      <c r="B31" s="91" t="n">
        <f aca="false">C17</f>
        <v>40</v>
      </c>
      <c r="C31" s="95" t="n">
        <f aca="false">B31*(1+S17)^5*'Weapons Sleeve'!$B$6</f>
        <v>136.635824</v>
      </c>
      <c r="D31" s="68" t="n">
        <f aca="false">C31/B31</f>
        <v>3.4158956</v>
      </c>
      <c r="E31" s="46" t="n">
        <f aca="false">(C31/B31)^(1/5)-1</f>
        <v>0.278500545830859</v>
      </c>
      <c r="F31" s="95" t="n">
        <f aca="false">B31*(1+T17)^5*'Weapons Sleeve'!$B$6</f>
        <v>254.323720755714</v>
      </c>
      <c r="G31" s="68" t="n">
        <f aca="false">F31/B31</f>
        <v>6.35809301889286</v>
      </c>
      <c r="H31" s="46" t="n">
        <f aca="false">(F31/B31)^(1/5)-1</f>
        <v>0.447656002663865</v>
      </c>
      <c r="I31" s="95" t="n">
        <f aca="false">B31*(1+U17)^5*'Weapons Sleeve'!$B$6</f>
        <v>43.9184086824993</v>
      </c>
      <c r="J31" s="68" t="n">
        <f aca="false">I31/B31</f>
        <v>1.09796021706248</v>
      </c>
      <c r="K31" s="46" t="n">
        <f aca="false">(I31/B31)^(1/5)-1</f>
        <v>0.0188665888313613</v>
      </c>
      <c r="L31" s="96" t="n">
        <f aca="false">B31*(1+V17)^5*'Weapons Sleeve'!$B$6</f>
        <v>264.860578561348</v>
      </c>
      <c r="M31" s="69" t="n">
        <f aca="false">L31/B31</f>
        <v>6.62151446403371</v>
      </c>
      <c r="N31" s="71" t="n">
        <f aca="false">(L31/B31)^(1/5)-1</f>
        <v>0.459457546163842</v>
      </c>
    </row>
    <row r="32" customFormat="false" ht="15" hidden="false" customHeight="true" outlineLevel="0" collapsed="false">
      <c r="A32" s="90" t="str">
        <f aca="false">A18</f>
        <v>The Ellwood Group</v>
      </c>
      <c r="B32" s="91" t="n">
        <f aca="false">C18</f>
        <v>50</v>
      </c>
      <c r="C32" s="95" t="n">
        <f aca="false">B32*(1+S18)^5*'Weapons Sleeve'!$B$6</f>
        <v>93.5324912501803</v>
      </c>
      <c r="D32" s="68" t="n">
        <f aca="false">C32/B32</f>
        <v>1.87064982500361</v>
      </c>
      <c r="E32" s="46" t="n">
        <f aca="false">(C32/B32)^(1/5)-1</f>
        <v>0.133439906976973</v>
      </c>
      <c r="F32" s="95" t="n">
        <f aca="false">B32*(1+T18)^5*'Weapons Sleeve'!$B$6</f>
        <v>143.782499372958</v>
      </c>
      <c r="G32" s="68" t="n">
        <f aca="false">F32/B32</f>
        <v>2.87564998745915</v>
      </c>
      <c r="H32" s="46" t="n">
        <f aca="false">(F32/B32)^(1/5)-1</f>
        <v>0.235228219664276</v>
      </c>
      <c r="I32" s="95" t="n">
        <f aca="false">B32*(1+U18)^5*'Weapons Sleeve'!$B$6</f>
        <v>60.9798245064914</v>
      </c>
      <c r="J32" s="68" t="n">
        <f aca="false">I32/B32</f>
        <v>1.21959649012983</v>
      </c>
      <c r="K32" s="46" t="n">
        <f aca="false">(I32/B32)^(1/5)-1</f>
        <v>0.0405027519146528</v>
      </c>
      <c r="L32" s="96" t="n">
        <f aca="false">B32*(1+V18)^5*'Weapons Sleeve'!$B$6</f>
        <v>144.355794097311</v>
      </c>
      <c r="M32" s="69" t="n">
        <f aca="false">L32/B32</f>
        <v>2.88711588194621</v>
      </c>
      <c r="N32" s="71" t="n">
        <f aca="false">(L32/B32)^(1/5)-1</f>
        <v>0.236211681622607</v>
      </c>
    </row>
    <row r="33" customFormat="false" ht="15" hidden="false" customHeight="true" outlineLevel="0" collapsed="false">
      <c r="A33" s="90" t="str">
        <f aca="false">A19</f>
        <v>Superior &amp; Grand Valley</v>
      </c>
      <c r="B33" s="91" t="n">
        <f aca="false">C19</f>
        <v>31</v>
      </c>
      <c r="C33" s="95" t="n">
        <f aca="false">B33*(1+S19)^5*'Weapons Sleeve'!$B$6</f>
        <v>57.9901445751118</v>
      </c>
      <c r="D33" s="68" t="n">
        <f aca="false">C33/B33</f>
        <v>1.87064982500361</v>
      </c>
      <c r="E33" s="46" t="n">
        <f aca="false">(C33/B33)^(1/5)-1</f>
        <v>0.133439906976973</v>
      </c>
      <c r="F33" s="95" t="n">
        <f aca="false">B33*(1+T19)^5*'Weapons Sleeve'!$B$6</f>
        <v>85.6524387131028</v>
      </c>
      <c r="G33" s="68" t="n">
        <f aca="false">F33/B33</f>
        <v>2.76298189397106</v>
      </c>
      <c r="H33" s="46" t="n">
        <f aca="false">(F33/B33)^(1/5)-1</f>
        <v>0.225393600080962</v>
      </c>
      <c r="I33" s="95" t="n">
        <f aca="false">B33*(1+U19)^5*'Weapons Sleeve'!$B$6</f>
        <v>36.0542058855308</v>
      </c>
      <c r="J33" s="68" t="n">
        <f aca="false">I33/B33</f>
        <v>1.16303889953325</v>
      </c>
      <c r="K33" s="46" t="n">
        <f aca="false">(I33/B33)^(1/5)-1</f>
        <v>0.0306681323313385</v>
      </c>
      <c r="L33" s="96" t="n">
        <f aca="false">B33*(1+V19)^5*'Weapons Sleeve'!$B$6</f>
        <v>85.9967004825563</v>
      </c>
      <c r="M33" s="69" t="n">
        <f aca="false">L33/B33</f>
        <v>2.77408711234053</v>
      </c>
      <c r="N33" s="71" t="n">
        <f aca="false">(L33/B33)^(1/5)-1</f>
        <v>0.226377062039293</v>
      </c>
    </row>
    <row r="34" customFormat="false" ht="15" hidden="false" customHeight="true" outlineLevel="0" collapsed="false">
      <c r="A34" s="90" t="str">
        <f aca="false">A20</f>
        <v>Applied Research Assoc.</v>
      </c>
      <c r="B34" s="91" t="n">
        <f aca="false">C20</f>
        <v>40</v>
      </c>
      <c r="C34" s="95" t="n">
        <f aca="false">B34*(1+S20)^5*'Weapons Sleeve'!$B$6</f>
        <v>74.8259930001443</v>
      </c>
      <c r="D34" s="68" t="n">
        <f aca="false">C34/B34</f>
        <v>1.87064982500361</v>
      </c>
      <c r="E34" s="46" t="n">
        <f aca="false">(C34/B34)^(1/5)-1</f>
        <v>0.133439906976973</v>
      </c>
      <c r="F34" s="95" t="n">
        <f aca="false">B34*(1+T20)^5*'Weapons Sleeve'!$B$6</f>
        <v>107.88380229632</v>
      </c>
      <c r="G34" s="68" t="n">
        <f aca="false">F34/B34</f>
        <v>2.697095057408</v>
      </c>
      <c r="H34" s="46" t="n">
        <f aca="false">(F34/B34)^(1/5)-1</f>
        <v>0.219492828330973</v>
      </c>
      <c r="I34" s="95" t="n">
        <f aca="false">B34*(1+U20)^5*'Weapons Sleeve'!$B$6</f>
        <v>51.61390368976</v>
      </c>
      <c r="J34" s="68" t="n">
        <f aca="false">I34/B34</f>
        <v>1.290347592244</v>
      </c>
      <c r="K34" s="46" t="n">
        <f aca="false">(I34/B34)^(1/5)-1</f>
        <v>0.05230429541463</v>
      </c>
      <c r="L34" s="96" t="n">
        <f aca="false">B34*(1+V20)^5*'Weapons Sleeve'!$B$6</f>
        <v>114.568822018865</v>
      </c>
      <c r="M34" s="69" t="n">
        <f aca="false">L34/B34</f>
        <v>2.86422055047162</v>
      </c>
      <c r="N34" s="71" t="n">
        <f aca="false">(L34/B34)^(1/5)-1</f>
        <v>0.234244757705944</v>
      </c>
    </row>
    <row r="35" customFormat="false" ht="15" hidden="false" customHeight="true" outlineLevel="0" collapsed="false">
      <c r="A35" s="90" t="str">
        <f aca="false">A21</f>
        <v>Faxon Machining</v>
      </c>
      <c r="B35" s="91" t="n">
        <f aca="false">C21</f>
        <v>9</v>
      </c>
      <c r="C35" s="95" t="n">
        <f aca="false">B35*(1+S21)^5*'Weapons Sleeve'!$B$6</f>
        <v>18.0917091503932</v>
      </c>
      <c r="D35" s="68" t="n">
        <f aca="false">C35/B35</f>
        <v>2.01018990559924</v>
      </c>
      <c r="E35" s="46" t="n">
        <f aca="false">(C35/B35)^(1/5)-1</f>
        <v>0.149866489560477</v>
      </c>
      <c r="F35" s="95" t="n">
        <f aca="false">B35*(1+T21)^5*'Weapons Sleeve'!$B$6</f>
        <v>34.4831264997212</v>
      </c>
      <c r="G35" s="68" t="n">
        <f aca="false">F35/B35</f>
        <v>3.83145849996902</v>
      </c>
      <c r="H35" s="46" t="n">
        <f aca="false">(F35/B35)^(1/5)-1</f>
        <v>0.308196025006215</v>
      </c>
      <c r="I35" s="95" t="n">
        <f aca="false">B35*(1+U21)^5*'Weapons Sleeve'!$B$6</f>
        <v>5.55276842801235</v>
      </c>
      <c r="J35" s="68" t="n">
        <f aca="false">I35/B35</f>
        <v>0.61697426977915</v>
      </c>
      <c r="K35" s="46" t="n">
        <f aca="false">(I35/B35)^(1/5)-1</f>
        <v>-0.0920678171101024</v>
      </c>
      <c r="L35" s="96" t="n">
        <f aca="false">B35*(1+V21)^5*'Weapons Sleeve'!$B$6</f>
        <v>34.3351625174457</v>
      </c>
      <c r="M35" s="69" t="n">
        <f aca="false">L35/B35</f>
        <v>3.81501805749396</v>
      </c>
      <c r="N35" s="71" t="n">
        <f aca="false">(L35/B35)^(1/5)-1</f>
        <v>0.3070714229149</v>
      </c>
    </row>
    <row r="36" customFormat="false" ht="15" hidden="false" customHeight="true" outlineLevel="0" collapsed="false">
      <c r="A36" s="86" t="s">
        <v>399</v>
      </c>
      <c r="B36" s="97" t="n">
        <f aca="false">SUM(B26:B35)</f>
        <v>390</v>
      </c>
      <c r="C36" s="97" t="n">
        <f aca="false">SUM(C26:C35)</f>
        <v>936.98016385079</v>
      </c>
      <c r="D36" s="98" t="n">
        <f aca="false">C36/B36</f>
        <v>2.40251324064305</v>
      </c>
      <c r="E36" s="99" t="n">
        <f aca="false">(C36/B36)^(1/5)-1</f>
        <v>0.191607307808727</v>
      </c>
      <c r="F36" s="97" t="n">
        <f aca="false">SUM(F26:F35)</f>
        <v>1556.06126140986</v>
      </c>
      <c r="G36" s="98" t="n">
        <f aca="false">F36/B36</f>
        <v>3.9899006702817</v>
      </c>
      <c r="H36" s="99" t="n">
        <f aca="false">(F36/B36)^(1/5)-1</f>
        <v>0.31884092955315</v>
      </c>
      <c r="I36" s="97" t="n">
        <f aca="false">SUM(I26:I35)</f>
        <v>438.419656659869</v>
      </c>
      <c r="J36" s="98" t="n">
        <f aca="false">I36/B36</f>
        <v>1.12415296579454</v>
      </c>
      <c r="K36" s="99" t="n">
        <f aca="false">(I36/B36)^(1/5)-1</f>
        <v>0.0236820358725416</v>
      </c>
      <c r="L36" s="100" t="n">
        <f aca="false">SUM(L26:L35)</f>
        <v>1558.98355820907</v>
      </c>
      <c r="M36" s="101" t="n">
        <f aca="false">L36/B36</f>
        <v>3.9973937389976</v>
      </c>
      <c r="N36" s="102" t="n">
        <f aca="false">(L36/B36)^(1/5)-1</f>
        <v>0.319335916840433</v>
      </c>
    </row>
    <row r="37" customFormat="false" ht="1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true" outlineLevel="0" collapsed="false">
      <c r="A39" s="60" t="s">
        <v>457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27.75" hidden="false" customHeight="true" outlineLevel="0" collapsed="false">
      <c r="A40" s="43" t="s">
        <v>246</v>
      </c>
      <c r="B40" s="43" t="s">
        <v>248</v>
      </c>
      <c r="C40" s="43" t="s">
        <v>356</v>
      </c>
      <c r="D40" s="43" t="s">
        <v>357</v>
      </c>
      <c r="E40" s="43" t="s">
        <v>358</v>
      </c>
      <c r="F40" s="43" t="s">
        <v>359</v>
      </c>
      <c r="G40" s="43" t="s">
        <v>360</v>
      </c>
      <c r="H40" s="43" t="s">
        <v>361</v>
      </c>
      <c r="I40" s="43" t="s">
        <v>362</v>
      </c>
      <c r="J40" s="43" t="s">
        <v>363</v>
      </c>
      <c r="K40" s="43" t="s">
        <v>364</v>
      </c>
      <c r="L40" s="53" t="s">
        <v>365</v>
      </c>
      <c r="M40" s="53" t="s">
        <v>366</v>
      </c>
      <c r="N40" s="53" t="s">
        <v>367</v>
      </c>
    </row>
    <row r="41" customFormat="false" ht="15" hidden="false" customHeight="true" outlineLevel="0" collapsed="false">
      <c r="A41" s="90" t="str">
        <f aca="false">A12</f>
        <v>Saronic</v>
      </c>
      <c r="B41" s="91" t="n">
        <f aca="false">C12</f>
        <v>70</v>
      </c>
      <c r="C41" s="95" t="n">
        <f aca="false">B41*(1+S12)^7*'Weapons Sleeve'!$B$7</f>
        <v>332.801480194592</v>
      </c>
      <c r="D41" s="68" t="n">
        <f aca="false">C41/B41</f>
        <v>4.75430685992275</v>
      </c>
      <c r="E41" s="46" t="n">
        <f aca="false">(C41/B41)^(1/7)-1</f>
        <v>0.249472621173463</v>
      </c>
      <c r="F41" s="95" t="n">
        <f aca="false">B41*(1+T12)^7*'Weapons Sleeve'!$B$7</f>
        <v>717.132034248813</v>
      </c>
      <c r="G41" s="68" t="n">
        <f aca="false">F41/B41</f>
        <v>10.2447433464116</v>
      </c>
      <c r="H41" s="46" t="n">
        <f aca="false">(F41/B41)^(1/7)-1</f>
        <v>0.394303435808502</v>
      </c>
      <c r="I41" s="95" t="n">
        <f aca="false">B41*(1+U12)^7*'Weapons Sleeve'!$B$7</f>
        <v>66.0435376897918</v>
      </c>
      <c r="J41" s="68" t="n">
        <f aca="false">I41/B41</f>
        <v>0.943479109854169</v>
      </c>
      <c r="K41" s="46" t="n">
        <f aca="false">(I41/B41)^(1/7)-1</f>
        <v>-0.00827713368550243</v>
      </c>
      <c r="L41" s="96" t="n">
        <f aca="false">B41*(1+V12)^7*'Weapons Sleeve'!$B$7</f>
        <v>633.286405684026</v>
      </c>
      <c r="M41" s="69" t="n">
        <f aca="false">L41/B41</f>
        <v>9.04694865262895</v>
      </c>
      <c r="N41" s="71" t="n">
        <f aca="false">(L41/B41)^(1/7)-1</f>
        <v>0.369755840107648</v>
      </c>
    </row>
    <row r="42" customFormat="false" ht="15" hidden="false" customHeight="true" outlineLevel="0" collapsed="false">
      <c r="A42" s="90" t="str">
        <f aca="false">A13</f>
        <v>Epirus</v>
      </c>
      <c r="B42" s="91" t="n">
        <f aca="false">C13</f>
        <v>45</v>
      </c>
      <c r="C42" s="95" t="n">
        <f aca="false">B42*(1+S13)^7*'Weapons Sleeve'!$B$7</f>
        <v>194.178555773109</v>
      </c>
      <c r="D42" s="68" t="n">
        <f aca="false">C42/B42</f>
        <v>4.3150790171802</v>
      </c>
      <c r="E42" s="46" t="n">
        <f aca="false">(C42/B42)^(1/7)-1</f>
        <v>0.232289304182866</v>
      </c>
      <c r="F42" s="95" t="n">
        <f aca="false">B42*(1+T13)^7*'Weapons Sleeve'!$B$7</f>
        <v>425.858127807516</v>
      </c>
      <c r="G42" s="68" t="n">
        <f aca="false">F42/B42</f>
        <v>9.46351395127813</v>
      </c>
      <c r="H42" s="46" t="n">
        <f aca="false">(F42/B42)^(1/7)-1</f>
        <v>0.378592974559955</v>
      </c>
      <c r="I42" s="95" t="n">
        <f aca="false">B42*(1+U13)^7*'Weapons Sleeve'!$B$7</f>
        <v>37.4349184178787</v>
      </c>
      <c r="J42" s="68" t="n">
        <f aca="false">I42/B42</f>
        <v>0.83188707595286</v>
      </c>
      <c r="K42" s="46" t="n">
        <f aca="false">(I42/B42)^(1/7)-1</f>
        <v>-0.0259514025901172</v>
      </c>
      <c r="L42" s="96" t="n">
        <f aca="false">B42*(1+V13)^7*'Weapons Sleeve'!$B$7</f>
        <v>456.487407618882</v>
      </c>
      <c r="M42" s="69" t="n">
        <f aca="false">L42/B42</f>
        <v>10.1441646137529</v>
      </c>
      <c r="N42" s="71" t="n">
        <f aca="false">(L42/B42)^(1/7)-1</f>
        <v>0.392339628152433</v>
      </c>
    </row>
    <row r="43" customFormat="false" ht="15" hidden="false" customHeight="true" outlineLevel="0" collapsed="false">
      <c r="A43" s="90" t="str">
        <f aca="false">A14</f>
        <v>Israel Aerospace Ind.</v>
      </c>
      <c r="B43" s="91" t="n">
        <f aca="false">C14</f>
        <v>40</v>
      </c>
      <c r="C43" s="95" t="n">
        <f aca="false">B43*(1+S14)^7*'Weapons Sleeve'!$B$7</f>
        <v>122.494898018438</v>
      </c>
      <c r="D43" s="68" t="n">
        <f aca="false">C43/B43</f>
        <v>3.06237245046096</v>
      </c>
      <c r="E43" s="46" t="n">
        <f aca="false">(C43/B43)^(1/7)-1</f>
        <v>0.173375074500816</v>
      </c>
      <c r="F43" s="95" t="n">
        <f aca="false">B43*(1+T14)^7*'Weapons Sleeve'!$B$7</f>
        <v>245.787720546779</v>
      </c>
      <c r="G43" s="68" t="n">
        <f aca="false">F43/B43</f>
        <v>6.14469301366948</v>
      </c>
      <c r="H43" s="46" t="n">
        <f aca="false">(F43/B43)^(1/7)-1</f>
        <v>0.296113053005086</v>
      </c>
      <c r="I43" s="95" t="n">
        <f aca="false">B43*(1+U14)^7*'Weapons Sleeve'!$B$7</f>
        <v>60.3266142610391</v>
      </c>
      <c r="J43" s="68" t="n">
        <f aca="false">I43/B43</f>
        <v>1.50816535652598</v>
      </c>
      <c r="K43" s="46" t="n">
        <f aca="false">(I43/B43)^(1/7)-1</f>
        <v>0.0604561342768886</v>
      </c>
      <c r="L43" s="96" t="n">
        <f aca="false">B43*(1+V14)^7*'Weapons Sleeve'!$B$7</f>
        <v>233.046042909086</v>
      </c>
      <c r="M43" s="69" t="n">
        <f aca="false">L43/B43</f>
        <v>5.82615107272714</v>
      </c>
      <c r="N43" s="71" t="n">
        <f aca="false">(L43/B43)^(1/7)-1</f>
        <v>0.286294014724744</v>
      </c>
    </row>
    <row r="44" customFormat="false" ht="15" hidden="false" customHeight="true" outlineLevel="0" collapsed="false">
      <c r="A44" s="90" t="str">
        <f aca="false">A15</f>
        <v>Elta Systems</v>
      </c>
      <c r="B44" s="91" t="n">
        <f aca="false">C15</f>
        <v>30</v>
      </c>
      <c r="C44" s="95" t="n">
        <f aca="false">B44*(1+S15)^7*'Weapons Sleeve'!$B$7</f>
        <v>81.6336082777295</v>
      </c>
      <c r="D44" s="68" t="n">
        <f aca="false">C44/B44</f>
        <v>2.72112027592432</v>
      </c>
      <c r="E44" s="46" t="n">
        <f aca="false">(C44/B44)^(1/7)-1</f>
        <v>0.153736997940134</v>
      </c>
      <c r="F44" s="95" t="n">
        <f aca="false">B44*(1+T15)^7*'Weapons Sleeve'!$B$7</f>
        <v>151.900461385548</v>
      </c>
      <c r="G44" s="68" t="n">
        <f aca="false">F44/B44</f>
        <v>5.06334871285158</v>
      </c>
      <c r="H44" s="46" t="n">
        <f aca="false">(F44/B44)^(1/7)-1</f>
        <v>0.260764515195856</v>
      </c>
      <c r="I44" s="95" t="n">
        <f aca="false">B44*(1+U15)^7*'Weapons Sleeve'!$B$7</f>
        <v>40.2231005001602</v>
      </c>
      <c r="J44" s="68" t="n">
        <f aca="false">I44/B44</f>
        <v>1.34077001667201</v>
      </c>
      <c r="K44" s="46" t="n">
        <f aca="false">(I44/B44)^(1/7)-1</f>
        <v>0.0427818653722738</v>
      </c>
      <c r="L44" s="96" t="n">
        <f aca="false">B44*(1+V15)^7*'Weapons Sleeve'!$B$7</f>
        <v>163.880308987327</v>
      </c>
      <c r="M44" s="69" t="n">
        <f aca="false">L44/B44</f>
        <v>5.46267696624424</v>
      </c>
      <c r="N44" s="71" t="n">
        <f aca="false">(L44/B44)^(1/7)-1</f>
        <v>0.274511168788335</v>
      </c>
    </row>
    <row r="45" customFormat="false" ht="15" hidden="false" customHeight="true" outlineLevel="0" collapsed="false">
      <c r="A45" s="90" t="str">
        <f aca="false">A16</f>
        <v>Heckler &amp; Koch</v>
      </c>
      <c r="B45" s="91" t="n">
        <f aca="false">C16</f>
        <v>35</v>
      </c>
      <c r="C45" s="95" t="n">
        <f aca="false">B45*(1+S16)^7*'Weapons Sleeve'!$B$7</f>
        <v>74.734605645021</v>
      </c>
      <c r="D45" s="68" t="n">
        <f aca="false">C45/B45</f>
        <v>2.1352744470006</v>
      </c>
      <c r="E45" s="46" t="n">
        <f aca="false">(C45/B45)^(1/7)-1</f>
        <v>0.114460844818767</v>
      </c>
      <c r="F45" s="95" t="n">
        <f aca="false">B45*(1+T16)^7*'Weapons Sleeve'!$B$7</f>
        <v>126.771211630327</v>
      </c>
      <c r="G45" s="68" t="n">
        <f aca="false">F45/B45</f>
        <v>3.62203461800935</v>
      </c>
      <c r="H45" s="46" t="n">
        <f aca="false">(F45/B45)^(1/7)-1</f>
        <v>0.201850285513807</v>
      </c>
      <c r="I45" s="95" t="n">
        <f aca="false">B45*(1+U16)^7*'Weapons Sleeve'!$B$7</f>
        <v>43.919854756224</v>
      </c>
      <c r="J45" s="68" t="n">
        <f aca="false">I45/B45</f>
        <v>1.25485299303497</v>
      </c>
      <c r="K45" s="46" t="n">
        <f aca="false">(I45/B45)^(1/7)-1</f>
        <v>0.0329628270919322</v>
      </c>
      <c r="L45" s="96" t="n">
        <f aca="false">B45*(1+V16)^7*'Weapons Sleeve'!$B$7</f>
        <v>137.276193838015</v>
      </c>
      <c r="M45" s="69" t="n">
        <f aca="false">L45/B45</f>
        <v>3.92217696680044</v>
      </c>
      <c r="N45" s="71" t="n">
        <f aca="false">(L45/B45)^(1/7)-1</f>
        <v>0.215596939106285</v>
      </c>
    </row>
    <row r="46" customFormat="false" ht="15" hidden="false" customHeight="true" outlineLevel="0" collapsed="false">
      <c r="A46" s="90" t="str">
        <f aca="false">A17</f>
        <v>Helicon Chemical</v>
      </c>
      <c r="B46" s="91" t="n">
        <f aca="false">C17</f>
        <v>40</v>
      </c>
      <c r="C46" s="95" t="n">
        <f aca="false">B46*(1+S17)^7*'Weapons Sleeve'!$B$7</f>
        <v>220.87477984</v>
      </c>
      <c r="D46" s="68" t="n">
        <f aca="false">C46/B46</f>
        <v>5.521869496</v>
      </c>
      <c r="E46" s="46" t="n">
        <f aca="false">(C46/B46)^(1/7)-1</f>
        <v>0.276474976444403</v>
      </c>
      <c r="F46" s="95" t="n">
        <f aca="false">B46*(1+T17)^7*'Weapons Sleeve'!$B$7</f>
        <v>527.105239868996</v>
      </c>
      <c r="G46" s="68" t="n">
        <f aca="false">F46/B46</f>
        <v>13.1776309967249</v>
      </c>
      <c r="H46" s="46" t="n">
        <f aca="false">(F46/B46)^(1/7)-1</f>
        <v>0.445362434866278</v>
      </c>
      <c r="I46" s="95" t="n">
        <f aca="false">B46*(1+U17)^7*'Weapons Sleeve'!$B$7</f>
        <v>45.0879979146269</v>
      </c>
      <c r="J46" s="68" t="n">
        <f aca="false">I46/B46</f>
        <v>1.12719994786567</v>
      </c>
      <c r="K46" s="46" t="n">
        <f aca="false">(I46/B46)^(1/7)-1</f>
        <v>0.0172523658433856</v>
      </c>
      <c r="L46" s="96" t="n">
        <f aca="false">B46*(1+V17)^7*'Weapons Sleeve'!$B$7</f>
        <v>557.930328808888</v>
      </c>
      <c r="M46" s="69" t="n">
        <f aca="false">L46/B46</f>
        <v>13.9482582202222</v>
      </c>
      <c r="N46" s="71" t="n">
        <f aca="false">(L46/B46)^(1/7)-1</f>
        <v>0.457145280802687</v>
      </c>
    </row>
    <row r="47" customFormat="false" ht="15" hidden="false" customHeight="true" outlineLevel="0" collapsed="false">
      <c r="A47" s="90" t="str">
        <f aca="false">A18</f>
        <v>The Ellwood Group</v>
      </c>
      <c r="B47" s="91" t="n">
        <f aca="false">C18</f>
        <v>50</v>
      </c>
      <c r="C47" s="95" t="n">
        <f aca="false">B47*(1+S18)^7*'Weapons Sleeve'!$B$7</f>
        <v>118.833589294987</v>
      </c>
      <c r="D47" s="68" t="n">
        <f aca="false">C47/B47</f>
        <v>2.37667178589973</v>
      </c>
      <c r="E47" s="46" t="n">
        <f aca="false">(C47/B47)^(1/7)-1</f>
        <v>0.131644161809365</v>
      </c>
      <c r="F47" s="95" t="n">
        <f aca="false">B47*(1+T18)^7*'Weapons Sleeve'!$B$7</f>
        <v>216.96023984687</v>
      </c>
      <c r="G47" s="68" t="n">
        <f aca="false">F47/B47</f>
        <v>4.33920479693739</v>
      </c>
      <c r="H47" s="46" t="n">
        <f aca="false">(F47/B47)^(1/7)-1</f>
        <v>0.2332712080109</v>
      </c>
      <c r="I47" s="95" t="n">
        <f aca="false">B47*(1+U18)^7*'Weapons Sleeve'!$B$7</f>
        <v>65.2908541798023</v>
      </c>
      <c r="J47" s="68" t="n">
        <f aca="false">I47/B47</f>
        <v>1.30581708359605</v>
      </c>
      <c r="K47" s="46" t="n">
        <f aca="false">(I47/B47)^(1/7)-1</f>
        <v>0.0388542500601372</v>
      </c>
      <c r="L47" s="96" t="n">
        <f aca="false">B47*(1+V18)^7*'Weapons Sleeve'!$B$7</f>
        <v>218.172305146459</v>
      </c>
      <c r="M47" s="69" t="n">
        <f aca="false">L47/B47</f>
        <v>4.36344610292918</v>
      </c>
      <c r="N47" s="71" t="n">
        <f aca="false">(L47/B47)^(1/7)-1</f>
        <v>0.234253111838934</v>
      </c>
    </row>
    <row r="48" customFormat="false" ht="15" hidden="false" customHeight="true" outlineLevel="0" collapsed="false">
      <c r="A48" s="90" t="str">
        <f aca="false">A19</f>
        <v>Superior &amp; Grand Valley</v>
      </c>
      <c r="B48" s="91" t="n">
        <f aca="false">C19</f>
        <v>31</v>
      </c>
      <c r="C48" s="95" t="n">
        <f aca="false">B48*(1+S19)^7*'Weapons Sleeve'!$B$7</f>
        <v>73.6768253628917</v>
      </c>
      <c r="D48" s="68" t="n">
        <f aca="false">C48/B48</f>
        <v>2.37667178589973</v>
      </c>
      <c r="E48" s="46" t="n">
        <f aca="false">(C48/B48)^(1/7)-1</f>
        <v>0.131644161809365</v>
      </c>
      <c r="F48" s="95" t="n">
        <f aca="false">B48*(1+T19)^7*'Weapons Sleeve'!$B$7</f>
        <v>127.195182343672</v>
      </c>
      <c r="G48" s="68" t="n">
        <f aca="false">F48/B48</f>
        <v>4.10307039818296</v>
      </c>
      <c r="H48" s="46" t="n">
        <f aca="false">(F48/B48)^(1/7)-1</f>
        <v>0.223452169730558</v>
      </c>
      <c r="I48" s="95" t="n">
        <f aca="false">B48*(1+U19)^7*'Weapons Sleeve'!$B$7</f>
        <v>37.8768055608628</v>
      </c>
      <c r="J48" s="68" t="n">
        <f aca="false">I48/B48</f>
        <v>1.22183243744719</v>
      </c>
      <c r="K48" s="46" t="n">
        <f aca="false">(I48/B48)^(1/7)-1</f>
        <v>0.0290352117797956</v>
      </c>
      <c r="L48" s="96" t="n">
        <f aca="false">B48*(1+V19)^7*'Weapons Sleeve'!$B$7</f>
        <v>127.91148481978</v>
      </c>
      <c r="M48" s="69" t="n">
        <f aca="false">L48/B48</f>
        <v>4.12617692967033</v>
      </c>
      <c r="N48" s="71" t="n">
        <f aca="false">(L48/B48)^(1/7)-1</f>
        <v>0.224434073558592</v>
      </c>
    </row>
    <row r="49" customFormat="false" ht="15" hidden="false" customHeight="true" outlineLevel="0" collapsed="false">
      <c r="A49" s="90" t="str">
        <f aca="false">A20</f>
        <v>Applied Research Assoc.</v>
      </c>
      <c r="B49" s="91" t="n">
        <f aca="false">C20</f>
        <v>40</v>
      </c>
      <c r="C49" s="95" t="n">
        <f aca="false">B49*(1+S20)^7*'Weapons Sleeve'!$B$7</f>
        <v>95.0668714359893</v>
      </c>
      <c r="D49" s="68" t="n">
        <f aca="false">C49/B49</f>
        <v>2.37667178589973</v>
      </c>
      <c r="E49" s="46" t="n">
        <f aca="false">(C49/B49)^(1/7)-1</f>
        <v>0.131644161809365</v>
      </c>
      <c r="F49" s="95" t="n">
        <f aca="false">B49*(1+T20)^7*'Weapons Sleeve'!$B$7</f>
        <v>158.669867697308</v>
      </c>
      <c r="G49" s="68" t="n">
        <f aca="false">F49/B49</f>
        <v>3.96674669243269</v>
      </c>
      <c r="H49" s="46" t="n">
        <f aca="false">(F49/B49)^(1/7)-1</f>
        <v>0.217560746762353</v>
      </c>
      <c r="I49" s="95" t="n">
        <f aca="false">B49*(1+U20)^7*'Weapons Sleeve'!$B$7</f>
        <v>56.5235079720408</v>
      </c>
      <c r="J49" s="68" t="n">
        <f aca="false">I49/B49</f>
        <v>1.41308769930102</v>
      </c>
      <c r="K49" s="46" t="n">
        <f aca="false">(I49/B49)^(1/7)-1</f>
        <v>0.050637095996547</v>
      </c>
      <c r="L49" s="96" t="n">
        <f aca="false">B49*(1+V20)^7*'Weapons Sleeve'!$B$7</f>
        <v>172.603160687208</v>
      </c>
      <c r="M49" s="69" t="n">
        <f aca="false">L49/B49</f>
        <v>4.3150790171802</v>
      </c>
      <c r="N49" s="71" t="n">
        <f aca="false">(L49/B49)^(1/7)-1</f>
        <v>0.232289304182866</v>
      </c>
    </row>
    <row r="50" customFormat="false" ht="15" hidden="false" customHeight="true" outlineLevel="0" collapsed="false">
      <c r="A50" s="90" t="str">
        <f aca="false">A21</f>
        <v>Faxon Machining</v>
      </c>
      <c r="B50" s="91" t="n">
        <f aca="false">C21</f>
        <v>9</v>
      </c>
      <c r="C50" s="95" t="n">
        <f aca="false">B50*(1+S21)^7*'Weapons Sleeve'!$B$7</f>
        <v>23.6566991160678</v>
      </c>
      <c r="D50" s="68" t="n">
        <f aca="false">C50/B50</f>
        <v>2.62852212400753</v>
      </c>
      <c r="E50" s="46" t="n">
        <f aca="false">(C50/B50)^(1/7)-1</f>
        <v>0.148044719231665</v>
      </c>
      <c r="F50" s="95" t="n">
        <f aca="false">B50*(1+T21)^7*'Weapons Sleeve'!$B$7</f>
        <v>58.3622463674085</v>
      </c>
      <c r="G50" s="68" t="n">
        <f aca="false">F50/B50</f>
        <v>6.48469404082317</v>
      </c>
      <c r="H50" s="46" t="n">
        <f aca="false">(F50/B50)^(1/7)-1</f>
        <v>0.30612340812046</v>
      </c>
      <c r="I50" s="95" t="n">
        <f aca="false">B50*(1+U21)^7*'Weapons Sleeve'!$B$7</f>
        <v>4.52684992594265</v>
      </c>
      <c r="J50" s="68" t="n">
        <f aca="false">I50/B50</f>
        <v>0.502983325104739</v>
      </c>
      <c r="K50" s="46" t="n">
        <f aca="false">(I50/B50)^(1/7)-1</f>
        <v>-0.0935062831636656</v>
      </c>
      <c r="L50" s="96" t="n">
        <f aca="false">B50*(1+V21)^7*'Weapons Sleeve'!$B$7</f>
        <v>58.0119495215529</v>
      </c>
      <c r="M50" s="69" t="n">
        <f aca="false">L50/B50</f>
        <v>6.44577216906144</v>
      </c>
      <c r="N50" s="71" t="n">
        <f aca="false">(L50/B50)^(1/7)-1</f>
        <v>0.305000587772279</v>
      </c>
    </row>
    <row r="51" customFormat="false" ht="15" hidden="false" customHeight="true" outlineLevel="0" collapsed="false">
      <c r="A51" s="86" t="s">
        <v>399</v>
      </c>
      <c r="B51" s="97" t="n">
        <f aca="false">SUM(B41:B50)</f>
        <v>390</v>
      </c>
      <c r="C51" s="97" t="n">
        <f aca="false">SUM(C41:C50)</f>
        <v>1337.95191295883</v>
      </c>
      <c r="D51" s="98" t="n">
        <f aca="false">C51/B51</f>
        <v>3.43064593066365</v>
      </c>
      <c r="E51" s="99" t="n">
        <f aca="false">(C51/B51)^(1/7)-1</f>
        <v>0.192565581630973</v>
      </c>
      <c r="F51" s="97" t="n">
        <f aca="false">SUM(F41:F50)</f>
        <v>2755.74233174324</v>
      </c>
      <c r="G51" s="98" t="n">
        <f aca="false">F51/B51</f>
        <v>7.06600597882881</v>
      </c>
      <c r="H51" s="99" t="n">
        <f aca="false">(F51/B51)^(1/7)-1</f>
        <v>0.322240853523934</v>
      </c>
      <c r="I51" s="97" t="n">
        <f aca="false">SUM(I41:I50)</f>
        <v>457.254041178369</v>
      </c>
      <c r="J51" s="98" t="n">
        <f aca="false">I51/B51</f>
        <v>1.17244625943172</v>
      </c>
      <c r="K51" s="99" t="n">
        <f aca="false">(I51/B51)^(1/7)-1</f>
        <v>0.0229877207603559</v>
      </c>
      <c r="L51" s="100" t="n">
        <f aca="false">SUM(L41:L50)</f>
        <v>2758.60558802122</v>
      </c>
      <c r="M51" s="101" t="n">
        <f aca="false">L51/B51</f>
        <v>7.07334766159288</v>
      </c>
      <c r="N51" s="102" t="n">
        <f aca="false">(L51/B51)^(1/7)-1</f>
        <v>0.322437027249076</v>
      </c>
    </row>
    <row r="52" customFormat="false" ht="1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true" outlineLevel="0" collapsed="false">
      <c r="A54" s="60" t="s">
        <v>458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27.75" hidden="false" customHeight="true" outlineLevel="0" collapsed="false">
      <c r="A55" s="43" t="s">
        <v>246</v>
      </c>
      <c r="B55" s="43" t="s">
        <v>248</v>
      </c>
      <c r="C55" s="43" t="s">
        <v>356</v>
      </c>
      <c r="D55" s="43" t="s">
        <v>357</v>
      </c>
      <c r="E55" s="43" t="s">
        <v>358</v>
      </c>
      <c r="F55" s="43" t="s">
        <v>359</v>
      </c>
      <c r="G55" s="43" t="s">
        <v>360</v>
      </c>
      <c r="H55" s="43" t="s">
        <v>361</v>
      </c>
      <c r="I55" s="43" t="s">
        <v>362</v>
      </c>
      <c r="J55" s="43" t="s">
        <v>363</v>
      </c>
      <c r="K55" s="43" t="s">
        <v>364</v>
      </c>
      <c r="L55" s="53" t="s">
        <v>365</v>
      </c>
      <c r="M55" s="53" t="s">
        <v>366</v>
      </c>
      <c r="N55" s="53" t="s">
        <v>367</v>
      </c>
    </row>
    <row r="56" customFormat="false" ht="15" hidden="false" customHeight="true" outlineLevel="0" collapsed="false">
      <c r="A56" s="90" t="str">
        <f aca="false">A12</f>
        <v>Saronic</v>
      </c>
      <c r="B56" s="91" t="n">
        <f aca="false">C12</f>
        <v>70</v>
      </c>
      <c r="C56" s="95" t="n">
        <f aca="false">B56*(1+S12)^10*'Weapons Sleeve'!$B$8</f>
        <v>638.983733422645</v>
      </c>
      <c r="D56" s="68" t="n">
        <f aca="false">C56/B56</f>
        <v>9.12833904889493</v>
      </c>
      <c r="E56" s="46" t="n">
        <f aca="false">(C56/B56)^(1/10)-1</f>
        <v>0.247496041597239</v>
      </c>
      <c r="F56" s="95" t="n">
        <f aca="false">B56*(1+T12)^10*'Weapons Sleeve'!$B$8</f>
        <v>1913.35403343838</v>
      </c>
      <c r="G56" s="68" t="n">
        <f aca="false">F56/B56</f>
        <v>27.3336290491198</v>
      </c>
      <c r="H56" s="46" t="n">
        <f aca="false">(F56/B56)^(1/10)-1</f>
        <v>0.392097743864895</v>
      </c>
      <c r="I56" s="95" t="n">
        <f aca="false">B56*(1+U12)^10*'Weapons Sleeve'!$B$8</f>
        <v>63.4053099986031</v>
      </c>
      <c r="J56" s="68" t="n">
        <f aca="false">I56/B56</f>
        <v>0.905790142837188</v>
      </c>
      <c r="K56" s="46" t="n">
        <f aca="false">(I56/B56)^(1/10)-1</f>
        <v>-0.00984597091299699</v>
      </c>
      <c r="L56" s="96" t="n">
        <f aca="false">B56*(1+V12)^10*'Weapons Sleeve'!$B$8</f>
        <v>1601.96848645563</v>
      </c>
      <c r="M56" s="69" t="n">
        <f aca="false">L56/B56</f>
        <v>22.8852640922233</v>
      </c>
      <c r="N56" s="71" t="n">
        <f aca="false">(L56/B56)^(1/10)-1</f>
        <v>0.367588980768682</v>
      </c>
    </row>
    <row r="57" customFormat="false" ht="15" hidden="false" customHeight="true" outlineLevel="0" collapsed="false">
      <c r="A57" s="90" t="str">
        <f aca="false">A13</f>
        <v>Epirus</v>
      </c>
      <c r="B57" s="91" t="n">
        <f aca="false">C13</f>
        <v>45</v>
      </c>
      <c r="C57" s="95" t="n">
        <f aca="false">B57*(1+S13)^10*'Weapons Sleeve'!$B$8</f>
        <v>357.654442873762</v>
      </c>
      <c r="D57" s="68" t="n">
        <f aca="false">C57/B57</f>
        <v>7.94787650830583</v>
      </c>
      <c r="E57" s="46" t="n">
        <f aca="false">(C57/B57)^(1/10)-1</f>
        <v>0.23033990742989</v>
      </c>
      <c r="F57" s="95" t="n">
        <f aca="false">B57*(1+T13)^10*'Weapons Sleeve'!$B$8</f>
        <v>1098.2404718734</v>
      </c>
      <c r="G57" s="68" t="n">
        <f aca="false">F57/B57</f>
        <v>24.4053438194089</v>
      </c>
      <c r="H57" s="46" t="n">
        <f aca="false">(F57/B57)^(1/10)-1</f>
        <v>0.376412135483319</v>
      </c>
      <c r="I57" s="95" t="n">
        <f aca="false">B57*(1+U13)^10*'Weapons Sleeve'!$B$8</f>
        <v>34.052036301223</v>
      </c>
      <c r="J57" s="68" t="n">
        <f aca="false">I57/B57</f>
        <v>0.756711917804956</v>
      </c>
      <c r="K57" s="46" t="n">
        <f aca="false">(I57/B57)^(1/10)-1</f>
        <v>-0.0274922803422704</v>
      </c>
      <c r="L57" s="96" t="n">
        <f aca="false">B57*(1+V13)^10*'Weapons Sleeve'!$B$8</f>
        <v>1212.79856557103</v>
      </c>
      <c r="M57" s="69" t="n">
        <f aca="false">L57/B57</f>
        <v>26.9510792349117</v>
      </c>
      <c r="N57" s="71" t="n">
        <f aca="false">(L57/B57)^(1/10)-1</f>
        <v>0.390137042817198</v>
      </c>
    </row>
    <row r="58" customFormat="false" ht="15" hidden="false" customHeight="true" outlineLevel="0" collapsed="false">
      <c r="A58" s="90" t="str">
        <f aca="false">A14</f>
        <v>Israel Aerospace Ind.</v>
      </c>
      <c r="B58" s="91" t="n">
        <f aca="false">C14</f>
        <v>40</v>
      </c>
      <c r="C58" s="95" t="n">
        <f aca="false">B58*(1+S14)^10*'Weapons Sleeve'!$B$8</f>
        <v>194.783827988921</v>
      </c>
      <c r="D58" s="68" t="n">
        <f aca="false">C58/B58</f>
        <v>4.86959569972302</v>
      </c>
      <c r="E58" s="46" t="n">
        <f aca="false">(C58/B58)^(1/10)-1</f>
        <v>0.171518875998979</v>
      </c>
      <c r="F58" s="95" t="n">
        <f aca="false">B58*(1+T14)^10*'Weapons Sleeve'!$B$8</f>
        <v>526.760444865271</v>
      </c>
      <c r="G58" s="68" t="n">
        <f aca="false">F58/B58</f>
        <v>13.1690111216318</v>
      </c>
      <c r="H58" s="46" t="n">
        <f aca="false">(F58/B58)^(1/10)-1</f>
        <v>0.294062691480044</v>
      </c>
      <c r="I58" s="95" t="n">
        <f aca="false">B58*(1+U14)^10*'Weapons Sleeve'!$B$8</f>
        <v>70.8127399105475</v>
      </c>
      <c r="J58" s="68" t="n">
        <f aca="false">I58/B58</f>
        <v>1.77031849776369</v>
      </c>
      <c r="K58" s="46" t="n">
        <f aca="false">(I58/B58)^(1/10)-1</f>
        <v>0.0587785657563993</v>
      </c>
      <c r="L58" s="96" t="n">
        <f aca="false">B58*(1+V14)^10*'Weapons Sleeve'!$B$8</f>
        <v>488.18766312797</v>
      </c>
      <c r="M58" s="69" t="n">
        <f aca="false">L58/B58</f>
        <v>12.2046915781993</v>
      </c>
      <c r="N58" s="71" t="n">
        <f aca="false">(L58/B58)^(1/10)-1</f>
        <v>0.284259186241558</v>
      </c>
    </row>
    <row r="59" customFormat="false" ht="15" hidden="false" customHeight="true" outlineLevel="0" collapsed="false">
      <c r="A59" s="90" t="str">
        <f aca="false">A15</f>
        <v>Elta Systems</v>
      </c>
      <c r="B59" s="91" t="n">
        <f aca="false">C15</f>
        <v>30</v>
      </c>
      <c r="C59" s="95" t="n">
        <f aca="false">B59*(1+S15)^10*'Weapons Sleeve'!$B$8</f>
        <v>123.399606037275</v>
      </c>
      <c r="D59" s="68" t="n">
        <f aca="false">C59/B59</f>
        <v>4.11332020124251</v>
      </c>
      <c r="E59" s="46" t="n">
        <f aca="false">(C59/B59)^(1/10)-1</f>
        <v>0.151911865522008</v>
      </c>
      <c r="F59" s="95" t="n">
        <f aca="false">B59*(1+T15)^10*'Weapons Sleeve'!$B$8</f>
        <v>299.630034599664</v>
      </c>
      <c r="G59" s="68" t="n">
        <f aca="false">F59/B59</f>
        <v>9.98766781998879</v>
      </c>
      <c r="H59" s="46" t="n">
        <f aca="false">(F59/B59)^(1/10)-1</f>
        <v>0.258770072621497</v>
      </c>
      <c r="I59" s="95" t="n">
        <f aca="false">B59*(1+U15)^10*'Weapons Sleeve'!$B$8</f>
        <v>44.8931701693048</v>
      </c>
      <c r="J59" s="68" t="n">
        <f aca="false">I59/B59</f>
        <v>1.49643900564349</v>
      </c>
      <c r="K59" s="46" t="n">
        <f aca="false">(I59/B59)^(1/10)-1</f>
        <v>0.0411322563271259</v>
      </c>
      <c r="L59" s="96" t="n">
        <f aca="false">B59*(1+V15)^10*'Weapons Sleeve'!$B$8</f>
        <v>333.950449024681</v>
      </c>
      <c r="M59" s="69" t="n">
        <f aca="false">L59/B59</f>
        <v>11.131681634156</v>
      </c>
      <c r="N59" s="71" t="n">
        <f aca="false">(L59/B59)^(1/10)-1</f>
        <v>0.272494979955376</v>
      </c>
    </row>
    <row r="60" customFormat="false" ht="15" hidden="false" customHeight="true" outlineLevel="0" collapsed="false">
      <c r="A60" s="90" t="str">
        <f aca="false">A16</f>
        <v>Heckler &amp; Koch</v>
      </c>
      <c r="B60" s="91" t="n">
        <f aca="false">C16</f>
        <v>35</v>
      </c>
      <c r="C60" s="95" t="n">
        <f aca="false">B60*(1+S16)^10*'Weapons Sleeve'!$B$8</f>
        <v>101.82173946956</v>
      </c>
      <c r="D60" s="68" t="n">
        <f aca="false">C60/B60</f>
        <v>2.90919255627315</v>
      </c>
      <c r="E60" s="46" t="n">
        <f aca="false">(C60/B60)^(1/10)-1</f>
        <v>0.112697844568068</v>
      </c>
      <c r="F60" s="95" t="n">
        <f aca="false">B60*(1+T16)^10*'Weapons Sleeve'!$B$8</f>
        <v>216.618764675838</v>
      </c>
      <c r="G60" s="68" t="n">
        <f aca="false">F60/B60</f>
        <v>6.1891075621668</v>
      </c>
      <c r="H60" s="46" t="n">
        <f aca="false">(F60/B60)^(1/10)-1</f>
        <v>0.199949041190586</v>
      </c>
      <c r="I60" s="95" t="n">
        <f aca="false">B60*(1+U16)^10*'Weapons Sleeve'!$B$8</f>
        <v>47.6474096172617</v>
      </c>
      <c r="J60" s="68" t="n">
        <f aca="false">I60/B60</f>
        <v>1.36135456049319</v>
      </c>
      <c r="K60" s="46" t="n">
        <f aca="false">(I60/B60)^(1/10)-1</f>
        <v>0.0313287510886409</v>
      </c>
      <c r="L60" s="96" t="n">
        <f aca="false">B60*(1+V16)^10*'Weapons Sleeve'!$B$8</f>
        <v>242.710376291675</v>
      </c>
      <c r="M60" s="69" t="n">
        <f aca="false">L60/B60</f>
        <v>6.93458217976213</v>
      </c>
      <c r="N60" s="71" t="n">
        <f aca="false">(L60/B60)^(1/10)-1</f>
        <v>0.213673948524465</v>
      </c>
    </row>
    <row r="61" customFormat="false" ht="15" hidden="false" customHeight="true" outlineLevel="0" collapsed="false">
      <c r="A61" s="90" t="str">
        <f aca="false">A17</f>
        <v>Helicon Chemical</v>
      </c>
      <c r="B61" s="91" t="n">
        <f aca="false">C17</f>
        <v>40</v>
      </c>
      <c r="C61" s="95" t="n">
        <f aca="false">B61*(1+S17)^10*'Weapons Sleeve'!$B$8</f>
        <v>452.17585326472</v>
      </c>
      <c r="D61" s="68" t="n">
        <f aca="false">C61/B61</f>
        <v>11.304396331618</v>
      </c>
      <c r="E61" s="46" t="n">
        <f aca="false">(C61/B61)^(1/10)-1</f>
        <v>0.274455681003073</v>
      </c>
      <c r="F61" s="95" t="n">
        <f aca="false">B61*(1+T17)^10*'Weapons Sleeve'!$B$8</f>
        <v>1566.57771296093</v>
      </c>
      <c r="G61" s="68" t="n">
        <f aca="false">F61/B61</f>
        <v>39.1644428240231</v>
      </c>
      <c r="H61" s="46" t="n">
        <f aca="false">(F61/B61)^(1/10)-1</f>
        <v>0.443075971105018</v>
      </c>
      <c r="I61" s="95" t="n">
        <f aca="false">B61*(1+U17)^10*'Weapons Sleeve'!$B$8</f>
        <v>46.7166183065478</v>
      </c>
      <c r="J61" s="68" t="n">
        <f aca="false">I61/B61</f>
        <v>1.1679154576637</v>
      </c>
      <c r="K61" s="46" t="n">
        <f aca="false">(I61/B61)^(1/10)-1</f>
        <v>0.0156431427070645</v>
      </c>
      <c r="L61" s="96" t="n">
        <f aca="false">B61*(1+V17)^10*'Weapons Sleeve'!$B$8</f>
        <v>1699.07618685606</v>
      </c>
      <c r="M61" s="69" t="n">
        <f aca="false">L61/B61</f>
        <v>42.4769046714015</v>
      </c>
      <c r="N61" s="71" t="n">
        <f aca="false">(L61/B61)^(1/10)-1</f>
        <v>0.454840177391201</v>
      </c>
    </row>
    <row r="62" customFormat="false" ht="15" hidden="false" customHeight="true" outlineLevel="0" collapsed="false">
      <c r="A62" s="90" t="str">
        <f aca="false">A18</f>
        <v>The Ellwood Group</v>
      </c>
      <c r="B62" s="91" t="n">
        <f aca="false">C18</f>
        <v>50</v>
      </c>
      <c r="C62" s="95" t="n">
        <f aca="false">B62*(1+S18)^10*'Weapons Sleeve'!$B$8</f>
        <v>169.509169989635</v>
      </c>
      <c r="D62" s="68" t="n">
        <f aca="false">C62/B62</f>
        <v>3.3901833997927</v>
      </c>
      <c r="E62" s="46" t="n">
        <f aca="false">(C62/B62)^(1/10)-1</f>
        <v>0.129853978735417</v>
      </c>
      <c r="F62" s="95" t="n">
        <f aca="false">B62*(1+T18)^10*'Weapons Sleeve'!$B$8</f>
        <v>400.57168816792</v>
      </c>
      <c r="G62" s="68" t="n">
        <f aca="false">F62/B62</f>
        <v>8.01143376335839</v>
      </c>
      <c r="H62" s="46" t="n">
        <f aca="false">(F62/B62)^(1/10)-1</f>
        <v>0.231320257953738</v>
      </c>
      <c r="I62" s="95" t="n">
        <f aca="false">B62*(1+U18)^10*'Weapons Sleeve'!$B$8</f>
        <v>72.0510864227513</v>
      </c>
      <c r="J62" s="68" t="n">
        <f aca="false">I62/B62</f>
        <v>1.44102172845503</v>
      </c>
      <c r="K62" s="46" t="n">
        <f aca="false">(I62/B62)^(1/10)-1</f>
        <v>0.037210854231732</v>
      </c>
      <c r="L62" s="96" t="n">
        <f aca="false">B62*(1+V18)^10*'Weapons Sleeve'!$B$8</f>
        <v>403.772404001924</v>
      </c>
      <c r="M62" s="69" t="n">
        <f aca="false">L62/B62</f>
        <v>8.07544808003848</v>
      </c>
      <c r="N62" s="71" t="n">
        <f aca="false">(L62/B62)^(1/10)-1</f>
        <v>0.232300608477587</v>
      </c>
    </row>
    <row r="63" customFormat="false" ht="15" hidden="false" customHeight="true" outlineLevel="0" collapsed="false">
      <c r="A63" s="90" t="str">
        <f aca="false">A19</f>
        <v>Superior &amp; Grand Valley</v>
      </c>
      <c r="B63" s="91" t="n">
        <f aca="false">C19</f>
        <v>31</v>
      </c>
      <c r="C63" s="95" t="n">
        <f aca="false">B63*(1+S19)^10*'Weapons Sleeve'!$B$8</f>
        <v>105.095685393574</v>
      </c>
      <c r="D63" s="68" t="n">
        <f aca="false">C63/B63</f>
        <v>3.3901833997927</v>
      </c>
      <c r="E63" s="46" t="n">
        <f aca="false">(C63/B63)^(1/10)-1</f>
        <v>0.129853978735417</v>
      </c>
      <c r="F63" s="95" t="n">
        <f aca="false">B63*(1+T19)^10*'Weapons Sleeve'!$B$8</f>
        <v>229.274613206274</v>
      </c>
      <c r="G63" s="68" t="n">
        <f aca="false">F63/B63</f>
        <v>7.39595526471852</v>
      </c>
      <c r="H63" s="46" t="n">
        <f aca="false">(F63/B63)^(1/10)-1</f>
        <v>0.221516752715253</v>
      </c>
      <c r="I63" s="95" t="n">
        <f aca="false">B63*(1+U19)^10*'Weapons Sleeve'!$B$8</f>
        <v>40.6245321692526</v>
      </c>
      <c r="J63" s="68" t="n">
        <f aca="false">I63/B63</f>
        <v>1.31046877965331</v>
      </c>
      <c r="K63" s="46" t="n">
        <f aca="false">(I63/B63)^(1/10)-1</f>
        <v>0.0274073489932467</v>
      </c>
      <c r="L63" s="96" t="n">
        <f aca="false">B63*(1+V19)^10*'Weapons Sleeve'!$B$8</f>
        <v>231.121358199697</v>
      </c>
      <c r="M63" s="69" t="n">
        <f aca="false">L63/B63</f>
        <v>7.45552768386119</v>
      </c>
      <c r="N63" s="71" t="n">
        <f aca="false">(L63/B63)^(1/10)-1</f>
        <v>0.222497103239102</v>
      </c>
    </row>
    <row r="64" customFormat="false" ht="15" hidden="false" customHeight="true" outlineLevel="0" collapsed="false">
      <c r="A64" s="90" t="str">
        <f aca="false">A20</f>
        <v>Applied Research Assoc.</v>
      </c>
      <c r="B64" s="91" t="n">
        <f aca="false">C20</f>
        <v>40</v>
      </c>
      <c r="C64" s="95" t="n">
        <f aca="false">B64*(1+S20)^10*'Weapons Sleeve'!$B$8</f>
        <v>135.607335991708</v>
      </c>
      <c r="D64" s="68" t="n">
        <f aca="false">C64/B64</f>
        <v>3.3901833997927</v>
      </c>
      <c r="E64" s="46" t="n">
        <f aca="false">(C64/B64)^(1/10)-1</f>
        <v>0.129853978735417</v>
      </c>
      <c r="F64" s="95" t="n">
        <f aca="false">B64*(1+T20)^10*'Weapons Sleeve'!$B$8</f>
        <v>281.897156612931</v>
      </c>
      <c r="G64" s="68" t="n">
        <f aca="false">F64/B64</f>
        <v>7.04742891532328</v>
      </c>
      <c r="H64" s="46" t="n">
        <f aca="false">(F64/B64)^(1/10)-1</f>
        <v>0.215634649572162</v>
      </c>
      <c r="I64" s="95" t="n">
        <f aca="false">B64*(1+U20)^10*'Weapons Sleeve'!$B$8</f>
        <v>64.5225645190978</v>
      </c>
      <c r="J64" s="68" t="n">
        <f aca="false">I64/B64</f>
        <v>1.61306411297744</v>
      </c>
      <c r="K64" s="46" t="n">
        <f aca="false">(I64/B64)^(1/10)-1</f>
        <v>0.0489750605179142</v>
      </c>
      <c r="L64" s="96" t="n">
        <f aca="false">B64*(1+V20)^10*'Weapons Sleeve'!$B$8</f>
        <v>317.915060332233</v>
      </c>
      <c r="M64" s="69" t="n">
        <f aca="false">L64/B64</f>
        <v>7.94787650830583</v>
      </c>
      <c r="N64" s="71" t="n">
        <f aca="false">(L64/B64)^(1/10)-1</f>
        <v>0.23033990742989</v>
      </c>
    </row>
    <row r="65" customFormat="false" ht="15" hidden="false" customHeight="true" outlineLevel="0" collapsed="false">
      <c r="A65" s="90" t="str">
        <f aca="false">A21</f>
        <v>Faxon Machining</v>
      </c>
      <c r="B65" s="91" t="n">
        <f aca="false">C21</f>
        <v>9</v>
      </c>
      <c r="C65" s="95" t="n">
        <f aca="false">B65*(1+S21)^10*'Weapons Sleeve'!$B$8</f>
        <v>35.2334266416698</v>
      </c>
      <c r="D65" s="68" t="n">
        <f aca="false">C65/B65</f>
        <v>3.91482518240776</v>
      </c>
      <c r="E65" s="46" t="n">
        <f aca="false">(C65/B65)^(1/10)-1</f>
        <v>0.146228591606159</v>
      </c>
      <c r="F65" s="95" t="n">
        <f aca="false">B65*(1+T21)^10*'Weapons Sleeve'!$B$8</f>
        <v>127.999702113597</v>
      </c>
      <c r="G65" s="68" t="n">
        <f aca="false">F65/B65</f>
        <v>14.222189123733</v>
      </c>
      <c r="H65" s="46" t="n">
        <f aca="false">(F65/B65)^(1/10)-1</f>
        <v>0.304057210903513</v>
      </c>
      <c r="I65" s="95" t="n">
        <f aca="false">B65*(1+U21)^10*'Weapons Sleeve'!$B$8</f>
        <v>3.31905777625593</v>
      </c>
      <c r="J65" s="68" t="n">
        <f aca="false">I65/B65</f>
        <v>0.36878419736177</v>
      </c>
      <c r="K65" s="46" t="n">
        <f aca="false">(I65/B65)^(1/10)-1</f>
        <v>-0.0949402937504618</v>
      </c>
      <c r="L65" s="96" t="n">
        <f aca="false">B65*(1+V21)^10*'Weapons Sleeve'!$B$8</f>
        <v>126.903588503139</v>
      </c>
      <c r="M65" s="69" t="n">
        <f aca="false">L65/B65</f>
        <v>14.100398722571</v>
      </c>
      <c r="N65" s="71" t="n">
        <f aca="false">(L65/B65)^(1/10)-1</f>
        <v>0.302936166779741</v>
      </c>
    </row>
    <row r="66" customFormat="false" ht="15" hidden="false" customHeight="true" outlineLevel="0" collapsed="false">
      <c r="A66" s="86" t="s">
        <v>399</v>
      </c>
      <c r="B66" s="97" t="n">
        <f aca="false">SUM(B56:B65)</f>
        <v>390</v>
      </c>
      <c r="C66" s="97" t="n">
        <f aca="false">SUM(C56:C65)</f>
        <v>2314.26482107347</v>
      </c>
      <c r="D66" s="98" t="n">
        <f aca="false">C66/B66</f>
        <v>5.93401236172685</v>
      </c>
      <c r="E66" s="99" t="n">
        <f aca="false">(C66/B66)^(1/10)-1</f>
        <v>0.194909034234977</v>
      </c>
      <c r="F66" s="97" t="n">
        <f aca="false">SUM(F56:F65)</f>
        <v>6660.9246225142</v>
      </c>
      <c r="G66" s="98" t="n">
        <f aca="false">F66/B66</f>
        <v>17.0792939038826</v>
      </c>
      <c r="H66" s="99" t="n">
        <f aca="false">(F66/B66)^(1/10)-1</f>
        <v>0.328149585903458</v>
      </c>
      <c r="I66" s="97" t="n">
        <f aca="false">SUM(I56:I65)</f>
        <v>488.044525190846</v>
      </c>
      <c r="J66" s="98" t="n">
        <f aca="false">I66/B66</f>
        <v>1.25139621843807</v>
      </c>
      <c r="K66" s="99" t="n">
        <f aca="false">(I66/B66)^(1/10)-1</f>
        <v>0.0226793431427603</v>
      </c>
      <c r="L66" s="100" t="n">
        <f aca="false">SUM(L56:L65)</f>
        <v>6658.40413836404</v>
      </c>
      <c r="M66" s="101" t="n">
        <f aca="false">L66/B66</f>
        <v>17.0728311240104</v>
      </c>
      <c r="N66" s="102" t="n">
        <f aca="false">(L66/B66)^(1/10)-1</f>
        <v>0.3280993203573</v>
      </c>
    </row>
  </sheetData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3B2E"/>
    <pageSetUpPr fitToPage="false"/>
  </sheetPr>
  <dimension ref="A1:M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2" min="2" style="0" width="12"/>
    <col collapsed="false" customWidth="true" hidden="false" outlineLevel="0" max="13" min="13" style="0" width="60"/>
  </cols>
  <sheetData>
    <row r="1" customFormat="false" ht="18.55" hidden="false" customHeight="false" outlineLevel="0" collapsed="false">
      <c r="A1" s="10" t="s">
        <v>459</v>
      </c>
    </row>
    <row r="2" customFormat="false" ht="39.75" hidden="false" customHeight="true" outlineLevel="0" collapsed="false">
      <c r="A2" s="124" t="s">
        <v>460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</row>
    <row r="4" customFormat="false" ht="15" hidden="false" customHeight="false" outlineLevel="0" collapsed="false">
      <c r="A4" s="60" t="s">
        <v>461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</row>
    <row r="5" customFormat="false" ht="15" hidden="false" customHeight="true" outlineLevel="0" collapsed="false">
      <c r="A5" s="126" t="s">
        <v>462</v>
      </c>
      <c r="B5" s="126" t="s">
        <v>139</v>
      </c>
      <c r="C5" s="126" t="s">
        <v>463</v>
      </c>
      <c r="D5" s="126"/>
      <c r="E5" s="126"/>
      <c r="F5" s="126"/>
      <c r="G5" s="126"/>
      <c r="H5" s="126"/>
      <c r="I5" s="126"/>
      <c r="J5" s="126"/>
      <c r="K5" s="126"/>
      <c r="L5" s="126"/>
      <c r="M5" s="126"/>
    </row>
    <row r="6" customFormat="false" ht="24" hidden="false" customHeight="true" outlineLevel="0" collapsed="false">
      <c r="A6" s="127" t="s">
        <v>464</v>
      </c>
      <c r="B6" s="128" t="n">
        <v>92</v>
      </c>
      <c r="C6" s="129" t="s">
        <v>465</v>
      </c>
      <c r="D6" s="129"/>
      <c r="E6" s="129"/>
      <c r="F6" s="129"/>
      <c r="G6" s="129"/>
      <c r="H6" s="129"/>
      <c r="I6" s="129"/>
      <c r="J6" s="129"/>
      <c r="K6" s="129"/>
      <c r="L6" s="129"/>
      <c r="M6" s="129"/>
    </row>
    <row r="7" customFormat="false" ht="24" hidden="false" customHeight="true" outlineLevel="0" collapsed="false">
      <c r="A7" s="127" t="s">
        <v>466</v>
      </c>
      <c r="B7" s="128" t="n">
        <v>9</v>
      </c>
      <c r="C7" s="129" t="s">
        <v>467</v>
      </c>
      <c r="D7" s="129"/>
      <c r="E7" s="129"/>
      <c r="F7" s="129"/>
      <c r="G7" s="129"/>
      <c r="H7" s="129"/>
      <c r="I7" s="129"/>
      <c r="J7" s="129"/>
      <c r="K7" s="129"/>
      <c r="L7" s="129"/>
      <c r="M7" s="129"/>
    </row>
    <row r="8" customFormat="false" ht="24" hidden="false" customHeight="true" outlineLevel="0" collapsed="false">
      <c r="A8" s="127" t="s">
        <v>468</v>
      </c>
      <c r="B8" s="130" t="n">
        <f aca="false">B7/B6</f>
        <v>0.0978260869565217</v>
      </c>
      <c r="C8" s="129" t="s">
        <v>469</v>
      </c>
      <c r="D8" s="129"/>
      <c r="E8" s="129"/>
      <c r="F8" s="129"/>
      <c r="G8" s="129"/>
      <c r="H8" s="129"/>
      <c r="I8" s="129"/>
      <c r="J8" s="129"/>
      <c r="K8" s="129"/>
      <c r="L8" s="129"/>
      <c r="M8" s="129"/>
    </row>
    <row r="9" customFormat="false" ht="24" hidden="false" customHeight="true" outlineLevel="0" collapsed="false">
      <c r="A9" s="127" t="s">
        <v>470</v>
      </c>
      <c r="B9" s="131" t="n">
        <v>0</v>
      </c>
      <c r="C9" s="129" t="s">
        <v>471</v>
      </c>
      <c r="D9" s="129"/>
      <c r="E9" s="129"/>
      <c r="F9" s="129"/>
      <c r="G9" s="129"/>
      <c r="H9" s="129"/>
      <c r="I9" s="129"/>
      <c r="J9" s="129"/>
      <c r="K9" s="129"/>
      <c r="L9" s="129"/>
      <c r="M9" s="129"/>
    </row>
    <row r="10" customFormat="false" ht="24" hidden="false" customHeight="true" outlineLevel="0" collapsed="false">
      <c r="A10" s="127" t="s">
        <v>472</v>
      </c>
      <c r="B10" s="132" t="n">
        <f aca="false">B37</f>
        <v>60</v>
      </c>
      <c r="C10" s="129" t="s">
        <v>473</v>
      </c>
      <c r="D10" s="129"/>
      <c r="E10" s="129"/>
      <c r="F10" s="129"/>
      <c r="G10" s="129"/>
      <c r="H10" s="129"/>
      <c r="I10" s="129"/>
      <c r="J10" s="129"/>
      <c r="K10" s="129"/>
      <c r="L10" s="129"/>
      <c r="M10" s="129"/>
    </row>
    <row r="11" customFormat="false" ht="24" hidden="false" customHeight="true" outlineLevel="0" collapsed="false">
      <c r="A11" s="127" t="s">
        <v>474</v>
      </c>
      <c r="B11" s="133" t="n">
        <v>0.14</v>
      </c>
      <c r="C11" s="129" t="s">
        <v>475</v>
      </c>
      <c r="D11" s="129"/>
      <c r="E11" s="129"/>
      <c r="F11" s="129"/>
      <c r="G11" s="129"/>
      <c r="H11" s="129"/>
      <c r="I11" s="129"/>
      <c r="J11" s="129"/>
      <c r="K11" s="129"/>
      <c r="L11" s="129"/>
      <c r="M11" s="129"/>
    </row>
    <row r="12" customFormat="false" ht="24" hidden="false" customHeight="true" outlineLevel="0" collapsed="false">
      <c r="A12" s="127" t="s">
        <v>476</v>
      </c>
      <c r="B12" s="132" t="n">
        <f aca="false">B10*B11</f>
        <v>8.4</v>
      </c>
      <c r="C12" s="129" t="s">
        <v>477</v>
      </c>
      <c r="D12" s="129"/>
      <c r="E12" s="129"/>
      <c r="F12" s="129"/>
      <c r="G12" s="129"/>
      <c r="H12" s="129"/>
      <c r="I12" s="129"/>
      <c r="J12" s="129"/>
      <c r="K12" s="129"/>
      <c r="L12" s="129"/>
      <c r="M12" s="129"/>
    </row>
    <row r="13" customFormat="false" ht="24" hidden="false" customHeight="true" outlineLevel="0" collapsed="false">
      <c r="A13" s="127" t="s">
        <v>478</v>
      </c>
      <c r="B13" s="134" t="n">
        <f aca="false">(B6+B9)/B12</f>
        <v>10.952380952381</v>
      </c>
      <c r="C13" s="129" t="s">
        <v>479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</row>
    <row r="14" customFormat="false" ht="24" hidden="false" customHeight="true" outlineLevel="0" collapsed="false">
      <c r="A14" s="127" t="s">
        <v>480</v>
      </c>
      <c r="B14" s="133" t="n">
        <v>0.45</v>
      </c>
      <c r="C14" s="129" t="s">
        <v>481</v>
      </c>
      <c r="D14" s="129"/>
      <c r="E14" s="129"/>
      <c r="F14" s="129"/>
      <c r="G14" s="129"/>
      <c r="H14" s="129"/>
      <c r="I14" s="129"/>
      <c r="J14" s="129"/>
      <c r="K14" s="129"/>
      <c r="L14" s="129"/>
      <c r="M14" s="129"/>
    </row>
    <row r="15" customFormat="false" ht="24" hidden="false" customHeight="true" outlineLevel="0" collapsed="false">
      <c r="A15" s="127" t="s">
        <v>482</v>
      </c>
      <c r="B15" s="135" t="n">
        <v>5</v>
      </c>
      <c r="C15" s="129" t="s">
        <v>483</v>
      </c>
      <c r="D15" s="129"/>
      <c r="E15" s="129"/>
      <c r="F15" s="129"/>
      <c r="G15" s="129"/>
      <c r="H15" s="129"/>
      <c r="I15" s="129"/>
      <c r="J15" s="129"/>
      <c r="K15" s="129"/>
      <c r="L15" s="129"/>
      <c r="M15" s="129"/>
    </row>
    <row r="17" customFormat="false" ht="15" hidden="false" customHeight="false" outlineLevel="0" collapsed="false">
      <c r="A17" s="60" t="s">
        <v>484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</row>
    <row r="18" customFormat="false" ht="15" hidden="false" customHeight="true" outlineLevel="0" collapsed="false">
      <c r="A18" s="126" t="s">
        <v>198</v>
      </c>
      <c r="B18" s="126" t="s">
        <v>36</v>
      </c>
      <c r="C18" s="126" t="s">
        <v>37</v>
      </c>
      <c r="D18" s="126" t="s">
        <v>38</v>
      </c>
      <c r="E18" s="126" t="s">
        <v>39</v>
      </c>
      <c r="F18" s="126" t="s">
        <v>485</v>
      </c>
      <c r="G18" s="126"/>
      <c r="H18" s="126"/>
      <c r="I18" s="126"/>
      <c r="J18" s="126"/>
      <c r="K18" s="126"/>
      <c r="L18" s="126"/>
      <c r="M18" s="126"/>
    </row>
    <row r="19" customFormat="false" ht="25.5" hidden="false" customHeight="true" outlineLevel="0" collapsed="false">
      <c r="A19" s="127" t="s">
        <v>486</v>
      </c>
      <c r="B19" s="133" t="n">
        <v>0.06</v>
      </c>
      <c r="C19" s="133" t="n">
        <v>0.12</v>
      </c>
      <c r="D19" s="133" t="n">
        <v>-0.02</v>
      </c>
      <c r="E19" s="133" t="n">
        <v>0.14</v>
      </c>
      <c r="F19" s="129" t="s">
        <v>487</v>
      </c>
      <c r="G19" s="129"/>
      <c r="H19" s="129"/>
      <c r="I19" s="129"/>
      <c r="J19" s="129"/>
      <c r="K19" s="129"/>
      <c r="L19" s="129"/>
      <c r="M19" s="129"/>
    </row>
    <row r="20" customFormat="false" ht="25.5" hidden="false" customHeight="true" outlineLevel="0" collapsed="false">
      <c r="A20" s="127" t="s">
        <v>488</v>
      </c>
      <c r="B20" s="133" t="n">
        <v>0.2</v>
      </c>
      <c r="C20" s="133" t="n">
        <v>0.28</v>
      </c>
      <c r="D20" s="133" t="n">
        <v>0.06</v>
      </c>
      <c r="E20" s="133" t="n">
        <v>0.3</v>
      </c>
      <c r="F20" s="129" t="s">
        <v>489</v>
      </c>
      <c r="G20" s="129"/>
      <c r="H20" s="129"/>
      <c r="I20" s="129"/>
      <c r="J20" s="129"/>
      <c r="K20" s="129"/>
      <c r="L20" s="129"/>
      <c r="M20" s="129"/>
    </row>
    <row r="21" customFormat="false" ht="25.5" hidden="false" customHeight="true" outlineLevel="0" collapsed="false">
      <c r="A21" s="127" t="s">
        <v>490</v>
      </c>
      <c r="B21" s="133" t="n">
        <v>0.12</v>
      </c>
      <c r="C21" s="133" t="n">
        <v>0.2</v>
      </c>
      <c r="D21" s="133" t="n">
        <v>0.03</v>
      </c>
      <c r="E21" s="133" t="n">
        <v>0.22</v>
      </c>
      <c r="F21" s="129" t="s">
        <v>491</v>
      </c>
      <c r="G21" s="129"/>
      <c r="H21" s="129"/>
      <c r="I21" s="129"/>
      <c r="J21" s="129"/>
      <c r="K21" s="129"/>
      <c r="L21" s="129"/>
      <c r="M21" s="129"/>
    </row>
    <row r="22" customFormat="false" ht="25.5" hidden="false" customHeight="true" outlineLevel="0" collapsed="false">
      <c r="A22" s="127" t="s">
        <v>492</v>
      </c>
      <c r="B22" s="133" t="n">
        <v>0.15</v>
      </c>
      <c r="C22" s="133" t="n">
        <v>0.25</v>
      </c>
      <c r="D22" s="133" t="n">
        <v>0</v>
      </c>
      <c r="E22" s="133" t="n">
        <v>0.3</v>
      </c>
      <c r="F22" s="129" t="s">
        <v>493</v>
      </c>
      <c r="G22" s="129"/>
      <c r="H22" s="129"/>
      <c r="I22" s="129"/>
      <c r="J22" s="129"/>
      <c r="K22" s="129"/>
      <c r="L22" s="129"/>
      <c r="M22" s="129"/>
    </row>
    <row r="23" customFormat="false" ht="25.5" hidden="false" customHeight="true" outlineLevel="0" collapsed="false">
      <c r="A23" s="127" t="s">
        <v>494</v>
      </c>
      <c r="B23" s="133" t="n">
        <v>0.1</v>
      </c>
      <c r="C23" s="133" t="n">
        <v>0.15</v>
      </c>
      <c r="D23" s="133" t="n">
        <v>0</v>
      </c>
      <c r="E23" s="133" t="n">
        <v>0.15</v>
      </c>
      <c r="F23" s="129" t="s">
        <v>495</v>
      </c>
      <c r="G23" s="129"/>
      <c r="H23" s="129"/>
      <c r="I23" s="129"/>
      <c r="J23" s="129"/>
      <c r="K23" s="129"/>
      <c r="L23" s="129"/>
      <c r="M23" s="129"/>
    </row>
    <row r="24" customFormat="false" ht="25.5" hidden="false" customHeight="true" outlineLevel="0" collapsed="false">
      <c r="A24" s="127" t="s">
        <v>496</v>
      </c>
      <c r="B24" s="133" t="n">
        <v>0.1</v>
      </c>
      <c r="C24" s="133" t="n">
        <v>0.18</v>
      </c>
      <c r="D24" s="133" t="n">
        <v>0</v>
      </c>
      <c r="E24" s="133" t="n">
        <v>0.2</v>
      </c>
      <c r="F24" s="129" t="s">
        <v>497</v>
      </c>
      <c r="G24" s="129"/>
      <c r="H24" s="129"/>
      <c r="I24" s="129"/>
      <c r="J24" s="129"/>
      <c r="K24" s="129"/>
      <c r="L24" s="129"/>
      <c r="M24" s="129"/>
    </row>
    <row r="25" customFormat="false" ht="25.5" hidden="false" customHeight="true" outlineLevel="0" collapsed="false">
      <c r="A25" s="127" t="s">
        <v>498</v>
      </c>
      <c r="B25" s="133" t="n">
        <v>0.03</v>
      </c>
      <c r="C25" s="133" t="n">
        <v>0.05</v>
      </c>
      <c r="D25" s="133" t="n">
        <v>-0.02</v>
      </c>
      <c r="E25" s="133" t="n">
        <v>0.01</v>
      </c>
      <c r="F25" s="129" t="s">
        <v>499</v>
      </c>
      <c r="G25" s="129"/>
      <c r="H25" s="129"/>
      <c r="I25" s="129"/>
      <c r="J25" s="129"/>
      <c r="K25" s="129"/>
      <c r="L25" s="129"/>
      <c r="M25" s="129"/>
    </row>
    <row r="27" customFormat="false" ht="15" hidden="false" customHeight="false" outlineLevel="0" collapsed="false">
      <c r="A27" s="60" t="s">
        <v>500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</row>
    <row r="28" customFormat="false" ht="30" hidden="false" customHeight="true" outlineLevel="0" collapsed="false">
      <c r="A28" s="126" t="s">
        <v>501</v>
      </c>
      <c r="B28" s="126" t="s">
        <v>502</v>
      </c>
      <c r="C28" s="126" t="s">
        <v>503</v>
      </c>
      <c r="D28" s="126" t="s">
        <v>504</v>
      </c>
      <c r="E28" s="126" t="s">
        <v>505</v>
      </c>
      <c r="F28" s="126" t="s">
        <v>506</v>
      </c>
      <c r="G28" s="126" t="s">
        <v>507</v>
      </c>
      <c r="H28" s="126" t="s">
        <v>508</v>
      </c>
      <c r="I28" s="126" t="s">
        <v>509</v>
      </c>
      <c r="J28" s="126" t="s">
        <v>510</v>
      </c>
      <c r="K28" s="126" t="s">
        <v>511</v>
      </c>
      <c r="L28" s="126" t="s">
        <v>512</v>
      </c>
      <c r="M28" s="126" t="s">
        <v>513</v>
      </c>
    </row>
    <row r="29" customFormat="false" ht="25.5" hidden="false" customHeight="true" outlineLevel="0" collapsed="false">
      <c r="A29" s="127" t="s">
        <v>514</v>
      </c>
      <c r="B29" s="131" t="n">
        <v>30</v>
      </c>
      <c r="C29" s="135" t="n">
        <v>1</v>
      </c>
      <c r="D29" s="133" t="n">
        <v>0</v>
      </c>
      <c r="E29" s="133" t="n">
        <v>0.03</v>
      </c>
      <c r="F29" s="133" t="n">
        <v>-0.08</v>
      </c>
      <c r="G29" s="133" t="n">
        <v>0.03</v>
      </c>
      <c r="H29" s="130" t="n">
        <f aca="false">INDEX(B$19:B$25,$C29)+D29</f>
        <v>0.06</v>
      </c>
      <c r="I29" s="130" t="n">
        <f aca="false">INDEX(C$19:C$25,$C29)+E29</f>
        <v>0.15</v>
      </c>
      <c r="J29" s="130" t="n">
        <f aca="false">INDEX(D$19:D$25,$C29)+F29</f>
        <v>-0.1</v>
      </c>
      <c r="K29" s="130" t="n">
        <f aca="false">INDEX(E$19:E$25,$C29)+G29</f>
        <v>0.17</v>
      </c>
      <c r="L29" s="130" t="n">
        <f aca="false">B29/$B$37</f>
        <v>0.5</v>
      </c>
      <c r="M29" s="136" t="s">
        <v>515</v>
      </c>
    </row>
    <row r="30" customFormat="false" ht="25.5" hidden="false" customHeight="true" outlineLevel="0" collapsed="false">
      <c r="A30" s="127" t="s">
        <v>516</v>
      </c>
      <c r="B30" s="131" t="n">
        <v>4</v>
      </c>
      <c r="C30" s="135" t="n">
        <v>4</v>
      </c>
      <c r="D30" s="133" t="n">
        <v>0.02</v>
      </c>
      <c r="E30" s="133" t="n">
        <v>0.04</v>
      </c>
      <c r="F30" s="133" t="n">
        <v>-0.02</v>
      </c>
      <c r="G30" s="133" t="n">
        <v>0.04</v>
      </c>
      <c r="H30" s="130" t="n">
        <f aca="false">INDEX(B$19:B$25,$C30)+D30</f>
        <v>0.17</v>
      </c>
      <c r="I30" s="130" t="n">
        <f aca="false">INDEX(C$19:C$25,$C30)+E30</f>
        <v>0.29</v>
      </c>
      <c r="J30" s="130" t="n">
        <f aca="false">INDEX(D$19:D$25,$C30)+F30</f>
        <v>-0.02</v>
      </c>
      <c r="K30" s="130" t="n">
        <f aca="false">INDEX(E$19:E$25,$C30)+G30</f>
        <v>0.34</v>
      </c>
      <c r="L30" s="130" t="n">
        <f aca="false">B30/$B$37</f>
        <v>0.0666666666666667</v>
      </c>
      <c r="M30" s="136" t="s">
        <v>517</v>
      </c>
    </row>
    <row r="31" customFormat="false" ht="25.5" hidden="false" customHeight="true" outlineLevel="0" collapsed="false">
      <c r="A31" s="127" t="s">
        <v>518</v>
      </c>
      <c r="B31" s="131" t="n">
        <v>2</v>
      </c>
      <c r="C31" s="135" t="n">
        <v>5</v>
      </c>
      <c r="D31" s="133" t="n">
        <v>0</v>
      </c>
      <c r="E31" s="133" t="n">
        <v>0.02</v>
      </c>
      <c r="F31" s="133" t="n">
        <v>-0.05</v>
      </c>
      <c r="G31" s="133" t="n">
        <v>0.02</v>
      </c>
      <c r="H31" s="130" t="n">
        <f aca="false">INDEX(B$19:B$25,$C31)+D31</f>
        <v>0.1</v>
      </c>
      <c r="I31" s="130" t="n">
        <f aca="false">INDEX(C$19:C$25,$C31)+E31</f>
        <v>0.17</v>
      </c>
      <c r="J31" s="130" t="n">
        <f aca="false">INDEX(D$19:D$25,$C31)+F31</f>
        <v>-0.05</v>
      </c>
      <c r="K31" s="130" t="n">
        <f aca="false">INDEX(E$19:E$25,$C31)+G31</f>
        <v>0.17</v>
      </c>
      <c r="L31" s="130" t="n">
        <f aca="false">B31/$B$37</f>
        <v>0.0333333333333333</v>
      </c>
      <c r="M31" s="136" t="s">
        <v>519</v>
      </c>
    </row>
    <row r="32" customFormat="false" ht="25.5" hidden="false" customHeight="true" outlineLevel="0" collapsed="false">
      <c r="A32" s="127" t="s">
        <v>520</v>
      </c>
      <c r="B32" s="131" t="n">
        <v>7</v>
      </c>
      <c r="C32" s="135" t="n">
        <v>2</v>
      </c>
      <c r="D32" s="133" t="n">
        <v>0</v>
      </c>
      <c r="E32" s="133" t="n">
        <v>0.02</v>
      </c>
      <c r="F32" s="133" t="n">
        <v>-0.02</v>
      </c>
      <c r="G32" s="133" t="n">
        <v>0.02</v>
      </c>
      <c r="H32" s="130" t="n">
        <f aca="false">INDEX(B$19:B$25,$C32)+D32</f>
        <v>0.2</v>
      </c>
      <c r="I32" s="130" t="n">
        <f aca="false">INDEX(C$19:C$25,$C32)+E32</f>
        <v>0.3</v>
      </c>
      <c r="J32" s="130" t="n">
        <f aca="false">INDEX(D$19:D$25,$C32)+F32</f>
        <v>0.04</v>
      </c>
      <c r="K32" s="130" t="n">
        <f aca="false">INDEX(E$19:E$25,$C32)+G32</f>
        <v>0.32</v>
      </c>
      <c r="L32" s="130" t="n">
        <f aca="false">B32/$B$37</f>
        <v>0.116666666666667</v>
      </c>
      <c r="M32" s="136" t="s">
        <v>521</v>
      </c>
    </row>
    <row r="33" customFormat="false" ht="25.5" hidden="false" customHeight="true" outlineLevel="0" collapsed="false">
      <c r="A33" s="127" t="s">
        <v>522</v>
      </c>
      <c r="B33" s="131" t="n">
        <v>3</v>
      </c>
      <c r="C33" s="135" t="n">
        <v>1</v>
      </c>
      <c r="D33" s="133" t="n">
        <v>0.05</v>
      </c>
      <c r="E33" s="133" t="n">
        <v>0.08</v>
      </c>
      <c r="F33" s="133" t="n">
        <v>-0.02</v>
      </c>
      <c r="G33" s="133" t="n">
        <v>0.08</v>
      </c>
      <c r="H33" s="130" t="n">
        <f aca="false">INDEX(B$19:B$25,$C33)+D33</f>
        <v>0.11</v>
      </c>
      <c r="I33" s="130" t="n">
        <f aca="false">INDEX(C$19:C$25,$C33)+E33</f>
        <v>0.2</v>
      </c>
      <c r="J33" s="130" t="n">
        <f aca="false">INDEX(D$19:D$25,$C33)+F33</f>
        <v>-0.04</v>
      </c>
      <c r="K33" s="130" t="n">
        <f aca="false">INDEX(E$19:E$25,$C33)+G33</f>
        <v>0.22</v>
      </c>
      <c r="L33" s="130" t="n">
        <f aca="false">B33/$B$37</f>
        <v>0.05</v>
      </c>
      <c r="M33" s="136" t="s">
        <v>523</v>
      </c>
    </row>
    <row r="34" customFormat="false" ht="25.5" hidden="false" customHeight="true" outlineLevel="0" collapsed="false">
      <c r="A34" s="127" t="s">
        <v>524</v>
      </c>
      <c r="B34" s="131" t="n">
        <v>3</v>
      </c>
      <c r="C34" s="135" t="n">
        <v>3</v>
      </c>
      <c r="D34" s="133" t="n">
        <v>0.02</v>
      </c>
      <c r="E34" s="133" t="n">
        <v>0.04</v>
      </c>
      <c r="F34" s="133" t="n">
        <v>-0.02</v>
      </c>
      <c r="G34" s="133" t="n">
        <v>0.04</v>
      </c>
      <c r="H34" s="130" t="n">
        <f aca="false">INDEX(B$19:B$25,$C34)+D34</f>
        <v>0.14</v>
      </c>
      <c r="I34" s="130" t="n">
        <f aca="false">INDEX(C$19:C$25,$C34)+E34</f>
        <v>0.24</v>
      </c>
      <c r="J34" s="130" t="n">
        <f aca="false">INDEX(D$19:D$25,$C34)+F34</f>
        <v>0.01</v>
      </c>
      <c r="K34" s="130" t="n">
        <f aca="false">INDEX(E$19:E$25,$C34)+G34</f>
        <v>0.26</v>
      </c>
      <c r="L34" s="130" t="n">
        <f aca="false">B34/$B$37</f>
        <v>0.05</v>
      </c>
      <c r="M34" s="136" t="s">
        <v>525</v>
      </c>
    </row>
    <row r="35" customFormat="false" ht="25.5" hidden="false" customHeight="true" outlineLevel="0" collapsed="false">
      <c r="A35" s="127" t="s">
        <v>526</v>
      </c>
      <c r="B35" s="131" t="n">
        <v>4</v>
      </c>
      <c r="C35" s="135" t="n">
        <v>6</v>
      </c>
      <c r="D35" s="133" t="n">
        <v>0.02</v>
      </c>
      <c r="E35" s="133" t="n">
        <v>0.04</v>
      </c>
      <c r="F35" s="133" t="n">
        <v>0</v>
      </c>
      <c r="G35" s="133" t="n">
        <v>0.03</v>
      </c>
      <c r="H35" s="130" t="n">
        <f aca="false">INDEX(B$19:B$25,$C35)+D35</f>
        <v>0.12</v>
      </c>
      <c r="I35" s="130" t="n">
        <f aca="false">INDEX(C$19:C$25,$C35)+E35</f>
        <v>0.22</v>
      </c>
      <c r="J35" s="130" t="n">
        <f aca="false">INDEX(D$19:D$25,$C35)+F35</f>
        <v>0</v>
      </c>
      <c r="K35" s="130" t="n">
        <f aca="false">INDEX(E$19:E$25,$C35)+G35</f>
        <v>0.23</v>
      </c>
      <c r="L35" s="130" t="n">
        <f aca="false">B35/$B$37</f>
        <v>0.0666666666666667</v>
      </c>
      <c r="M35" s="136" t="s">
        <v>527</v>
      </c>
    </row>
    <row r="36" customFormat="false" ht="25.5" hidden="false" customHeight="true" outlineLevel="0" collapsed="false">
      <c r="A36" s="127" t="s">
        <v>528</v>
      </c>
      <c r="B36" s="131" t="n">
        <v>7</v>
      </c>
      <c r="C36" s="135" t="n">
        <v>7</v>
      </c>
      <c r="D36" s="133" t="n">
        <v>0</v>
      </c>
      <c r="E36" s="133" t="n">
        <v>0.01</v>
      </c>
      <c r="F36" s="133" t="n">
        <v>0</v>
      </c>
      <c r="G36" s="133" t="n">
        <v>0</v>
      </c>
      <c r="H36" s="130" t="n">
        <f aca="false">INDEX(B$19:B$25,$C36)+D36</f>
        <v>0.03</v>
      </c>
      <c r="I36" s="130" t="n">
        <f aca="false">INDEX(C$19:C$25,$C36)+E36</f>
        <v>0.06</v>
      </c>
      <c r="J36" s="130" t="n">
        <f aca="false">INDEX(D$19:D$25,$C36)+F36</f>
        <v>-0.02</v>
      </c>
      <c r="K36" s="130" t="n">
        <f aca="false">INDEX(E$19:E$25,$C36)+G36</f>
        <v>0.01</v>
      </c>
      <c r="L36" s="130" t="n">
        <f aca="false">B36/$B$37</f>
        <v>0.116666666666667</v>
      </c>
      <c r="M36" s="136" t="s">
        <v>529</v>
      </c>
    </row>
    <row r="37" customFormat="false" ht="15" hidden="false" customHeight="false" outlineLevel="0" collapsed="false">
      <c r="A37" s="137" t="s">
        <v>530</v>
      </c>
      <c r="B37" s="138" t="n">
        <f aca="false">SUM(B29:B36)</f>
        <v>60</v>
      </c>
      <c r="H37" s="139" t="n">
        <f aca="false">SUMPRODUCT($B$29:$B$36,H29:H36)/$B$37</f>
        <v>0.092</v>
      </c>
      <c r="I37" s="139" t="n">
        <f aca="false">SUMPRODUCT($B$29:$B$36,I29:I36)/$B$37</f>
        <v>0.178666666666667</v>
      </c>
      <c r="J37" s="139" t="n">
        <f aca="false">SUMPRODUCT($B$29:$B$36,J29:J36)/$B$37</f>
        <v>-0.0521666666666667</v>
      </c>
      <c r="K37" s="139" t="n">
        <f aca="false">SUMPRODUCT($B$29:$B$36,K29:K36)/$B$37</f>
        <v>0.191166666666667</v>
      </c>
      <c r="L37" s="139" t="n">
        <f aca="false">SUM(L29:L36)</f>
        <v>1</v>
      </c>
    </row>
    <row r="38" customFormat="false" ht="15" hidden="false" customHeight="false" outlineLevel="0" collapsed="false">
      <c r="A38" s="127" t="s">
        <v>531</v>
      </c>
      <c r="L38" s="140" t="n">
        <f aca="false">SUM(L30:L32)</f>
        <v>0.216666666666667</v>
      </c>
    </row>
    <row r="40" customFormat="false" ht="15" hidden="false" customHeight="false" outlineLevel="0" collapsed="false">
      <c r="A40" s="60" t="s">
        <v>532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</row>
    <row r="41" customFormat="false" ht="15" hidden="false" customHeight="true" outlineLevel="0" collapsed="false">
      <c r="A41" s="126" t="s">
        <v>462</v>
      </c>
      <c r="B41" s="126" t="s">
        <v>36</v>
      </c>
      <c r="C41" s="126" t="s">
        <v>37</v>
      </c>
      <c r="D41" s="126" t="s">
        <v>38</v>
      </c>
      <c r="E41" s="126" t="s">
        <v>39</v>
      </c>
      <c r="F41" s="126" t="s">
        <v>513</v>
      </c>
      <c r="G41" s="126"/>
      <c r="H41" s="126"/>
      <c r="I41" s="126"/>
      <c r="J41" s="126"/>
      <c r="K41" s="126"/>
      <c r="L41" s="126"/>
      <c r="M41" s="126"/>
    </row>
    <row r="42" customFormat="false" ht="25.5" hidden="false" customHeight="true" outlineLevel="0" collapsed="false">
      <c r="A42" s="127" t="s">
        <v>533</v>
      </c>
      <c r="B42" s="135" t="n">
        <v>3</v>
      </c>
      <c r="C42" s="135" t="n">
        <v>2</v>
      </c>
      <c r="D42" s="135" t="n">
        <v>99</v>
      </c>
      <c r="E42" s="135" t="n">
        <v>2</v>
      </c>
      <c r="F42" s="129" t="s">
        <v>534</v>
      </c>
      <c r="G42" s="129"/>
      <c r="H42" s="129"/>
      <c r="I42" s="129"/>
      <c r="J42" s="129"/>
      <c r="K42" s="129"/>
      <c r="L42" s="129"/>
      <c r="M42" s="129"/>
    </row>
    <row r="43" customFormat="false" ht="25.5" hidden="false" customHeight="true" outlineLevel="0" collapsed="false">
      <c r="A43" s="127" t="s">
        <v>535</v>
      </c>
      <c r="B43" s="131" t="n">
        <v>12</v>
      </c>
      <c r="C43" s="131" t="n">
        <v>20</v>
      </c>
      <c r="D43" s="131" t="n">
        <v>0</v>
      </c>
      <c r="E43" s="131" t="n">
        <v>24</v>
      </c>
      <c r="F43" s="129" t="s">
        <v>536</v>
      </c>
      <c r="G43" s="129"/>
      <c r="H43" s="129"/>
      <c r="I43" s="129"/>
      <c r="J43" s="129"/>
      <c r="K43" s="129"/>
      <c r="L43" s="129"/>
      <c r="M43" s="129"/>
    </row>
    <row r="44" customFormat="false" ht="25.5" hidden="false" customHeight="true" outlineLevel="0" collapsed="false">
      <c r="A44" s="127" t="s">
        <v>537</v>
      </c>
      <c r="B44" s="135" t="n">
        <v>2</v>
      </c>
      <c r="C44" s="135" t="n">
        <v>2</v>
      </c>
      <c r="D44" s="135" t="n">
        <v>2</v>
      </c>
      <c r="E44" s="135" t="n">
        <v>1</v>
      </c>
      <c r="F44" s="129" t="s">
        <v>538</v>
      </c>
      <c r="G44" s="129"/>
      <c r="H44" s="129"/>
      <c r="I44" s="129"/>
      <c r="J44" s="129"/>
      <c r="K44" s="129"/>
      <c r="L44" s="129"/>
      <c r="M44" s="129"/>
    </row>
    <row r="46" customFormat="false" ht="15" hidden="false" customHeight="false" outlineLevel="0" collapsed="false">
      <c r="A46" s="60" t="s">
        <v>539</v>
      </c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</row>
    <row r="47" customFormat="false" ht="15" hidden="false" customHeight="true" outlineLevel="0" collapsed="false">
      <c r="A47" s="126" t="s">
        <v>462</v>
      </c>
      <c r="B47" s="126" t="s">
        <v>36</v>
      </c>
      <c r="C47" s="126" t="s">
        <v>37</v>
      </c>
      <c r="D47" s="126" t="s">
        <v>38</v>
      </c>
      <c r="E47" s="126" t="s">
        <v>39</v>
      </c>
      <c r="F47" s="126" t="s">
        <v>513</v>
      </c>
      <c r="G47" s="126"/>
      <c r="H47" s="126"/>
      <c r="I47" s="126"/>
      <c r="J47" s="126"/>
      <c r="K47" s="126"/>
      <c r="L47" s="126"/>
      <c r="M47" s="126"/>
    </row>
    <row r="48" customFormat="false" ht="25.5" hidden="false" customHeight="true" outlineLevel="0" collapsed="false">
      <c r="A48" s="127" t="s">
        <v>540</v>
      </c>
      <c r="B48" s="133" t="n">
        <v>0.16</v>
      </c>
      <c r="C48" s="133" t="n">
        <v>0.19</v>
      </c>
      <c r="D48" s="133" t="n">
        <v>0.11</v>
      </c>
      <c r="E48" s="133" t="n">
        <v>0.18</v>
      </c>
      <c r="F48" s="129" t="s">
        <v>541</v>
      </c>
      <c r="G48" s="129"/>
      <c r="H48" s="129"/>
      <c r="I48" s="129"/>
      <c r="J48" s="129"/>
      <c r="K48" s="129"/>
      <c r="L48" s="129"/>
      <c r="M48" s="129"/>
    </row>
    <row r="49" customFormat="false" ht="25.5" hidden="false" customHeight="true" outlineLevel="0" collapsed="false">
      <c r="A49" s="127" t="s">
        <v>542</v>
      </c>
      <c r="B49" s="141" t="n">
        <v>11</v>
      </c>
      <c r="C49" s="141" t="n">
        <v>14</v>
      </c>
      <c r="D49" s="141" t="n">
        <v>7</v>
      </c>
      <c r="E49" s="141" t="n">
        <v>13</v>
      </c>
      <c r="F49" s="129" t="s">
        <v>543</v>
      </c>
      <c r="G49" s="129"/>
      <c r="H49" s="129"/>
      <c r="I49" s="129"/>
      <c r="J49" s="129"/>
      <c r="K49" s="129"/>
      <c r="L49" s="129"/>
      <c r="M49" s="129"/>
    </row>
    <row r="51" customFormat="false" ht="15" hidden="false" customHeight="false" outlineLevel="0" collapsed="false">
      <c r="A51" s="60" t="s">
        <v>544</v>
      </c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</row>
    <row r="52" customFormat="false" ht="15" hidden="false" customHeight="false" outlineLevel="0" collapsed="false">
      <c r="A52" s="126" t="s">
        <v>545</v>
      </c>
      <c r="B52" s="126" t="s">
        <v>202</v>
      </c>
      <c r="C52" s="126" t="s">
        <v>546</v>
      </c>
      <c r="D52" s="126" t="s">
        <v>547</v>
      </c>
      <c r="E52" s="126" t="s">
        <v>548</v>
      </c>
      <c r="F52" s="126" t="s">
        <v>549</v>
      </c>
      <c r="G52" s="126" t="s">
        <v>550</v>
      </c>
      <c r="H52" s="126" t="s">
        <v>551</v>
      </c>
      <c r="I52" s="126" t="s">
        <v>552</v>
      </c>
      <c r="J52" s="126" t="s">
        <v>553</v>
      </c>
      <c r="K52" s="126" t="s">
        <v>554</v>
      </c>
      <c r="L52" s="126" t="s">
        <v>555</v>
      </c>
    </row>
    <row r="53" customFormat="false" ht="15" hidden="false" customHeight="false" outlineLevel="0" collapsed="false">
      <c r="A53" s="142" t="s">
        <v>556</v>
      </c>
      <c r="B53" s="143" t="n">
        <v>0</v>
      </c>
      <c r="C53" s="143" t="n">
        <v>1</v>
      </c>
      <c r="D53" s="143" t="n">
        <v>2</v>
      </c>
      <c r="E53" s="143" t="n">
        <v>3</v>
      </c>
      <c r="F53" s="143" t="n">
        <v>4</v>
      </c>
      <c r="G53" s="143" t="n">
        <v>5</v>
      </c>
      <c r="H53" s="143" t="n">
        <v>6</v>
      </c>
      <c r="I53" s="143" t="n">
        <v>7</v>
      </c>
      <c r="J53" s="143" t="n">
        <v>8</v>
      </c>
      <c r="K53" s="143" t="n">
        <v>9</v>
      </c>
      <c r="L53" s="143" t="n">
        <v>10</v>
      </c>
    </row>
    <row r="54" customFormat="false" ht="15" hidden="false" customHeight="false" outlineLevel="0" collapsed="false">
      <c r="A54" s="137" t="s">
        <v>557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</row>
    <row r="55" customFormat="false" ht="15" hidden="false" customHeight="false" outlineLevel="0" collapsed="false">
      <c r="A55" s="127" t="s">
        <v>558</v>
      </c>
      <c r="B55" s="132" t="n">
        <f aca="false">SUMPRODUCT($B$29:$B$36,(1+$H$29:$H$36)^B$53)</f>
        <v>60</v>
      </c>
      <c r="C55" s="132" t="n">
        <f aca="false">SUMPRODUCT($B$29:$B$36,(1+$H$29:$H$36)^C$53)</f>
        <v>65.52</v>
      </c>
      <c r="D55" s="132" t="n">
        <f aca="false">SUMPRODUCT($B$29:$B$36,(1+$H$29:$H$36)^D$53)</f>
        <v>71.7226</v>
      </c>
      <c r="E55" s="132" t="n">
        <f aca="false">SUMPRODUCT($B$29:$B$36,(1+$H$29:$H$36)^E$53)</f>
        <v>78.711258</v>
      </c>
      <c r="F55" s="132" t="n">
        <f aca="false">SUMPRODUCT($B$29:$B$36,(1+$H$29:$H$36)^F$53)</f>
        <v>86.60698846</v>
      </c>
      <c r="G55" s="132" t="n">
        <f aca="false">SUMPRODUCT($B$29:$B$36,(1+$H$29:$H$36)^G$53)</f>
        <v>95.5515229362</v>
      </c>
      <c r="H55" s="132" t="n">
        <f aca="false">SUMPRODUCT($B$29:$B$36,(1+$H$29:$H$36)^H$53)</f>
        <v>105.711058519486</v>
      </c>
      <c r="I55" s="132" t="n">
        <f aca="false">SUMPRODUCT($B$29:$B$36,(1+$H$29:$H$36)^I$53)</f>
        <v>117.280705554175</v>
      </c>
      <c r="J55" s="132" t="n">
        <f aca="false">SUMPRODUCT($B$29:$B$36,(1+$H$29:$H$36)^J$53)</f>
        <v>130.489767529379</v>
      </c>
      <c r="K55" s="132" t="n">
        <f aca="false">SUMPRODUCT($B$29:$B$36,(1+$H$29:$H$36)^K$53)</f>
        <v>145.608011600067</v>
      </c>
      <c r="L55" s="132" t="n">
        <f aca="false">SUMPRODUCT($B$29:$B$36,(1+$H$29:$H$36)^L$53)</f>
        <v>162.953118719613</v>
      </c>
    </row>
    <row r="56" customFormat="false" ht="15" hidden="false" customHeight="false" outlineLevel="0" collapsed="false">
      <c r="A56" s="127" t="s">
        <v>559</v>
      </c>
      <c r="B56" s="132" t="n">
        <f aca="false">B$43*MIN(MAX(B$53-B$42+1,0)/B$44,1)</f>
        <v>0</v>
      </c>
      <c r="C56" s="132" t="n">
        <f aca="false">B$43*MIN(MAX(C$53-B$42+1,0)/B$44,1)</f>
        <v>0</v>
      </c>
      <c r="D56" s="132" t="n">
        <f aca="false">B$43*MIN(MAX(D$53-B$42+1,0)/B$44,1)</f>
        <v>0</v>
      </c>
      <c r="E56" s="132" t="n">
        <f aca="false">B$43*MIN(MAX(E$53-B$42+1,0)/B$44,1)</f>
        <v>6</v>
      </c>
      <c r="F56" s="132" t="n">
        <f aca="false">B$43*MIN(MAX(F$53-B$42+1,0)/B$44,1)</f>
        <v>12</v>
      </c>
      <c r="G56" s="132" t="n">
        <f aca="false">B$43*MIN(MAX(G$53-B$42+1,0)/B$44,1)</f>
        <v>12</v>
      </c>
      <c r="H56" s="132" t="n">
        <f aca="false">B$43*MIN(MAX(H$53-B$42+1,0)/B$44,1)</f>
        <v>12</v>
      </c>
      <c r="I56" s="132" t="n">
        <f aca="false">B$43*MIN(MAX(I$53-B$42+1,0)/B$44,1)</f>
        <v>12</v>
      </c>
      <c r="J56" s="132" t="n">
        <f aca="false">B$43*MIN(MAX(J$53-B$42+1,0)/B$44,1)</f>
        <v>12</v>
      </c>
      <c r="K56" s="132" t="n">
        <f aca="false">B$43*MIN(MAX(K$53-B$42+1,0)/B$44,1)</f>
        <v>12</v>
      </c>
      <c r="L56" s="132" t="n">
        <f aca="false">B$43*MIN(MAX(L$53-B$42+1,0)/B$44,1)</f>
        <v>12</v>
      </c>
    </row>
    <row r="57" customFormat="false" ht="15" hidden="false" customHeight="false" outlineLevel="0" collapsed="false">
      <c r="A57" s="145" t="s">
        <v>560</v>
      </c>
      <c r="B57" s="146" t="n">
        <f aca="false">B55+B56</f>
        <v>60</v>
      </c>
      <c r="C57" s="146" t="n">
        <f aca="false">C55+C56</f>
        <v>65.52</v>
      </c>
      <c r="D57" s="146" t="n">
        <f aca="false">D55+D56</f>
        <v>71.7226</v>
      </c>
      <c r="E57" s="146" t="n">
        <f aca="false">E55+E56</f>
        <v>84.711258</v>
      </c>
      <c r="F57" s="146" t="n">
        <f aca="false">F55+F56</f>
        <v>98.60698846</v>
      </c>
      <c r="G57" s="146" t="n">
        <f aca="false">G55+G56</f>
        <v>107.5515229362</v>
      </c>
      <c r="H57" s="146" t="n">
        <f aca="false">H55+H56</f>
        <v>117.711058519486</v>
      </c>
      <c r="I57" s="146" t="n">
        <f aca="false">I55+I56</f>
        <v>129.280705554175</v>
      </c>
      <c r="J57" s="146" t="n">
        <f aca="false">J55+J56</f>
        <v>142.489767529379</v>
      </c>
      <c r="K57" s="146" t="n">
        <f aca="false">K55+K56</f>
        <v>157.608011600067</v>
      </c>
      <c r="L57" s="146" t="n">
        <f aca="false">L55+L56</f>
        <v>174.953118719613</v>
      </c>
    </row>
    <row r="58" customFormat="false" ht="15" hidden="false" customHeight="false" outlineLevel="0" collapsed="false">
      <c r="A58" s="127" t="s">
        <v>561</v>
      </c>
      <c r="B58" s="130" t="n">
        <f aca="false">$B$11+(B$48-$B$11)*MIN(B$53/$B$15,1)</f>
        <v>0.14</v>
      </c>
      <c r="C58" s="130" t="n">
        <f aca="false">$B$11+(B$48-$B$11)*MIN(C$53/$B$15,1)</f>
        <v>0.144</v>
      </c>
      <c r="D58" s="130" t="n">
        <f aca="false">$B$11+(B$48-$B$11)*MIN(D$53/$B$15,1)</f>
        <v>0.148</v>
      </c>
      <c r="E58" s="130" t="n">
        <f aca="false">$B$11+(B$48-$B$11)*MIN(E$53/$B$15,1)</f>
        <v>0.152</v>
      </c>
      <c r="F58" s="130" t="n">
        <f aca="false">$B$11+(B$48-$B$11)*MIN(F$53/$B$15,1)</f>
        <v>0.156</v>
      </c>
      <c r="G58" s="130" t="n">
        <f aca="false">$B$11+(B$48-$B$11)*MIN(G$53/$B$15,1)</f>
        <v>0.16</v>
      </c>
      <c r="H58" s="130" t="n">
        <f aca="false">$B$11+(B$48-$B$11)*MIN(H$53/$B$15,1)</f>
        <v>0.16</v>
      </c>
      <c r="I58" s="130" t="n">
        <f aca="false">$B$11+(B$48-$B$11)*MIN(I$53/$B$15,1)</f>
        <v>0.16</v>
      </c>
      <c r="J58" s="130" t="n">
        <f aca="false">$B$11+(B$48-$B$11)*MIN(J$53/$B$15,1)</f>
        <v>0.16</v>
      </c>
      <c r="K58" s="130" t="n">
        <f aca="false">$B$11+(B$48-$B$11)*MIN(K$53/$B$15,1)</f>
        <v>0.16</v>
      </c>
      <c r="L58" s="130" t="n">
        <f aca="false">$B$11+(B$48-$B$11)*MIN(L$53/$B$15,1)</f>
        <v>0.16</v>
      </c>
    </row>
    <row r="59" customFormat="false" ht="15" hidden="false" customHeight="false" outlineLevel="0" collapsed="false">
      <c r="A59" s="127" t="s">
        <v>562</v>
      </c>
      <c r="B59" s="132" t="n">
        <f aca="false">B57*B58</f>
        <v>8.4</v>
      </c>
      <c r="C59" s="132" t="n">
        <f aca="false">C57*C58</f>
        <v>9.43488</v>
      </c>
      <c r="D59" s="132" t="n">
        <f aca="false">D57*D58</f>
        <v>10.6149448</v>
      </c>
      <c r="E59" s="132" t="n">
        <f aca="false">E57*E58</f>
        <v>12.876111216</v>
      </c>
      <c r="F59" s="132" t="n">
        <f aca="false">F57*F58</f>
        <v>15.38269019976</v>
      </c>
      <c r="G59" s="132" t="n">
        <f aca="false">G57*G58</f>
        <v>17.208243669792</v>
      </c>
      <c r="H59" s="132" t="n">
        <f aca="false">H57*H58</f>
        <v>18.8337693631178</v>
      </c>
      <c r="I59" s="132" t="n">
        <f aca="false">I57*I58</f>
        <v>20.6849128886681</v>
      </c>
      <c r="J59" s="132" t="n">
        <f aca="false">J57*J58</f>
        <v>22.7983628047006</v>
      </c>
      <c r="K59" s="132" t="n">
        <f aca="false">K57*K58</f>
        <v>25.2172818560107</v>
      </c>
      <c r="L59" s="132" t="n">
        <f aca="false">L57*L58</f>
        <v>27.9924989951381</v>
      </c>
    </row>
    <row r="60" customFormat="false" ht="15" hidden="false" customHeight="false" outlineLevel="0" collapsed="false">
      <c r="A60" s="127" t="s">
        <v>563</v>
      </c>
      <c r="B60" s="132" t="n">
        <v>0</v>
      </c>
      <c r="C60" s="132" t="n">
        <f aca="false">B60+C59*$B$14</f>
        <v>4.245696</v>
      </c>
      <c r="D60" s="132" t="n">
        <f aca="false">C60+D59*$B$14</f>
        <v>9.02242116</v>
      </c>
      <c r="E60" s="132" t="n">
        <f aca="false">D60+E59*$B$14</f>
        <v>14.8166712072</v>
      </c>
      <c r="F60" s="132" t="n">
        <f aca="false">E60+F59*$B$14</f>
        <v>21.738881797092</v>
      </c>
      <c r="G60" s="132" t="n">
        <f aca="false">F60+G59*$B$14</f>
        <v>29.4825914484984</v>
      </c>
      <c r="H60" s="132" t="n">
        <f aca="false">G60+H59*$B$14</f>
        <v>37.9577876619014</v>
      </c>
      <c r="I60" s="132" t="n">
        <f aca="false">H60+I59*$B$14</f>
        <v>47.265998461802</v>
      </c>
      <c r="J60" s="132" t="n">
        <f aca="false">I60+J59*$B$14</f>
        <v>57.5252617239173</v>
      </c>
      <c r="K60" s="132" t="n">
        <f aca="false">J60+K59*$B$14</f>
        <v>68.8730385591221</v>
      </c>
      <c r="L60" s="132" t="n">
        <f aca="false">K60+L59*$B$14</f>
        <v>81.4696631069343</v>
      </c>
    </row>
    <row r="61" customFormat="false" ht="15" hidden="false" customHeight="false" outlineLevel="0" collapsed="false">
      <c r="A61" s="127" t="s">
        <v>564</v>
      </c>
      <c r="B61" s="132" t="n">
        <f aca="false">$B$6+$B$9</f>
        <v>92</v>
      </c>
      <c r="C61" s="132" t="n">
        <f aca="false">C59*B$49</f>
        <v>103.78368</v>
      </c>
      <c r="D61" s="132" t="n">
        <f aca="false">D59*B$49</f>
        <v>116.7643928</v>
      </c>
      <c r="E61" s="132" t="n">
        <f aca="false">E59*B$49</f>
        <v>141.637223376</v>
      </c>
      <c r="F61" s="132" t="n">
        <f aca="false">F59*B$49</f>
        <v>169.20959219736</v>
      </c>
      <c r="G61" s="132" t="n">
        <f aca="false">G59*B$49</f>
        <v>189.290680367712</v>
      </c>
      <c r="H61" s="132" t="n">
        <f aca="false">H59*B$49</f>
        <v>207.171462994295</v>
      </c>
      <c r="I61" s="132" t="n">
        <f aca="false">I59*B$49</f>
        <v>227.534041775349</v>
      </c>
      <c r="J61" s="132" t="n">
        <f aca="false">J59*B$49</f>
        <v>250.781990851706</v>
      </c>
      <c r="K61" s="132" t="n">
        <f aca="false">K59*B$49</f>
        <v>277.390100416118</v>
      </c>
      <c r="L61" s="132" t="n">
        <f aca="false">L59*B$49</f>
        <v>307.917488946519</v>
      </c>
    </row>
    <row r="62" customFormat="false" ht="15" hidden="false" customHeight="false" outlineLevel="0" collapsed="false">
      <c r="A62" s="145" t="s">
        <v>565</v>
      </c>
      <c r="B62" s="146" t="n">
        <f aca="false">B61+B60-$B$9</f>
        <v>92</v>
      </c>
      <c r="C62" s="146" t="n">
        <f aca="false">C61+C60-$B$9</f>
        <v>108.029376</v>
      </c>
      <c r="D62" s="146" t="n">
        <f aca="false">D61+D60-$B$9</f>
        <v>125.78681396</v>
      </c>
      <c r="E62" s="146" t="n">
        <f aca="false">E61+E60-$B$9</f>
        <v>156.4538945832</v>
      </c>
      <c r="F62" s="146" t="n">
        <f aca="false">F61+F60-$B$9</f>
        <v>190.948473994452</v>
      </c>
      <c r="G62" s="146" t="n">
        <f aca="false">G61+G60-$B$9</f>
        <v>218.77327181621</v>
      </c>
      <c r="H62" s="146" t="n">
        <f aca="false">H61+H60-$B$9</f>
        <v>245.129250656197</v>
      </c>
      <c r="I62" s="146" t="n">
        <f aca="false">I61+I60-$B$9</f>
        <v>274.800040237151</v>
      </c>
      <c r="J62" s="146" t="n">
        <f aca="false">J61+J60-$B$9</f>
        <v>308.307252575623</v>
      </c>
      <c r="K62" s="146" t="n">
        <f aca="false">K61+K60-$B$9</f>
        <v>346.26313897524</v>
      </c>
      <c r="L62" s="146" t="n">
        <f aca="false">L61+L60-$B$9</f>
        <v>389.387152053454</v>
      </c>
    </row>
    <row r="64" customFormat="false" ht="15" hidden="false" customHeight="false" outlineLevel="0" collapsed="false">
      <c r="A64" s="137" t="s">
        <v>566</v>
      </c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</row>
    <row r="65" customFormat="false" ht="15" hidden="false" customHeight="false" outlineLevel="0" collapsed="false">
      <c r="A65" s="127" t="s">
        <v>558</v>
      </c>
      <c r="B65" s="132" t="n">
        <f aca="false">SUMPRODUCT($B$29:$B$36,(1+$I$29:$I$36)^B$53)</f>
        <v>60</v>
      </c>
      <c r="C65" s="132" t="n">
        <f aca="false">SUMPRODUCT($B$29:$B$36,(1+$I$29:$I$36)^C$53)</f>
        <v>70.72</v>
      </c>
      <c r="D65" s="132" t="n">
        <f aca="false">SUMPRODUCT($B$29:$B$36,(1+$I$29:$I$36)^D$53)</f>
        <v>83.6508</v>
      </c>
      <c r="E65" s="132" t="n">
        <f aca="false">SUMPRODUCT($B$29:$B$36,(1+$I$29:$I$36)^E$53)</f>
        <v>99.299608</v>
      </c>
      <c r="F65" s="132" t="n">
        <f aca="false">SUMPRODUCT($B$29:$B$36,(1+$I$29:$I$36)^F$53)</f>
        <v>118.2996954</v>
      </c>
      <c r="G65" s="132" t="n">
        <f aca="false">SUMPRODUCT($B$29:$B$36,(1+$I$29:$I$36)^G$53)</f>
        <v>141.4435892392</v>
      </c>
      <c r="H65" s="132" t="n">
        <f aca="false">SUMPRODUCT($B$29:$B$36,(1+$I$29:$I$36)^H$53)</f>
        <v>169.725355877508</v>
      </c>
      <c r="I65" s="132" t="n">
        <f aca="false">SUMPRODUCT($B$29:$B$36,(1+$I$29:$I$36)^I$53)</f>
        <v>204.394532267048</v>
      </c>
      <c r="J65" s="132" t="n">
        <f aca="false">SUMPRODUCT($B$29:$B$36,(1+$I$29:$I$36)^J$53)</f>
        <v>247.024992067869</v>
      </c>
      <c r="K65" s="132" t="n">
        <f aca="false">SUMPRODUCT($B$29:$B$36,(1+$I$29:$I$36)^K$53)</f>
        <v>299.602976459189</v>
      </c>
      <c r="L65" s="132" t="n">
        <f aca="false">SUMPRODUCT($B$29:$B$36,(1+$I$29:$I$36)^L$53)</f>
        <v>364.639735232899</v>
      </c>
    </row>
    <row r="66" customFormat="false" ht="15" hidden="false" customHeight="false" outlineLevel="0" collapsed="false">
      <c r="A66" s="127" t="s">
        <v>559</v>
      </c>
      <c r="B66" s="132" t="n">
        <f aca="false">C$43*MIN(MAX(B$53-C$42+1,0)/C$44,1)</f>
        <v>0</v>
      </c>
      <c r="C66" s="132" t="n">
        <f aca="false">C$43*MIN(MAX(C$53-C$42+1,0)/C$44,1)</f>
        <v>0</v>
      </c>
      <c r="D66" s="132" t="n">
        <f aca="false">C$43*MIN(MAX(D$53-C$42+1,0)/C$44,1)</f>
        <v>10</v>
      </c>
      <c r="E66" s="132" t="n">
        <f aca="false">C$43*MIN(MAX(E$53-C$42+1,0)/C$44,1)</f>
        <v>20</v>
      </c>
      <c r="F66" s="132" t="n">
        <f aca="false">C$43*MIN(MAX(F$53-C$42+1,0)/C$44,1)</f>
        <v>20</v>
      </c>
      <c r="G66" s="132" t="n">
        <f aca="false">C$43*MIN(MAX(G$53-C$42+1,0)/C$44,1)</f>
        <v>20</v>
      </c>
      <c r="H66" s="132" t="n">
        <f aca="false">C$43*MIN(MAX(H$53-C$42+1,0)/C$44,1)</f>
        <v>20</v>
      </c>
      <c r="I66" s="132" t="n">
        <f aca="false">C$43*MIN(MAX(I$53-C$42+1,0)/C$44,1)</f>
        <v>20</v>
      </c>
      <c r="J66" s="132" t="n">
        <f aca="false">C$43*MIN(MAX(J$53-C$42+1,0)/C$44,1)</f>
        <v>20</v>
      </c>
      <c r="K66" s="132" t="n">
        <f aca="false">C$43*MIN(MAX(K$53-C$42+1,0)/C$44,1)</f>
        <v>20</v>
      </c>
      <c r="L66" s="132" t="n">
        <f aca="false">C$43*MIN(MAX(L$53-C$42+1,0)/C$44,1)</f>
        <v>20</v>
      </c>
    </row>
    <row r="67" customFormat="false" ht="15" hidden="false" customHeight="false" outlineLevel="0" collapsed="false">
      <c r="A67" s="145" t="s">
        <v>560</v>
      </c>
      <c r="B67" s="146" t="n">
        <f aca="false">B65+B66</f>
        <v>60</v>
      </c>
      <c r="C67" s="146" t="n">
        <f aca="false">C65+C66</f>
        <v>70.72</v>
      </c>
      <c r="D67" s="146" t="n">
        <f aca="false">D65+D66</f>
        <v>93.6508</v>
      </c>
      <c r="E67" s="146" t="n">
        <f aca="false">E65+E66</f>
        <v>119.299608</v>
      </c>
      <c r="F67" s="146" t="n">
        <f aca="false">F65+F66</f>
        <v>138.2996954</v>
      </c>
      <c r="G67" s="146" t="n">
        <f aca="false">G65+G66</f>
        <v>161.4435892392</v>
      </c>
      <c r="H67" s="146" t="n">
        <f aca="false">H65+H66</f>
        <v>189.725355877508</v>
      </c>
      <c r="I67" s="146" t="n">
        <f aca="false">I65+I66</f>
        <v>224.394532267048</v>
      </c>
      <c r="J67" s="146" t="n">
        <f aca="false">J65+J66</f>
        <v>267.024992067869</v>
      </c>
      <c r="K67" s="146" t="n">
        <f aca="false">K65+K66</f>
        <v>319.602976459189</v>
      </c>
      <c r="L67" s="146" t="n">
        <f aca="false">L65+L66</f>
        <v>384.639735232899</v>
      </c>
    </row>
    <row r="68" customFormat="false" ht="15" hidden="false" customHeight="false" outlineLevel="0" collapsed="false">
      <c r="A68" s="127" t="s">
        <v>561</v>
      </c>
      <c r="B68" s="130" t="n">
        <f aca="false">$B$11+(C$48-$B$11)*MIN(B$53/$B$15,1)</f>
        <v>0.14</v>
      </c>
      <c r="C68" s="130" t="n">
        <f aca="false">$B$11+(C$48-$B$11)*MIN(C$53/$B$15,1)</f>
        <v>0.15</v>
      </c>
      <c r="D68" s="130" t="n">
        <f aca="false">$B$11+(C$48-$B$11)*MIN(D$53/$B$15,1)</f>
        <v>0.16</v>
      </c>
      <c r="E68" s="130" t="n">
        <f aca="false">$B$11+(C$48-$B$11)*MIN(E$53/$B$15,1)</f>
        <v>0.17</v>
      </c>
      <c r="F68" s="130" t="n">
        <f aca="false">$B$11+(C$48-$B$11)*MIN(F$53/$B$15,1)</f>
        <v>0.18</v>
      </c>
      <c r="G68" s="130" t="n">
        <f aca="false">$B$11+(C$48-$B$11)*MIN(G$53/$B$15,1)</f>
        <v>0.19</v>
      </c>
      <c r="H68" s="130" t="n">
        <f aca="false">$B$11+(C$48-$B$11)*MIN(H$53/$B$15,1)</f>
        <v>0.19</v>
      </c>
      <c r="I68" s="130" t="n">
        <f aca="false">$B$11+(C$48-$B$11)*MIN(I$53/$B$15,1)</f>
        <v>0.19</v>
      </c>
      <c r="J68" s="130" t="n">
        <f aca="false">$B$11+(C$48-$B$11)*MIN(J$53/$B$15,1)</f>
        <v>0.19</v>
      </c>
      <c r="K68" s="130" t="n">
        <f aca="false">$B$11+(C$48-$B$11)*MIN(K$53/$B$15,1)</f>
        <v>0.19</v>
      </c>
      <c r="L68" s="130" t="n">
        <f aca="false">$B$11+(C$48-$B$11)*MIN(L$53/$B$15,1)</f>
        <v>0.19</v>
      </c>
    </row>
    <row r="69" customFormat="false" ht="15" hidden="false" customHeight="false" outlineLevel="0" collapsed="false">
      <c r="A69" s="127" t="s">
        <v>562</v>
      </c>
      <c r="B69" s="132" t="n">
        <f aca="false">B67*B68</f>
        <v>8.4</v>
      </c>
      <c r="C69" s="132" t="n">
        <f aca="false">C67*C68</f>
        <v>10.608</v>
      </c>
      <c r="D69" s="132" t="n">
        <f aca="false">D67*D68</f>
        <v>14.984128</v>
      </c>
      <c r="E69" s="132" t="n">
        <f aca="false">E67*E68</f>
        <v>20.28093336</v>
      </c>
      <c r="F69" s="132" t="n">
        <f aca="false">F67*F68</f>
        <v>24.893945172</v>
      </c>
      <c r="G69" s="132" t="n">
        <f aca="false">G67*G68</f>
        <v>30.674281955448</v>
      </c>
      <c r="H69" s="132" t="n">
        <f aca="false">H67*H68</f>
        <v>36.0478176167265</v>
      </c>
      <c r="I69" s="132" t="n">
        <f aca="false">I67*I68</f>
        <v>42.6349611307391</v>
      </c>
      <c r="J69" s="132" t="n">
        <f aca="false">J67*J68</f>
        <v>50.734748492895</v>
      </c>
      <c r="K69" s="132" t="n">
        <f aca="false">K67*K68</f>
        <v>60.7245655272459</v>
      </c>
      <c r="L69" s="132" t="n">
        <f aca="false">L67*L68</f>
        <v>73.0815496942508</v>
      </c>
    </row>
    <row r="70" customFormat="false" ht="15" hidden="false" customHeight="false" outlineLevel="0" collapsed="false">
      <c r="A70" s="127" t="s">
        <v>563</v>
      </c>
      <c r="B70" s="132" t="n">
        <v>0</v>
      </c>
      <c r="C70" s="132" t="n">
        <f aca="false">B70+C69*$B$14</f>
        <v>4.7736</v>
      </c>
      <c r="D70" s="132" t="n">
        <f aca="false">C70+D69*$B$14</f>
        <v>11.5164576</v>
      </c>
      <c r="E70" s="132" t="n">
        <f aca="false">D70+E69*$B$14</f>
        <v>20.642877612</v>
      </c>
      <c r="F70" s="132" t="n">
        <f aca="false">E70+F69*$B$14</f>
        <v>31.8451529394</v>
      </c>
      <c r="G70" s="132" t="n">
        <f aca="false">F70+G69*$B$14</f>
        <v>45.6485798193516</v>
      </c>
      <c r="H70" s="132" t="n">
        <f aca="false">G70+H69*$B$14</f>
        <v>61.8700977468785</v>
      </c>
      <c r="I70" s="132" t="n">
        <f aca="false">H70+I69*$B$14</f>
        <v>81.0558302557111</v>
      </c>
      <c r="J70" s="132" t="n">
        <f aca="false">I70+J69*$B$14</f>
        <v>103.886467077514</v>
      </c>
      <c r="K70" s="132" t="n">
        <f aca="false">J70+K69*$B$14</f>
        <v>131.212521564775</v>
      </c>
      <c r="L70" s="132" t="n">
        <f aca="false">K70+L69*$B$14</f>
        <v>164.099218927187</v>
      </c>
    </row>
    <row r="71" customFormat="false" ht="15" hidden="false" customHeight="false" outlineLevel="0" collapsed="false">
      <c r="A71" s="127" t="s">
        <v>564</v>
      </c>
      <c r="B71" s="132" t="n">
        <f aca="false">$B$6+$B$9</f>
        <v>92</v>
      </c>
      <c r="C71" s="132" t="n">
        <f aca="false">C69*C$49</f>
        <v>148.512</v>
      </c>
      <c r="D71" s="132" t="n">
        <f aca="false">D69*C$49</f>
        <v>209.777792</v>
      </c>
      <c r="E71" s="132" t="n">
        <f aca="false">E69*C$49</f>
        <v>283.93306704</v>
      </c>
      <c r="F71" s="132" t="n">
        <f aca="false">F69*C$49</f>
        <v>348.515232408</v>
      </c>
      <c r="G71" s="132" t="n">
        <f aca="false">G69*C$49</f>
        <v>429.439947376272</v>
      </c>
      <c r="H71" s="132" t="n">
        <f aca="false">H69*C$49</f>
        <v>504.669446634171</v>
      </c>
      <c r="I71" s="132" t="n">
        <f aca="false">I69*C$49</f>
        <v>596.889455830348</v>
      </c>
      <c r="J71" s="132" t="n">
        <f aca="false">J69*C$49</f>
        <v>710.28647890053</v>
      </c>
      <c r="K71" s="132" t="n">
        <f aca="false">K69*C$49</f>
        <v>850.143917381442</v>
      </c>
      <c r="L71" s="132" t="n">
        <f aca="false">L69*C$49</f>
        <v>1023.14169571951</v>
      </c>
    </row>
    <row r="72" customFormat="false" ht="15" hidden="false" customHeight="false" outlineLevel="0" collapsed="false">
      <c r="A72" s="145" t="s">
        <v>565</v>
      </c>
      <c r="B72" s="146" t="n">
        <f aca="false">B71+B70-$B$9</f>
        <v>92</v>
      </c>
      <c r="C72" s="146" t="n">
        <f aca="false">C71+C70-$B$9</f>
        <v>153.2856</v>
      </c>
      <c r="D72" s="146" t="n">
        <f aca="false">D71+D70-$B$9</f>
        <v>221.2942496</v>
      </c>
      <c r="E72" s="146" t="n">
        <f aca="false">E71+E70-$B$9</f>
        <v>304.575944652</v>
      </c>
      <c r="F72" s="146" t="n">
        <f aca="false">F71+F70-$B$9</f>
        <v>380.3603853474</v>
      </c>
      <c r="G72" s="146" t="n">
        <f aca="false">G71+G70-$B$9</f>
        <v>475.088527195624</v>
      </c>
      <c r="H72" s="146" t="n">
        <f aca="false">H71+H70-$B$9</f>
        <v>566.53954438105</v>
      </c>
      <c r="I72" s="146" t="n">
        <f aca="false">I71+I70-$B$9</f>
        <v>677.945286086059</v>
      </c>
      <c r="J72" s="146" t="n">
        <f aca="false">J71+J70-$B$9</f>
        <v>814.172945978044</v>
      </c>
      <c r="K72" s="146" t="n">
        <f aca="false">K71+K70-$B$9</f>
        <v>981.356438946217</v>
      </c>
      <c r="L72" s="146" t="n">
        <f aca="false">L71+L70-$B$9</f>
        <v>1187.2409146467</v>
      </c>
    </row>
    <row r="74" customFormat="false" ht="15" hidden="false" customHeight="false" outlineLevel="0" collapsed="false">
      <c r="A74" s="137" t="s">
        <v>567</v>
      </c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</row>
    <row r="75" customFormat="false" ht="15" hidden="false" customHeight="false" outlineLevel="0" collapsed="false">
      <c r="A75" s="127" t="s">
        <v>558</v>
      </c>
      <c r="B75" s="132" t="n">
        <f aca="false">SUMPRODUCT($B$29:$B$36,(1+$J$29:$J$36)^B$53)</f>
        <v>60</v>
      </c>
      <c r="C75" s="132" t="n">
        <f aca="false">SUMPRODUCT($B$29:$B$36,(1+$J$29:$J$36)^C$53)</f>
        <v>56.87</v>
      </c>
      <c r="D75" s="132" t="n">
        <f aca="false">SUMPRODUCT($B$29:$B$36,(1+$J$29:$J$36)^D$53)</f>
        <v>54.0657</v>
      </c>
      <c r="E75" s="132" t="n">
        <f aca="false">SUMPRODUCT($B$29:$B$36,(1+$J$29:$J$36)^E$53)</f>
        <v>51.557021</v>
      </c>
      <c r="F75" s="132" t="n">
        <f aca="false">SUMPRODUCT($B$29:$B$36,(1+$J$29:$J$36)^F$53)</f>
        <v>49.31692389</v>
      </c>
      <c r="G75" s="132" t="n">
        <f aca="false">SUMPRODUCT($B$29:$B$36,(1+$J$29:$J$36)^G$53)</f>
        <v>47.3211091997</v>
      </c>
      <c r="H75" s="132" t="n">
        <f aca="false">SUMPRODUCT($B$29:$B$36,(1+$J$29:$J$36)^H$53)</f>
        <v>45.547746921117</v>
      </c>
      <c r="I75" s="132" t="n">
        <f aca="false">SUMPRODUCT($B$29:$B$36,(1+$J$29:$J$36)^I$53)</f>
        <v>43.9772334031978</v>
      </c>
      <c r="J75" s="132" t="n">
        <f aca="false">SUMPRODUCT($B$29:$B$36,(1+$J$29:$J$36)^J$53)</f>
        <v>42.5919726176504</v>
      </c>
      <c r="K75" s="132" t="n">
        <f aca="false">SUMPRODUCT($B$29:$B$36,(1+$J$29:$J$36)^K$53)</f>
        <v>41.3761793653578</v>
      </c>
      <c r="L75" s="132" t="n">
        <f aca="false">SUMPRODUCT($B$29:$B$36,(1+$J$29:$J$36)^L$53)</f>
        <v>40.3157022358763</v>
      </c>
    </row>
    <row r="76" customFormat="false" ht="15" hidden="false" customHeight="false" outlineLevel="0" collapsed="false">
      <c r="A76" s="127" t="s">
        <v>559</v>
      </c>
      <c r="B76" s="132" t="n">
        <f aca="false">D$43*MIN(MAX(B$53-D$42+1,0)/D$44,1)</f>
        <v>0</v>
      </c>
      <c r="C76" s="132" t="n">
        <f aca="false">D$43*MIN(MAX(C$53-D$42+1,0)/D$44,1)</f>
        <v>0</v>
      </c>
      <c r="D76" s="132" t="n">
        <f aca="false">D$43*MIN(MAX(D$53-D$42+1,0)/D$44,1)</f>
        <v>0</v>
      </c>
      <c r="E76" s="132" t="n">
        <f aca="false">D$43*MIN(MAX(E$53-D$42+1,0)/D$44,1)</f>
        <v>0</v>
      </c>
      <c r="F76" s="132" t="n">
        <f aca="false">D$43*MIN(MAX(F$53-D$42+1,0)/D$44,1)</f>
        <v>0</v>
      </c>
      <c r="G76" s="132" t="n">
        <f aca="false">D$43*MIN(MAX(G$53-D$42+1,0)/D$44,1)</f>
        <v>0</v>
      </c>
      <c r="H76" s="132" t="n">
        <f aca="false">D$43*MIN(MAX(H$53-D$42+1,0)/D$44,1)</f>
        <v>0</v>
      </c>
      <c r="I76" s="132" t="n">
        <f aca="false">D$43*MIN(MAX(I$53-D$42+1,0)/D$44,1)</f>
        <v>0</v>
      </c>
      <c r="J76" s="132" t="n">
        <f aca="false">D$43*MIN(MAX(J$53-D$42+1,0)/D$44,1)</f>
        <v>0</v>
      </c>
      <c r="K76" s="132" t="n">
        <f aca="false">D$43*MIN(MAX(K$53-D$42+1,0)/D$44,1)</f>
        <v>0</v>
      </c>
      <c r="L76" s="132" t="n">
        <f aca="false">D$43*MIN(MAX(L$53-D$42+1,0)/D$44,1)</f>
        <v>0</v>
      </c>
    </row>
    <row r="77" customFormat="false" ht="15" hidden="false" customHeight="false" outlineLevel="0" collapsed="false">
      <c r="A77" s="145" t="s">
        <v>560</v>
      </c>
      <c r="B77" s="146" t="n">
        <f aca="false">B75+B76</f>
        <v>60</v>
      </c>
      <c r="C77" s="146" t="n">
        <f aca="false">C75+C76</f>
        <v>56.87</v>
      </c>
      <c r="D77" s="146" t="n">
        <f aca="false">D75+D76</f>
        <v>54.0657</v>
      </c>
      <c r="E77" s="146" t="n">
        <f aca="false">E75+E76</f>
        <v>51.557021</v>
      </c>
      <c r="F77" s="146" t="n">
        <f aca="false">F75+F76</f>
        <v>49.31692389</v>
      </c>
      <c r="G77" s="146" t="n">
        <f aca="false">G75+G76</f>
        <v>47.3211091997</v>
      </c>
      <c r="H77" s="146" t="n">
        <f aca="false">H75+H76</f>
        <v>45.547746921117</v>
      </c>
      <c r="I77" s="146" t="n">
        <f aca="false">I75+I76</f>
        <v>43.9772334031978</v>
      </c>
      <c r="J77" s="146" t="n">
        <f aca="false">J75+J76</f>
        <v>42.5919726176504</v>
      </c>
      <c r="K77" s="146" t="n">
        <f aca="false">K75+K76</f>
        <v>41.3761793653578</v>
      </c>
      <c r="L77" s="146" t="n">
        <f aca="false">L75+L76</f>
        <v>40.3157022358763</v>
      </c>
    </row>
    <row r="78" customFormat="false" ht="15" hidden="false" customHeight="false" outlineLevel="0" collapsed="false">
      <c r="A78" s="127" t="s">
        <v>561</v>
      </c>
      <c r="B78" s="130" t="n">
        <f aca="false">$B$11+(D$48-$B$11)*MIN(B$53/$B$15,1)</f>
        <v>0.14</v>
      </c>
      <c r="C78" s="130" t="n">
        <f aca="false">$B$11+(D$48-$B$11)*MIN(C$53/$B$15,1)</f>
        <v>0.134</v>
      </c>
      <c r="D78" s="130" t="n">
        <f aca="false">$B$11+(D$48-$B$11)*MIN(D$53/$B$15,1)</f>
        <v>0.128</v>
      </c>
      <c r="E78" s="130" t="n">
        <f aca="false">$B$11+(D$48-$B$11)*MIN(E$53/$B$15,1)</f>
        <v>0.122</v>
      </c>
      <c r="F78" s="130" t="n">
        <f aca="false">$B$11+(D$48-$B$11)*MIN(F$53/$B$15,1)</f>
        <v>0.116</v>
      </c>
      <c r="G78" s="130" t="n">
        <f aca="false">$B$11+(D$48-$B$11)*MIN(G$53/$B$15,1)</f>
        <v>0.11</v>
      </c>
      <c r="H78" s="130" t="n">
        <f aca="false">$B$11+(D$48-$B$11)*MIN(H$53/$B$15,1)</f>
        <v>0.11</v>
      </c>
      <c r="I78" s="130" t="n">
        <f aca="false">$B$11+(D$48-$B$11)*MIN(I$53/$B$15,1)</f>
        <v>0.11</v>
      </c>
      <c r="J78" s="130" t="n">
        <f aca="false">$B$11+(D$48-$B$11)*MIN(J$53/$B$15,1)</f>
        <v>0.11</v>
      </c>
      <c r="K78" s="130" t="n">
        <f aca="false">$B$11+(D$48-$B$11)*MIN(K$53/$B$15,1)</f>
        <v>0.11</v>
      </c>
      <c r="L78" s="130" t="n">
        <f aca="false">$B$11+(D$48-$B$11)*MIN(L$53/$B$15,1)</f>
        <v>0.11</v>
      </c>
    </row>
    <row r="79" customFormat="false" ht="15" hidden="false" customHeight="false" outlineLevel="0" collapsed="false">
      <c r="A79" s="127" t="s">
        <v>562</v>
      </c>
      <c r="B79" s="132" t="n">
        <f aca="false">B77*B78</f>
        <v>8.4</v>
      </c>
      <c r="C79" s="132" t="n">
        <f aca="false">C77*C78</f>
        <v>7.62058</v>
      </c>
      <c r="D79" s="132" t="n">
        <f aca="false">D77*D78</f>
        <v>6.9204096</v>
      </c>
      <c r="E79" s="132" t="n">
        <f aca="false">E77*E78</f>
        <v>6.289956562</v>
      </c>
      <c r="F79" s="132" t="n">
        <f aca="false">F77*F78</f>
        <v>5.72076317124</v>
      </c>
      <c r="G79" s="132" t="n">
        <f aca="false">G77*G78</f>
        <v>5.205322011967</v>
      </c>
      <c r="H79" s="132" t="n">
        <f aca="false">H77*H78</f>
        <v>5.01025216132287</v>
      </c>
      <c r="I79" s="132" t="n">
        <f aca="false">I77*I78</f>
        <v>4.83749567435176</v>
      </c>
      <c r="J79" s="132" t="n">
        <f aca="false">J77*J78</f>
        <v>4.68511698794155</v>
      </c>
      <c r="K79" s="132" t="n">
        <f aca="false">K77*K78</f>
        <v>4.55137973018936</v>
      </c>
      <c r="L79" s="132" t="n">
        <f aca="false">L77*L78</f>
        <v>4.43472724594639</v>
      </c>
    </row>
    <row r="80" customFormat="false" ht="15" hidden="false" customHeight="false" outlineLevel="0" collapsed="false">
      <c r="A80" s="127" t="s">
        <v>563</v>
      </c>
      <c r="B80" s="132" t="n">
        <v>0</v>
      </c>
      <c r="C80" s="132" t="n">
        <f aca="false">B80+C79*$B$14</f>
        <v>3.429261</v>
      </c>
      <c r="D80" s="132" t="n">
        <f aca="false">C80+D79*$B$14</f>
        <v>6.54344532</v>
      </c>
      <c r="E80" s="132" t="n">
        <f aca="false">D80+E79*$B$14</f>
        <v>9.3739257729</v>
      </c>
      <c r="F80" s="132" t="n">
        <f aca="false">E80+F79*$B$14</f>
        <v>11.948269199958</v>
      </c>
      <c r="G80" s="132" t="n">
        <f aca="false">F80+G79*$B$14</f>
        <v>14.2906641053432</v>
      </c>
      <c r="H80" s="132" t="n">
        <f aca="false">G80+H79*$B$14</f>
        <v>16.5452775779384</v>
      </c>
      <c r="I80" s="132" t="n">
        <f aca="false">H80+I79*$B$14</f>
        <v>18.7221506313967</v>
      </c>
      <c r="J80" s="132" t="n">
        <f aca="false">I80+J79*$B$14</f>
        <v>20.8304532759704</v>
      </c>
      <c r="K80" s="132" t="n">
        <f aca="false">J80+K79*$B$14</f>
        <v>22.8785741545556</v>
      </c>
      <c r="L80" s="132" t="n">
        <f aca="false">K80+L79*$B$14</f>
        <v>24.8742014152315</v>
      </c>
    </row>
    <row r="81" customFormat="false" ht="15" hidden="false" customHeight="false" outlineLevel="0" collapsed="false">
      <c r="A81" s="127" t="s">
        <v>564</v>
      </c>
      <c r="B81" s="132" t="n">
        <f aca="false">$B$6+$B$9</f>
        <v>92</v>
      </c>
      <c r="C81" s="132" t="n">
        <f aca="false">C79*D$49</f>
        <v>53.34406</v>
      </c>
      <c r="D81" s="132" t="n">
        <f aca="false">D79*D$49</f>
        <v>48.4428672</v>
      </c>
      <c r="E81" s="132" t="n">
        <f aca="false">E79*D$49</f>
        <v>44.029695934</v>
      </c>
      <c r="F81" s="132" t="n">
        <f aca="false">F79*D$49</f>
        <v>40.04534219868</v>
      </c>
      <c r="G81" s="132" t="n">
        <f aca="false">G79*D$49</f>
        <v>36.437254083769</v>
      </c>
      <c r="H81" s="132" t="n">
        <f aca="false">H79*D$49</f>
        <v>35.0717651292601</v>
      </c>
      <c r="I81" s="132" t="n">
        <f aca="false">I79*D$49</f>
        <v>33.8624697204623</v>
      </c>
      <c r="J81" s="132" t="n">
        <f aca="false">J79*D$49</f>
        <v>32.7958189155908</v>
      </c>
      <c r="K81" s="132" t="n">
        <f aca="false">K79*D$49</f>
        <v>31.8596581113255</v>
      </c>
      <c r="L81" s="132" t="n">
        <f aca="false">L79*D$49</f>
        <v>31.0430907216248</v>
      </c>
    </row>
    <row r="82" customFormat="false" ht="15" hidden="false" customHeight="false" outlineLevel="0" collapsed="false">
      <c r="A82" s="145" t="s">
        <v>565</v>
      </c>
      <c r="B82" s="146" t="n">
        <f aca="false">B81+B80-$B$9</f>
        <v>92</v>
      </c>
      <c r="C82" s="146" t="n">
        <f aca="false">C81+C80-$B$9</f>
        <v>56.773321</v>
      </c>
      <c r="D82" s="146" t="n">
        <f aca="false">D81+D80-$B$9</f>
        <v>54.98631252</v>
      </c>
      <c r="E82" s="146" t="n">
        <f aca="false">E81+E80-$B$9</f>
        <v>53.4036217069</v>
      </c>
      <c r="F82" s="146" t="n">
        <f aca="false">F81+F80-$B$9</f>
        <v>51.993611398638</v>
      </c>
      <c r="G82" s="146" t="n">
        <f aca="false">G81+G80-$B$9</f>
        <v>50.7279181891122</v>
      </c>
      <c r="H82" s="146" t="n">
        <f aca="false">H81+H80-$B$9</f>
        <v>51.6170427071985</v>
      </c>
      <c r="I82" s="146" t="n">
        <f aca="false">I81+I80-$B$9</f>
        <v>52.5846203518591</v>
      </c>
      <c r="J82" s="146" t="n">
        <f aca="false">J81+J80-$B$9</f>
        <v>53.6262721915613</v>
      </c>
      <c r="K82" s="146" t="n">
        <f aca="false">K81+K80-$B$9</f>
        <v>54.7382322658811</v>
      </c>
      <c r="L82" s="146" t="n">
        <f aca="false">L81+L80-$B$9</f>
        <v>55.9172921368563</v>
      </c>
    </row>
    <row r="84" customFormat="false" ht="15" hidden="false" customHeight="false" outlineLevel="0" collapsed="false">
      <c r="A84" s="137" t="s">
        <v>568</v>
      </c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</row>
    <row r="85" customFormat="false" ht="15" hidden="false" customHeight="false" outlineLevel="0" collapsed="false">
      <c r="A85" s="127" t="s">
        <v>558</v>
      </c>
      <c r="B85" s="132" t="n">
        <f aca="false">SUMPRODUCT($B$29:$B$36,(1+$K$29:$K$36)^B$53)</f>
        <v>60</v>
      </c>
      <c r="C85" s="132" t="n">
        <f aca="false">SUMPRODUCT($B$29:$B$36,(1+$K$29:$K$36)^C$53)</f>
        <v>71.47</v>
      </c>
      <c r="D85" s="132" t="n">
        <f aca="false">SUMPRODUCT($B$29:$B$36,(1+$K$29:$K$36)^D$53)</f>
        <v>85.6043</v>
      </c>
      <c r="E85" s="132" t="n">
        <f aca="false">SUMPRODUCT($B$29:$B$36,(1+$K$29:$K$36)^E$53)</f>
        <v>103.080055</v>
      </c>
      <c r="F85" s="132" t="n">
        <f aca="false">SUMPRODUCT($B$29:$B$36,(1+$K$29:$K$36)^F$53)</f>
        <v>124.75993115</v>
      </c>
      <c r="G85" s="132" t="n">
        <f aca="false">SUMPRODUCT($B$29:$B$36,(1+$K$29:$K$36)^G$53)</f>
        <v>151.7459966047</v>
      </c>
      <c r="H85" s="132" t="n">
        <f aca="false">SUMPRODUCT($B$29:$B$36,(1+$K$29:$K$36)^H$53)</f>
        <v>185.449939221443</v>
      </c>
      <c r="I85" s="132" t="n">
        <f aca="false">SUMPRODUCT($B$29:$B$36,(1+$K$29:$K$36)^I$53)</f>
        <v>227.684700503528</v>
      </c>
      <c r="J85" s="132" t="n">
        <f aca="false">SUMPRODUCT($B$29:$B$36,(1+$K$29:$K$36)^J$53)</f>
        <v>280.784231924419</v>
      </c>
      <c r="K85" s="132" t="n">
        <f aca="false">SUMPRODUCT($B$29:$B$36,(1+$K$29:$K$36)^K$53)</f>
        <v>347.760216570099</v>
      </c>
      <c r="L85" s="132" t="n">
        <f aca="false">SUMPRODUCT($B$29:$B$36,(1+$K$29:$K$36)^L$53)</f>
        <v>432.507424628937</v>
      </c>
    </row>
    <row r="86" customFormat="false" ht="15" hidden="false" customHeight="false" outlineLevel="0" collapsed="false">
      <c r="A86" s="127" t="s">
        <v>559</v>
      </c>
      <c r="B86" s="132" t="n">
        <f aca="false">E$43*MIN(MAX(B$53-E$42+1,0)/E$44,1)</f>
        <v>0</v>
      </c>
      <c r="C86" s="132" t="n">
        <f aca="false">E$43*MIN(MAX(C$53-E$42+1,0)/E$44,1)</f>
        <v>0</v>
      </c>
      <c r="D86" s="132" t="n">
        <f aca="false">E$43*MIN(MAX(D$53-E$42+1,0)/E$44,1)</f>
        <v>24</v>
      </c>
      <c r="E86" s="132" t="n">
        <f aca="false">E$43*MIN(MAX(E$53-E$42+1,0)/E$44,1)</f>
        <v>24</v>
      </c>
      <c r="F86" s="132" t="n">
        <f aca="false">E$43*MIN(MAX(F$53-E$42+1,0)/E$44,1)</f>
        <v>24</v>
      </c>
      <c r="G86" s="132" t="n">
        <f aca="false">E$43*MIN(MAX(G$53-E$42+1,0)/E$44,1)</f>
        <v>24</v>
      </c>
      <c r="H86" s="132" t="n">
        <f aca="false">E$43*MIN(MAX(H$53-E$42+1,0)/E$44,1)</f>
        <v>24</v>
      </c>
      <c r="I86" s="132" t="n">
        <f aca="false">E$43*MIN(MAX(I$53-E$42+1,0)/E$44,1)</f>
        <v>24</v>
      </c>
      <c r="J86" s="132" t="n">
        <f aca="false">E$43*MIN(MAX(J$53-E$42+1,0)/E$44,1)</f>
        <v>24</v>
      </c>
      <c r="K86" s="132" t="n">
        <f aca="false">E$43*MIN(MAX(K$53-E$42+1,0)/E$44,1)</f>
        <v>24</v>
      </c>
      <c r="L86" s="132" t="n">
        <f aca="false">E$43*MIN(MAX(L$53-E$42+1,0)/E$44,1)</f>
        <v>24</v>
      </c>
    </row>
    <row r="87" customFormat="false" ht="15" hidden="false" customHeight="false" outlineLevel="0" collapsed="false">
      <c r="A87" s="145" t="s">
        <v>560</v>
      </c>
      <c r="B87" s="146" t="n">
        <f aca="false">B85+B86</f>
        <v>60</v>
      </c>
      <c r="C87" s="146" t="n">
        <f aca="false">C85+C86</f>
        <v>71.47</v>
      </c>
      <c r="D87" s="146" t="n">
        <f aca="false">D85+D86</f>
        <v>109.6043</v>
      </c>
      <c r="E87" s="146" t="n">
        <f aca="false">E85+E86</f>
        <v>127.080055</v>
      </c>
      <c r="F87" s="146" t="n">
        <f aca="false">F85+F86</f>
        <v>148.75993115</v>
      </c>
      <c r="G87" s="146" t="n">
        <f aca="false">G85+G86</f>
        <v>175.7459966047</v>
      </c>
      <c r="H87" s="146" t="n">
        <f aca="false">H85+H86</f>
        <v>209.449939221443</v>
      </c>
      <c r="I87" s="146" t="n">
        <f aca="false">I85+I86</f>
        <v>251.684700503528</v>
      </c>
      <c r="J87" s="146" t="n">
        <f aca="false">J85+J86</f>
        <v>304.784231924419</v>
      </c>
      <c r="K87" s="146" t="n">
        <f aca="false">K85+K86</f>
        <v>371.760216570099</v>
      </c>
      <c r="L87" s="146" t="n">
        <f aca="false">L85+L86</f>
        <v>456.507424628937</v>
      </c>
    </row>
    <row r="88" customFormat="false" ht="15" hidden="false" customHeight="false" outlineLevel="0" collapsed="false">
      <c r="A88" s="127" t="s">
        <v>561</v>
      </c>
      <c r="B88" s="130" t="n">
        <f aca="false">$B$11+(E$48-$B$11)*MIN(B$53/$B$15,1)</f>
        <v>0.14</v>
      </c>
      <c r="C88" s="130" t="n">
        <f aca="false">$B$11+(E$48-$B$11)*MIN(C$53/$B$15,1)</f>
        <v>0.148</v>
      </c>
      <c r="D88" s="130" t="n">
        <f aca="false">$B$11+(E$48-$B$11)*MIN(D$53/$B$15,1)</f>
        <v>0.156</v>
      </c>
      <c r="E88" s="130" t="n">
        <f aca="false">$B$11+(E$48-$B$11)*MIN(E$53/$B$15,1)</f>
        <v>0.164</v>
      </c>
      <c r="F88" s="130" t="n">
        <f aca="false">$B$11+(E$48-$B$11)*MIN(F$53/$B$15,1)</f>
        <v>0.172</v>
      </c>
      <c r="G88" s="130" t="n">
        <f aca="false">$B$11+(E$48-$B$11)*MIN(G$53/$B$15,1)</f>
        <v>0.18</v>
      </c>
      <c r="H88" s="130" t="n">
        <f aca="false">$B$11+(E$48-$B$11)*MIN(H$53/$B$15,1)</f>
        <v>0.18</v>
      </c>
      <c r="I88" s="130" t="n">
        <f aca="false">$B$11+(E$48-$B$11)*MIN(I$53/$B$15,1)</f>
        <v>0.18</v>
      </c>
      <c r="J88" s="130" t="n">
        <f aca="false">$B$11+(E$48-$B$11)*MIN(J$53/$B$15,1)</f>
        <v>0.18</v>
      </c>
      <c r="K88" s="130" t="n">
        <f aca="false">$B$11+(E$48-$B$11)*MIN(K$53/$B$15,1)</f>
        <v>0.18</v>
      </c>
      <c r="L88" s="130" t="n">
        <f aca="false">$B$11+(E$48-$B$11)*MIN(L$53/$B$15,1)</f>
        <v>0.18</v>
      </c>
    </row>
    <row r="89" customFormat="false" ht="15" hidden="false" customHeight="false" outlineLevel="0" collapsed="false">
      <c r="A89" s="127" t="s">
        <v>562</v>
      </c>
      <c r="B89" s="132" t="n">
        <f aca="false">B87*B88</f>
        <v>8.4</v>
      </c>
      <c r="C89" s="132" t="n">
        <f aca="false">C87*C88</f>
        <v>10.57756</v>
      </c>
      <c r="D89" s="132" t="n">
        <f aca="false">D87*D88</f>
        <v>17.0982708</v>
      </c>
      <c r="E89" s="132" t="n">
        <f aca="false">E87*E88</f>
        <v>20.84112902</v>
      </c>
      <c r="F89" s="132" t="n">
        <f aca="false">F87*F88</f>
        <v>25.5867081578</v>
      </c>
      <c r="G89" s="132" t="n">
        <f aca="false">G87*G88</f>
        <v>31.634279388846</v>
      </c>
      <c r="H89" s="132" t="n">
        <f aca="false">H87*H88</f>
        <v>37.7009890598597</v>
      </c>
      <c r="I89" s="132" t="n">
        <f aca="false">I87*I88</f>
        <v>45.303246090635</v>
      </c>
      <c r="J89" s="132" t="n">
        <f aca="false">J87*J88</f>
        <v>54.8611617463954</v>
      </c>
      <c r="K89" s="132" t="n">
        <f aca="false">K87*K88</f>
        <v>66.9168389826178</v>
      </c>
      <c r="L89" s="132" t="n">
        <f aca="false">L87*L88</f>
        <v>82.1713364332087</v>
      </c>
    </row>
    <row r="90" customFormat="false" ht="15" hidden="false" customHeight="false" outlineLevel="0" collapsed="false">
      <c r="A90" s="127" t="s">
        <v>563</v>
      </c>
      <c r="B90" s="132" t="n">
        <v>0</v>
      </c>
      <c r="C90" s="132" t="n">
        <f aca="false">B90+C89*$B$14</f>
        <v>4.759902</v>
      </c>
      <c r="D90" s="132" t="n">
        <f aca="false">C90+D89*$B$14</f>
        <v>12.45412386</v>
      </c>
      <c r="E90" s="132" t="n">
        <f aca="false">D90+E89*$B$14</f>
        <v>21.832631919</v>
      </c>
      <c r="F90" s="132" t="n">
        <f aca="false">E90+F89*$B$14</f>
        <v>33.34665059001</v>
      </c>
      <c r="G90" s="132" t="n">
        <f aca="false">F90+G89*$B$14</f>
        <v>47.5820763149907</v>
      </c>
      <c r="H90" s="132" t="n">
        <f aca="false">G90+H89*$B$14</f>
        <v>64.5475213919276</v>
      </c>
      <c r="I90" s="132" t="n">
        <f aca="false">H90+I89*$B$14</f>
        <v>84.9339821327133</v>
      </c>
      <c r="J90" s="132" t="n">
        <f aca="false">I90+J89*$B$14</f>
        <v>109.621504918591</v>
      </c>
      <c r="K90" s="132" t="n">
        <f aca="false">J90+K89*$B$14</f>
        <v>139.734082460769</v>
      </c>
      <c r="L90" s="132" t="n">
        <f aca="false">K90+L89*$B$14</f>
        <v>176.711183855713</v>
      </c>
    </row>
    <row r="91" customFormat="false" ht="15" hidden="false" customHeight="false" outlineLevel="0" collapsed="false">
      <c r="A91" s="127" t="s">
        <v>564</v>
      </c>
      <c r="B91" s="132" t="n">
        <f aca="false">$B$6+$B$9</f>
        <v>92</v>
      </c>
      <c r="C91" s="132" t="n">
        <f aca="false">C89*E$49</f>
        <v>137.50828</v>
      </c>
      <c r="D91" s="132" t="n">
        <f aca="false">D89*E$49</f>
        <v>222.2775204</v>
      </c>
      <c r="E91" s="132" t="n">
        <f aca="false">E89*E$49</f>
        <v>270.93467726</v>
      </c>
      <c r="F91" s="132" t="n">
        <f aca="false">F89*E$49</f>
        <v>332.6272060514</v>
      </c>
      <c r="G91" s="132" t="n">
        <f aca="false">G89*E$49</f>
        <v>411.245632054998</v>
      </c>
      <c r="H91" s="132" t="n">
        <f aca="false">H89*E$49</f>
        <v>490.112857778177</v>
      </c>
      <c r="I91" s="132" t="n">
        <f aca="false">I89*E$49</f>
        <v>588.942199178255</v>
      </c>
      <c r="J91" s="132" t="n">
        <f aca="false">J89*E$49</f>
        <v>713.19510270314</v>
      </c>
      <c r="K91" s="132" t="n">
        <f aca="false">K89*E$49</f>
        <v>869.918906774031</v>
      </c>
      <c r="L91" s="132" t="n">
        <f aca="false">L89*E$49</f>
        <v>1068.22737363171</v>
      </c>
    </row>
    <row r="92" customFormat="false" ht="15" hidden="false" customHeight="false" outlineLevel="0" collapsed="false">
      <c r="A92" s="145" t="s">
        <v>565</v>
      </c>
      <c r="B92" s="146" t="n">
        <f aca="false">B91+B90-$B$9</f>
        <v>92</v>
      </c>
      <c r="C92" s="146" t="n">
        <f aca="false">C91+C90-$B$9</f>
        <v>142.268182</v>
      </c>
      <c r="D92" s="146" t="n">
        <f aca="false">D91+D90-$B$9</f>
        <v>234.73164426</v>
      </c>
      <c r="E92" s="146" t="n">
        <f aca="false">E91+E90-$B$9</f>
        <v>292.767309179</v>
      </c>
      <c r="F92" s="146" t="n">
        <f aca="false">F91+F90-$B$9</f>
        <v>365.97385664141</v>
      </c>
      <c r="G92" s="146" t="n">
        <f aca="false">G91+G90-$B$9</f>
        <v>458.827708369989</v>
      </c>
      <c r="H92" s="146" t="n">
        <f aca="false">H91+H90-$B$9</f>
        <v>554.660379170104</v>
      </c>
      <c r="I92" s="146" t="n">
        <f aca="false">I91+I90-$B$9</f>
        <v>673.876181310968</v>
      </c>
      <c r="J92" s="146" t="n">
        <f aca="false">J91+J90-$B$9</f>
        <v>822.816607621731</v>
      </c>
      <c r="K92" s="146" t="n">
        <f aca="false">K91+K90-$B$9</f>
        <v>1009.6529892348</v>
      </c>
      <c r="L92" s="146" t="n">
        <f aca="false">L91+L90-$B$9</f>
        <v>1244.93855748743</v>
      </c>
    </row>
    <row r="94" customFormat="false" ht="15" hidden="false" customHeight="false" outlineLevel="0" collapsed="false">
      <c r="A94" s="60" t="s">
        <v>569</v>
      </c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</row>
    <row r="95" customFormat="false" ht="15" hidden="false" customHeight="false" outlineLevel="0" collapsed="false">
      <c r="A95" s="126" t="s">
        <v>27</v>
      </c>
      <c r="B95" s="126" t="s">
        <v>570</v>
      </c>
      <c r="C95" s="126" t="s">
        <v>36</v>
      </c>
      <c r="D95" s="126" t="s">
        <v>37</v>
      </c>
      <c r="E95" s="126" t="s">
        <v>38</v>
      </c>
      <c r="F95" s="126" t="s">
        <v>39</v>
      </c>
      <c r="G95" s="126" t="s">
        <v>40</v>
      </c>
    </row>
    <row r="96" customFormat="false" ht="15" hidden="false" customHeight="false" outlineLevel="0" collapsed="false">
      <c r="A96" s="127" t="s">
        <v>571</v>
      </c>
      <c r="B96" s="147" t="n">
        <v>5</v>
      </c>
      <c r="C96" s="130" t="n">
        <f aca="false">(G62/$B$6)^(1/$B96)-1</f>
        <v>0.189162723270954</v>
      </c>
      <c r="D96" s="130" t="n">
        <f aca="false">(G72/$B$6)^(1/$B96)-1</f>
        <v>0.388664531401775</v>
      </c>
      <c r="E96" s="130" t="n">
        <f aca="false">(G82/$B$6)^(1/$B96)-1</f>
        <v>-0.11224762572618</v>
      </c>
      <c r="F96" s="130" t="n">
        <f aca="false">(G92/$B$6)^(1/$B96)-1</f>
        <v>0.379025706305739</v>
      </c>
      <c r="G96" s="130" t="n">
        <f aca="false">C96*'Defense Supercycle'!$B$17+D96*'Defense Supercycle'!$B$18+E96*'Defense Supercycle'!$B$19+F96*'Defense Supercycle'!$B$20</f>
        <v>0.222306070409307</v>
      </c>
    </row>
    <row r="97" customFormat="false" ht="15" hidden="false" customHeight="false" outlineLevel="0" collapsed="false">
      <c r="A97" s="145" t="s">
        <v>572</v>
      </c>
      <c r="B97" s="147" t="n">
        <v>7</v>
      </c>
      <c r="C97" s="148" t="n">
        <f aca="false">(I62/$B$6)^(1/$B97)-1</f>
        <v>0.169202814424438</v>
      </c>
      <c r="D97" s="148" t="n">
        <f aca="false">(I72/$B$6)^(1/$B97)-1</f>
        <v>0.330194842742812</v>
      </c>
      <c r="E97" s="148" t="n">
        <f aca="false">(I82/$B$6)^(1/$B97)-1</f>
        <v>-0.076799895310316</v>
      </c>
      <c r="F97" s="148" t="n">
        <f aca="false">(I92/$B$6)^(1/$B97)-1</f>
        <v>0.32905132917649</v>
      </c>
      <c r="G97" s="130" t="n">
        <f aca="false">C97*'Defense Supercycle'!$B$17+D97*'Defense Supercycle'!$B$18+E97*'Defense Supercycle'!$B$19+F97*'Defense Supercycle'!$B$20</f>
        <v>0.196527692256626</v>
      </c>
    </row>
    <row r="98" customFormat="false" ht="15" hidden="false" customHeight="false" outlineLevel="0" collapsed="false">
      <c r="A98" s="127" t="s">
        <v>573</v>
      </c>
      <c r="B98" s="147" t="n">
        <v>10</v>
      </c>
      <c r="C98" s="130" t="n">
        <f aca="false">(L62/$B$6)^(1/$B98)-1</f>
        <v>0.155205848742441</v>
      </c>
      <c r="D98" s="130" t="n">
        <f aca="false">(L72/$B$6)^(1/$B98)-1</f>
        <v>0.291442584076479</v>
      </c>
      <c r="E98" s="130" t="n">
        <f aca="false">(L82/$B$6)^(1/$B98)-1</f>
        <v>-0.0485722143694491</v>
      </c>
      <c r="F98" s="130" t="n">
        <f aca="false">(L92/$B$6)^(1/$B98)-1</f>
        <v>0.297585575365068</v>
      </c>
      <c r="G98" s="130" t="n">
        <f aca="false">C98*'Defense Supercycle'!$B$17+D98*'Defense Supercycle'!$B$18+E98*'Defense Supercycle'!$B$19+F98*'Defense Supercycle'!$B$20</f>
        <v>0.180055282102561</v>
      </c>
    </row>
    <row r="99" customFormat="false" ht="15" hidden="false" customHeight="false" outlineLevel="0" collapsed="false">
      <c r="A99" s="127" t="s">
        <v>574</v>
      </c>
      <c r="C99" s="132" t="n">
        <f aca="false">I57</f>
        <v>129.280705554175</v>
      </c>
      <c r="D99" s="132" t="n">
        <f aca="false">I67</f>
        <v>224.394532267048</v>
      </c>
      <c r="E99" s="132" t="n">
        <f aca="false">I77</f>
        <v>43.9772334031978</v>
      </c>
      <c r="F99" s="132" t="n">
        <f aca="false">I87</f>
        <v>251.684700503528</v>
      </c>
      <c r="G99" s="132" t="n">
        <f aca="false">C99*'Defense Supercycle'!$B$17+D99*'Defense Supercycle'!$B$18+E99*'Defense Supercycle'!$B$19+F99*'Defense Supercycle'!$B$20</f>
        <v>158.62424065215</v>
      </c>
    </row>
    <row r="100" customFormat="false" ht="15" hidden="false" customHeight="false" outlineLevel="0" collapsed="false">
      <c r="A100" s="127" t="s">
        <v>575</v>
      </c>
      <c r="C100" s="130" t="n">
        <f aca="false">I56/I57</f>
        <v>0.0928212755999492</v>
      </c>
      <c r="D100" s="130" t="n">
        <f aca="false">I66/I67</f>
        <v>0.0891287314264786</v>
      </c>
      <c r="E100" s="130" t="n">
        <f aca="false">I76/I77</f>
        <v>0</v>
      </c>
      <c r="F100" s="130" t="n">
        <f aca="false">I86/I87</f>
        <v>0.0953574053249359</v>
      </c>
    </row>
    <row r="102" customFormat="false" ht="15" hidden="false" customHeight="false" outlineLevel="0" collapsed="false">
      <c r="A102" s="60" t="s">
        <v>576</v>
      </c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</row>
    <row r="103" customFormat="false" ht="15" hidden="false" customHeight="false" outlineLevel="0" collapsed="false">
      <c r="A103" s="126" t="s">
        <v>577</v>
      </c>
      <c r="B103" s="126" t="s">
        <v>248</v>
      </c>
      <c r="C103" s="126" t="s">
        <v>356</v>
      </c>
      <c r="D103" s="126" t="s">
        <v>359</v>
      </c>
      <c r="E103" s="126" t="s">
        <v>362</v>
      </c>
      <c r="F103" s="126" t="s">
        <v>578</v>
      </c>
      <c r="G103" s="126" t="s">
        <v>579</v>
      </c>
      <c r="H103" s="126" t="s">
        <v>580</v>
      </c>
      <c r="I103" s="126" t="s">
        <v>581</v>
      </c>
    </row>
    <row r="104" customFormat="false" ht="15" hidden="false" customHeight="false" outlineLevel="0" collapsed="false">
      <c r="A104" s="127" t="s">
        <v>582</v>
      </c>
      <c r="B104" s="149" t="n">
        <f aca="false">'Weapons Sleeve'!B35</f>
        <v>9</v>
      </c>
      <c r="C104" s="149" t="n">
        <f aca="false">'Weapons Sleeve'!C35</f>
        <v>18.0917091503932</v>
      </c>
      <c r="D104" s="149" t="n">
        <f aca="false">'Weapons Sleeve'!F35</f>
        <v>34.4831264997212</v>
      </c>
      <c r="E104" s="149" t="n">
        <f aca="false">'Weapons Sleeve'!I35</f>
        <v>5.55276842801235</v>
      </c>
      <c r="F104" s="149" t="n">
        <f aca="false">'Weapons Sleeve'!L35</f>
        <v>34.3351625174457</v>
      </c>
      <c r="G104" s="146" t="n">
        <f aca="false">C104*'Defense Supercycle'!$B$17+D104*'Defense Supercycle'!$B$18+E104*'Defense Supercycle'!$B$19+F104*'Defense Supercycle'!$B$20</f>
        <v>22.7452403844259</v>
      </c>
      <c r="H104" s="150" t="n">
        <f aca="false">G104/B104</f>
        <v>2.52724893160288</v>
      </c>
      <c r="I104" s="140" t="n">
        <f aca="false">H104^(1/5)-1</f>
        <v>0.203731441122826</v>
      </c>
    </row>
    <row r="105" customFormat="false" ht="15" hidden="false" customHeight="false" outlineLevel="0" collapsed="false">
      <c r="A105" s="127" t="s">
        <v>583</v>
      </c>
      <c r="B105" s="149" t="n">
        <f aca="false">'Weapons Sleeve'!B50</f>
        <v>9</v>
      </c>
      <c r="C105" s="149" t="n">
        <f aca="false">'Weapons Sleeve'!C50</f>
        <v>23.6566991160678</v>
      </c>
      <c r="D105" s="149" t="n">
        <f aca="false">'Weapons Sleeve'!F50</f>
        <v>58.3622463674085</v>
      </c>
      <c r="E105" s="149" t="n">
        <f aca="false">'Weapons Sleeve'!I50</f>
        <v>4.52684992594265</v>
      </c>
      <c r="F105" s="149" t="n">
        <f aca="false">'Weapons Sleeve'!L50</f>
        <v>58.0119495215529</v>
      </c>
      <c r="G105" s="146" t="n">
        <f aca="false">C105*'Defense Supercycle'!$B$17+D105*'Defense Supercycle'!$B$18+E105*'Defense Supercycle'!$B$19+F105*'Defense Supercycle'!$B$20</f>
        <v>34.616896111207</v>
      </c>
      <c r="H105" s="150" t="n">
        <f aca="false">G105/B105</f>
        <v>3.84632179013411</v>
      </c>
      <c r="I105" s="140" t="n">
        <f aca="false">H105^(1/7)-1</f>
        <v>0.212210230786541</v>
      </c>
    </row>
    <row r="106" customFormat="false" ht="15" hidden="false" customHeight="false" outlineLevel="0" collapsed="false">
      <c r="A106" s="127" t="s">
        <v>584</v>
      </c>
      <c r="B106" s="149" t="n">
        <f aca="false">'Weapons Sleeve'!B65</f>
        <v>9</v>
      </c>
      <c r="C106" s="149" t="n">
        <f aca="false">'Weapons Sleeve'!C65</f>
        <v>35.2334266416698</v>
      </c>
      <c r="D106" s="149" t="n">
        <f aca="false">'Weapons Sleeve'!F65</f>
        <v>127.999702113597</v>
      </c>
      <c r="E106" s="149" t="n">
        <f aca="false">'Weapons Sleeve'!I65</f>
        <v>3.31905777625593</v>
      </c>
      <c r="F106" s="149" t="n">
        <f aca="false">'Weapons Sleeve'!L65</f>
        <v>126.903588503139</v>
      </c>
      <c r="G106" s="146" t="n">
        <f aca="false">C106*'Defense Supercycle'!$B$17+D106*'Defense Supercycle'!$B$18+E106*'Defense Supercycle'!$B$19+F106*'Defense Supercycle'!$B$20</f>
        <v>67.3883644590599</v>
      </c>
      <c r="H106" s="150" t="n">
        <f aca="false">G106/B106</f>
        <v>7.48759605100665</v>
      </c>
      <c r="I106" s="140" t="n">
        <f aca="false">H106^(1/10)-1</f>
        <v>0.223021919351566</v>
      </c>
    </row>
    <row r="107" customFormat="false" ht="15" hidden="false" customHeight="false" outlineLevel="0" collapsed="false">
      <c r="A107" s="127" t="s">
        <v>585</v>
      </c>
      <c r="C107" s="151" t="n">
        <f aca="false">'Weapons Sleeve'!D50</f>
        <v>2.62852212400753</v>
      </c>
      <c r="D107" s="151" t="n">
        <f aca="false">'Weapons Sleeve'!G50</f>
        <v>6.48469404082317</v>
      </c>
      <c r="E107" s="151" t="n">
        <f aca="false">'Weapons Sleeve'!J50</f>
        <v>0.502983325104739</v>
      </c>
      <c r="F107" s="151" t="n">
        <f aca="false">'Weapons Sleeve'!M50</f>
        <v>6.44577216906144</v>
      </c>
    </row>
    <row r="109" customFormat="false" ht="15" hidden="false" customHeight="false" outlineLevel="0" collapsed="false">
      <c r="A109" s="60" t="s">
        <v>586</v>
      </c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</row>
    <row r="110" customFormat="false" ht="15" hidden="false" customHeight="false" outlineLevel="0" collapsed="false">
      <c r="A110" s="127" t="s">
        <v>587</v>
      </c>
      <c r="B110" s="145" t="str">
        <f aca="false">IF(ABS('Weapons Sleeve'!S21-C97)&lt;0.00001,"OK","CHECK")</f>
        <v>OK</v>
      </c>
    </row>
    <row r="111" customFormat="false" ht="15" hidden="false" customHeight="false" outlineLevel="0" collapsed="false">
      <c r="A111" s="127" t="s">
        <v>588</v>
      </c>
      <c r="B111" s="145" t="str">
        <f aca="false">IF(ABS('Weapons Sleeve'!C22-'Weapons Sleeve'!B5)&lt;0.001,"OK","CHECK")</f>
        <v>OK</v>
      </c>
    </row>
    <row r="112" customFormat="false" ht="15" hidden="false" customHeight="false" outlineLevel="0" collapsed="false">
      <c r="A112" s="127" t="s">
        <v>589</v>
      </c>
      <c r="B112" s="145" t="str">
        <f aca="false">IF(B7&lt;10,"OK","CHECK")</f>
        <v>OK</v>
      </c>
    </row>
    <row r="113" customFormat="false" ht="15" hidden="false" customHeight="false" outlineLevel="0" collapsed="false">
      <c r="A113" s="127" t="s">
        <v>590</v>
      </c>
      <c r="B113" s="145" t="str">
        <f aca="false">IF(ABS(L37-1)&lt;0.0001,"OK","CHECK")</f>
        <v>OK</v>
      </c>
    </row>
    <row r="115" customFormat="false" ht="15" hidden="false" customHeight="false" outlineLevel="0" collapsed="false">
      <c r="A115" s="60" t="s">
        <v>78</v>
      </c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</row>
    <row r="116" customFormat="false" ht="15" hidden="false" customHeight="false" outlineLevel="0" collapsed="false">
      <c r="A116" s="152" t="str">
        <f aca="false">"• Entry: $"&amp;TEXT(B7,"0.0")&amp;"M for "&amp;TEXT(B8,"0.0%")&amp;" at $"&amp;TEXT(B6,"0")&amp;"M post = "&amp;TEXT(B13,"0.0")&amp;"x FY26E EBITDA of $"&amp;TEXT(B12,"0.0")&amp;"M."</f>
        <v>• Entry: $9.0M for 9.8% at $92M post = 11.0x FY26E EBITDA of $8.4M.</v>
      </c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customFormat="false" ht="15" hidden="false" customHeight="false" outlineLevel="0" collapsed="false">
      <c r="A117" s="152" t="str">
        <f aca="false">"• Program mix FY26E: BLU-136/B "&amp;TEXT(L29,"0%")&amp;"; NGP + MOP + TLAM "&amp;TEXT(L38,"0%")&amp;". NGP production step adds $"&amp;TEXT(B43,"0")&amp;"M/yr at full rate in Base from year "&amp;B42&amp;"."</f>
        <v>• Program mix FY26E: BLU-136/B 50%; NGP + MOP + TLAM 22%. NGP production step adds $12M/yr at full rate in Base from year 3.</v>
      </c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customFormat="false" ht="15" hidden="false" customHeight="false" outlineLevel="0" collapsed="false">
      <c r="A118" s="152" t="str">
        <f aca="false">"• 7-yr implied equity CAGR: Base "&amp;TEXT(C97,"0.0%")&amp;" / Bull "&amp;TEXT(D97,"0.0%")&amp;" / Bear "&amp;TEXT(E97,"0.0%")&amp;" / Shock "&amp;TEXT(F97,"0.0%")&amp;"; probability-weighted "&amp;TEXT(G97,"0.0%")&amp;"."</f>
        <v>• 7-yr implied equity CAGR: Base 16.9% / Bull 33.0% / Bear -7.7% / Shock 32.9%; probability-weighted 19.7%.</v>
      </c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customFormat="false" ht="15" hidden="false" customHeight="false" outlineLevel="0" collapsed="false">
      <c r="A119" s="152" t="str">
        <f aca="false">"• 7-yr stake Expected proceeds $"&amp;TEXT(G105,"0.0")&amp;"M on $"&amp;TEXT(B105,"0.0")&amp;"M = "&amp;TEXT(H105,"0.00")&amp;"x / "&amp;TEXT(I105,"0.0%")&amp;" gross IRR (after 0.88 retention)."</f>
        <v>• 7-yr stake Expected proceeds $34.6M on $9.0M = 3.85x / 21.2% gross IRR (after 0.88 retention).</v>
      </c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customFormat="false" ht="15" hidden="false" customHeight="false" outlineLevel="0" collapsed="false">
      <c r="A120" s="152" t="s">
        <v>591</v>
      </c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customFormat="false" ht="15" hidden="false" customHeight="false" outlineLevel="0" collapsed="false">
      <c r="A121" s="152" t="s">
        <v>592</v>
      </c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</sheetData>
  <mergeCells count="33">
    <mergeCell ref="A2:M2"/>
    <mergeCell ref="C5:M5"/>
    <mergeCell ref="C6:M6"/>
    <mergeCell ref="C7:M7"/>
    <mergeCell ref="C8:M8"/>
    <mergeCell ref="C9:M9"/>
    <mergeCell ref="C10:M10"/>
    <mergeCell ref="C11:M11"/>
    <mergeCell ref="C12:M12"/>
    <mergeCell ref="C13:M13"/>
    <mergeCell ref="C14:M14"/>
    <mergeCell ref="C15:M15"/>
    <mergeCell ref="F18:M18"/>
    <mergeCell ref="F19:M19"/>
    <mergeCell ref="F20:M20"/>
    <mergeCell ref="F21:M21"/>
    <mergeCell ref="F22:M22"/>
    <mergeCell ref="F23:M23"/>
    <mergeCell ref="F24:M24"/>
    <mergeCell ref="F25:M25"/>
    <mergeCell ref="F41:M41"/>
    <mergeCell ref="F42:M42"/>
    <mergeCell ref="F43:M43"/>
    <mergeCell ref="F44:M44"/>
    <mergeCell ref="F47:M47"/>
    <mergeCell ref="F48:M48"/>
    <mergeCell ref="F49:M49"/>
    <mergeCell ref="A116:M116"/>
    <mergeCell ref="A117:M117"/>
    <mergeCell ref="A118:M118"/>
    <mergeCell ref="A119:M119"/>
    <mergeCell ref="A120:M120"/>
    <mergeCell ref="A121:M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5E3A"/>
    <pageSetUpPr fitToPage="true"/>
  </sheetPr>
  <dimension ref="A1:N6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9" min="7" style="0" width="10"/>
    <col collapsed="false" customWidth="true" hidden="false" outlineLevel="0" max="10" min="10" style="0" width="26"/>
    <col collapsed="false" customWidth="true" hidden="false" outlineLevel="0" max="11" min="11" style="0" width="10"/>
    <col collapsed="false" customWidth="true" hidden="false" outlineLevel="0" max="14" min="12" style="0" width="11"/>
  </cols>
  <sheetData>
    <row r="1" customFormat="false" ht="18" hidden="false" customHeight="true" outlineLevel="0" collapsed="false">
      <c r="A1" s="10" t="s">
        <v>593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41" t="s">
        <v>594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" hidden="false" customHeight="true" outlineLevel="0" collapsed="false">
      <c r="A4" s="42" t="s">
        <v>405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5" hidden="false" customHeight="true" outlineLevel="0" collapsed="false">
      <c r="A5" s="57" t="s">
        <v>407</v>
      </c>
      <c r="B5" s="78" t="n">
        <f aca="false">'Holdco Summary'!$B$8</f>
        <v>200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5" hidden="false" customHeight="true" outlineLevel="0" collapsed="false">
      <c r="A6" s="57" t="s">
        <v>409</v>
      </c>
      <c r="B6" s="59" t="n">
        <v>0.9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15" hidden="false" customHeight="true" outlineLevel="0" collapsed="false">
      <c r="A7" s="57" t="s">
        <v>411</v>
      </c>
      <c r="B7" s="59" t="n">
        <v>0.84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15" hidden="false" customHeight="true" outlineLevel="0" collapsed="false">
      <c r="A8" s="57" t="s">
        <v>413</v>
      </c>
      <c r="B8" s="59" t="n">
        <v>0.75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true" outlineLevel="0" collapsed="false">
      <c r="A10" s="42" t="s">
        <v>415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27.75" hidden="false" customHeight="true" outlineLevel="0" collapsed="false">
      <c r="A11" s="43" t="s">
        <v>246</v>
      </c>
      <c r="B11" s="43" t="s">
        <v>247</v>
      </c>
      <c r="C11" s="43" t="s">
        <v>248</v>
      </c>
      <c r="D11" s="43" t="s">
        <v>249</v>
      </c>
      <c r="E11" s="43" t="s">
        <v>595</v>
      </c>
      <c r="F11" s="43" t="s">
        <v>36</v>
      </c>
      <c r="G11" s="43" t="s">
        <v>37</v>
      </c>
      <c r="H11" s="43" t="s">
        <v>38</v>
      </c>
      <c r="I11" s="53" t="s">
        <v>417</v>
      </c>
      <c r="J11" s="43" t="s">
        <v>254</v>
      </c>
      <c r="K11" s="1"/>
      <c r="L11" s="1"/>
      <c r="M11" s="1"/>
      <c r="N11" s="1"/>
    </row>
    <row r="12" customFormat="false" ht="48" hidden="false" customHeight="true" outlineLevel="0" collapsed="false">
      <c r="A12" s="44" t="s">
        <v>596</v>
      </c>
      <c r="B12" s="79" t="n">
        <v>10100</v>
      </c>
      <c r="C12" s="79" t="n">
        <v>35</v>
      </c>
      <c r="D12" s="46" t="n">
        <f aca="false">C12/B12</f>
        <v>0.00346534653465347</v>
      </c>
      <c r="E12" s="47" t="s">
        <v>597</v>
      </c>
      <c r="F12" s="80" t="n">
        <v>0.28</v>
      </c>
      <c r="G12" s="80" t="n">
        <v>0.45</v>
      </c>
      <c r="H12" s="80" t="n">
        <v>0.02</v>
      </c>
      <c r="I12" s="114" t="n">
        <v>-0.18</v>
      </c>
      <c r="J12" s="75" t="s">
        <v>598</v>
      </c>
      <c r="K12" s="1"/>
      <c r="L12" s="1"/>
      <c r="M12" s="1"/>
      <c r="N12" s="1"/>
    </row>
    <row r="13" customFormat="false" ht="48" hidden="false" customHeight="true" outlineLevel="0" collapsed="false">
      <c r="A13" s="44" t="s">
        <v>599</v>
      </c>
      <c r="B13" s="79" t="n">
        <v>10100</v>
      </c>
      <c r="C13" s="79" t="n">
        <v>31.5</v>
      </c>
      <c r="D13" s="46" t="n">
        <f aca="false">C13/B13</f>
        <v>0.00311881188118812</v>
      </c>
      <c r="E13" s="47" t="s">
        <v>600</v>
      </c>
      <c r="F13" s="80" t="n">
        <v>0.27</v>
      </c>
      <c r="G13" s="80" t="n">
        <v>0.42</v>
      </c>
      <c r="H13" s="80" t="n">
        <v>-0.03</v>
      </c>
      <c r="I13" s="114" t="n">
        <v>-0.16</v>
      </c>
      <c r="J13" s="75" t="s">
        <v>601</v>
      </c>
      <c r="K13" s="1"/>
      <c r="L13" s="1"/>
      <c r="M13" s="1"/>
      <c r="N13" s="1"/>
    </row>
    <row r="14" customFormat="false" ht="71.25" hidden="false" customHeight="true" outlineLevel="0" collapsed="false">
      <c r="A14" s="44" t="s">
        <v>602</v>
      </c>
      <c r="B14" s="79" t="n">
        <v>3760</v>
      </c>
      <c r="C14" s="79" t="n">
        <v>24.5</v>
      </c>
      <c r="D14" s="46" t="n">
        <f aca="false">C14/B14</f>
        <v>0.00651595744680851</v>
      </c>
      <c r="E14" s="47" t="s">
        <v>603</v>
      </c>
      <c r="F14" s="80" t="n">
        <v>0.22</v>
      </c>
      <c r="G14" s="80" t="n">
        <v>0.34</v>
      </c>
      <c r="H14" s="80" t="n">
        <v>0.1</v>
      </c>
      <c r="I14" s="114" t="n">
        <v>-0.05</v>
      </c>
      <c r="J14" s="75" t="s">
        <v>604</v>
      </c>
      <c r="K14" s="1"/>
      <c r="L14" s="1"/>
      <c r="M14" s="1"/>
      <c r="N14" s="1"/>
    </row>
    <row r="15" customFormat="false" ht="60" hidden="false" customHeight="true" outlineLevel="0" collapsed="false">
      <c r="A15" s="44" t="s">
        <v>605</v>
      </c>
      <c r="B15" s="79" t="n">
        <v>280</v>
      </c>
      <c r="C15" s="79" t="n">
        <v>17.5</v>
      </c>
      <c r="D15" s="46" t="n">
        <f aca="false">C15/B15</f>
        <v>0.0625</v>
      </c>
      <c r="E15" s="47" t="s">
        <v>606</v>
      </c>
      <c r="F15" s="80" t="n">
        <v>0.14</v>
      </c>
      <c r="G15" s="80" t="n">
        <v>0.26</v>
      </c>
      <c r="H15" s="80" t="n">
        <v>-0.1</v>
      </c>
      <c r="I15" s="114" t="n">
        <v>-0.14</v>
      </c>
      <c r="J15" s="75" t="s">
        <v>607</v>
      </c>
      <c r="K15" s="1"/>
      <c r="L15" s="1"/>
      <c r="M15" s="1"/>
      <c r="N15" s="1"/>
    </row>
    <row r="16" customFormat="false" ht="82.5" hidden="false" customHeight="true" outlineLevel="0" collapsed="false">
      <c r="A16" s="44" t="s">
        <v>608</v>
      </c>
      <c r="B16" s="79" t="n">
        <v>945</v>
      </c>
      <c r="C16" s="79" t="n">
        <v>14</v>
      </c>
      <c r="D16" s="46" t="n">
        <f aca="false">C16/B16</f>
        <v>0.0148148148148148</v>
      </c>
      <c r="E16" s="47" t="s">
        <v>609</v>
      </c>
      <c r="F16" s="80" t="n">
        <v>0.07</v>
      </c>
      <c r="G16" s="80" t="n">
        <v>0.16</v>
      </c>
      <c r="H16" s="80" t="n">
        <v>-0.05</v>
      </c>
      <c r="I16" s="114" t="n">
        <v>-0.08</v>
      </c>
      <c r="J16" s="75" t="s">
        <v>610</v>
      </c>
      <c r="K16" s="1"/>
      <c r="L16" s="1"/>
      <c r="M16" s="1"/>
      <c r="N16" s="1"/>
    </row>
    <row r="17" customFormat="false" ht="93.75" hidden="false" customHeight="true" outlineLevel="0" collapsed="false">
      <c r="A17" s="44" t="s">
        <v>611</v>
      </c>
      <c r="B17" s="79" t="n">
        <v>110</v>
      </c>
      <c r="C17" s="79" t="n">
        <v>7</v>
      </c>
      <c r="D17" s="46" t="n">
        <f aca="false">C17/B17</f>
        <v>0.0636363636363636</v>
      </c>
      <c r="E17" s="47" t="s">
        <v>612</v>
      </c>
      <c r="F17" s="80" t="n">
        <v>0.2</v>
      </c>
      <c r="G17" s="80" t="n">
        <v>0.5</v>
      </c>
      <c r="H17" s="80" t="n">
        <v>-0.22</v>
      </c>
      <c r="I17" s="114" t="n">
        <v>-0.28</v>
      </c>
      <c r="J17" s="75" t="s">
        <v>613</v>
      </c>
      <c r="K17" s="1"/>
      <c r="L17" s="1"/>
      <c r="M17" s="1"/>
      <c r="N17" s="1"/>
    </row>
    <row r="18" customFormat="false" ht="60" hidden="false" customHeight="true" outlineLevel="0" collapsed="false">
      <c r="A18" s="44" t="s">
        <v>614</v>
      </c>
      <c r="B18" s="79" t="n">
        <v>18000</v>
      </c>
      <c r="C18" s="79" t="n">
        <v>10.5</v>
      </c>
      <c r="D18" s="46" t="n">
        <f aca="false">C18/B18</f>
        <v>0.000583333333333333</v>
      </c>
      <c r="E18" s="47" t="s">
        <v>615</v>
      </c>
      <c r="F18" s="80" t="n">
        <v>0.25</v>
      </c>
      <c r="G18" s="80" t="n">
        <v>0.4</v>
      </c>
      <c r="H18" s="80" t="n">
        <v>-0.05</v>
      </c>
      <c r="I18" s="114" t="n">
        <v>-0.12</v>
      </c>
      <c r="J18" s="75" t="s">
        <v>616</v>
      </c>
      <c r="K18" s="1"/>
      <c r="L18" s="1"/>
      <c r="M18" s="1"/>
      <c r="N18" s="1"/>
    </row>
    <row r="19" customFormat="false" ht="60" hidden="false" customHeight="true" outlineLevel="0" collapsed="false">
      <c r="A19" s="44" t="s">
        <v>617</v>
      </c>
      <c r="B19" s="79" t="n">
        <v>3730</v>
      </c>
      <c r="C19" s="79" t="n">
        <v>15</v>
      </c>
      <c r="D19" s="46" t="n">
        <f aca="false">C19/B19</f>
        <v>0.00402144772117963</v>
      </c>
      <c r="E19" s="47" t="s">
        <v>618</v>
      </c>
      <c r="F19" s="80" t="n">
        <v>0.15</v>
      </c>
      <c r="G19" s="80" t="n">
        <v>0.28</v>
      </c>
      <c r="H19" s="80" t="n">
        <v>-0.12</v>
      </c>
      <c r="I19" s="114" t="n">
        <v>-0.16</v>
      </c>
      <c r="J19" s="75" t="s">
        <v>619</v>
      </c>
      <c r="K19" s="1"/>
      <c r="L19" s="1"/>
      <c r="M19" s="1"/>
      <c r="N19" s="1"/>
    </row>
    <row r="20" customFormat="false" ht="60" hidden="false" customHeight="true" outlineLevel="0" collapsed="false">
      <c r="A20" s="44" t="s">
        <v>620</v>
      </c>
      <c r="B20" s="79" t="n">
        <v>159000</v>
      </c>
      <c r="C20" s="79" t="n">
        <v>45</v>
      </c>
      <c r="D20" s="46" t="n">
        <f aca="false">C20/B20</f>
        <v>0.000283018867924528</v>
      </c>
      <c r="E20" s="47" t="s">
        <v>621</v>
      </c>
      <c r="F20" s="80" t="n">
        <v>0.18</v>
      </c>
      <c r="G20" s="80" t="n">
        <v>0.35</v>
      </c>
      <c r="H20" s="80" t="n">
        <v>-0.05</v>
      </c>
      <c r="I20" s="114" t="n">
        <v>-0.08</v>
      </c>
      <c r="J20" s="75" t="s">
        <v>622</v>
      </c>
      <c r="K20" s="1"/>
      <c r="L20" s="1"/>
      <c r="M20" s="1"/>
      <c r="N20" s="1"/>
    </row>
    <row r="21" customFormat="false" ht="15" hidden="false" customHeight="true" outlineLevel="0" collapsed="false">
      <c r="A21" s="16" t="s">
        <v>623</v>
      </c>
      <c r="B21" s="1"/>
      <c r="C21" s="50" t="n">
        <f aca="false">SUM(C12:C20)</f>
        <v>200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27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true" outlineLevel="0" collapsed="false">
      <c r="A23" s="60" t="s">
        <v>456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true" outlineLevel="0" collapsed="false">
      <c r="A24" s="43" t="s">
        <v>246</v>
      </c>
      <c r="B24" s="43" t="s">
        <v>248</v>
      </c>
      <c r="C24" s="43" t="s">
        <v>356</v>
      </c>
      <c r="D24" s="43" t="s">
        <v>357</v>
      </c>
      <c r="E24" s="43" t="s">
        <v>358</v>
      </c>
      <c r="F24" s="43" t="s">
        <v>359</v>
      </c>
      <c r="G24" s="43" t="s">
        <v>360</v>
      </c>
      <c r="H24" s="43" t="s">
        <v>361</v>
      </c>
      <c r="I24" s="43" t="s">
        <v>362</v>
      </c>
      <c r="J24" s="43" t="s">
        <v>363</v>
      </c>
      <c r="K24" s="43" t="s">
        <v>364</v>
      </c>
      <c r="L24" s="53" t="s">
        <v>365</v>
      </c>
      <c r="M24" s="53" t="s">
        <v>366</v>
      </c>
      <c r="N24" s="53" t="s">
        <v>367</v>
      </c>
    </row>
    <row r="25" customFormat="false" ht="15" hidden="false" customHeight="true" outlineLevel="0" collapsed="false">
      <c r="A25" s="153" t="str">
        <f aca="false">A12</f>
        <v>Quince</v>
      </c>
      <c r="B25" s="154" t="n">
        <f aca="false">C12</f>
        <v>35</v>
      </c>
      <c r="C25" s="154" t="n">
        <f aca="false">B25*(1+F12)^5*'Consumer Sleeve'!$B$6</f>
        <v>108.2331758592</v>
      </c>
      <c r="D25" s="155" t="n">
        <f aca="false">C25/B25</f>
        <v>3.09237645312</v>
      </c>
      <c r="E25" s="156" t="n">
        <f aca="false">(C25/B25)^(1/5)-1</f>
        <v>0.25330990382205</v>
      </c>
      <c r="F25" s="154" t="n">
        <f aca="false">B25*(1+G12)^5*'Consumer Sleeve'!$B$6</f>
        <v>201.90662296875</v>
      </c>
      <c r="G25" s="155" t="n">
        <f aca="false">F25/B25</f>
        <v>5.76876065625</v>
      </c>
      <c r="H25" s="156" t="n">
        <f aca="false">(F25/B25)^(1/5)-1</f>
        <v>0.419765125423416</v>
      </c>
      <c r="I25" s="154" t="n">
        <f aca="false">B25*(1+H12)^5*'Consumer Sleeve'!$B$6</f>
        <v>34.7785453008</v>
      </c>
      <c r="J25" s="155" t="n">
        <f aca="false">I25/B25</f>
        <v>0.99367272288</v>
      </c>
      <c r="K25" s="156" t="n">
        <f aca="false">(I25/B25)^(1/5)-1</f>
        <v>-0.00126867039180367</v>
      </c>
      <c r="L25" s="157" t="n">
        <f aca="false">B25*(1+I12)^5*'Consumer Sleeve'!$B$6</f>
        <v>11.6783050608</v>
      </c>
      <c r="M25" s="158" t="n">
        <f aca="false">L25/B25</f>
        <v>0.33366585888</v>
      </c>
      <c r="N25" s="159" t="n">
        <f aca="false">(L25/B25)^(1/5)-1</f>
        <v>-0.197098342863999</v>
      </c>
    </row>
    <row r="26" customFormat="false" ht="15" hidden="false" customHeight="true" outlineLevel="0" collapsed="false">
      <c r="A26" s="153" t="str">
        <f aca="false">A13</f>
        <v>Whoop</v>
      </c>
      <c r="B26" s="154" t="n">
        <f aca="false">C13</f>
        <v>31.5</v>
      </c>
      <c r="C26" s="154" t="n">
        <f aca="false">B26*(1+F13)^5*'Consumer Sleeve'!$B$6</f>
        <v>93.663777268845</v>
      </c>
      <c r="D26" s="155" t="n">
        <f aca="false">C26/B26</f>
        <v>2.97345324663</v>
      </c>
      <c r="E26" s="156" t="n">
        <f aca="false">(C26/B26)^(1/5)-1</f>
        <v>0.243518420198441</v>
      </c>
      <c r="F26" s="154" t="n">
        <f aca="false">B26*(1+G13)^5*'Consumer Sleeve'!$B$6</f>
        <v>163.67968672272</v>
      </c>
      <c r="G26" s="155" t="n">
        <f aca="false">F26/B26</f>
        <v>5.19618053088</v>
      </c>
      <c r="H26" s="156" t="n">
        <f aca="false">(F26/B26)^(1/5)-1</f>
        <v>0.390390674552587</v>
      </c>
      <c r="I26" s="154" t="n">
        <f aca="false">B26*(1+H13)^5*'Consumer Sleeve'!$B$6</f>
        <v>24.345109628595</v>
      </c>
      <c r="J26" s="155" t="n">
        <f aca="false">I26/B26</f>
        <v>0.77286062313</v>
      </c>
      <c r="K26" s="156" t="n">
        <f aca="false">(I26/B26)^(1/5)-1</f>
        <v>-0.0502260885098526</v>
      </c>
      <c r="L26" s="157" t="n">
        <f aca="false">B26*(1+I13)^5*'Consumer Sleeve'!$B$6</f>
        <v>11.85630856704</v>
      </c>
      <c r="M26" s="158" t="n">
        <f aca="false">L26/B26</f>
        <v>0.37639074816</v>
      </c>
      <c r="N26" s="159" t="n">
        <f aca="false">(L26/B26)^(1/5)-1</f>
        <v>-0.17751537561678</v>
      </c>
    </row>
    <row r="27" customFormat="false" ht="15" hidden="false" customHeight="true" outlineLevel="0" collapsed="false">
      <c r="A27" s="153" t="str">
        <f aca="false">A14</f>
        <v>The Farmer's Dog</v>
      </c>
      <c r="B27" s="154" t="n">
        <f aca="false">C14</f>
        <v>24.5</v>
      </c>
      <c r="C27" s="154" t="n">
        <f aca="false">B27*(1+F14)^5*'Consumer Sleeve'!$B$6</f>
        <v>59.59471499856</v>
      </c>
      <c r="D27" s="155" t="n">
        <f aca="false">C27/B27</f>
        <v>2.43243734688</v>
      </c>
      <c r="E27" s="156" t="n">
        <f aca="false">(C27/B27)^(1/5)-1</f>
        <v>0.194561002080392</v>
      </c>
      <c r="F27" s="154" t="n">
        <f aca="false">B27*(1+G14)^5*'Consumer Sleeve'!$B$6</f>
        <v>95.26482754992</v>
      </c>
      <c r="G27" s="155" t="n">
        <f aca="false">F27/B27</f>
        <v>3.88836030816</v>
      </c>
      <c r="H27" s="156" t="n">
        <f aca="false">(F27/B27)^(1/5)-1</f>
        <v>0.312058805563709</v>
      </c>
      <c r="I27" s="154" t="n">
        <f aca="false">B27*(1+H14)^5*'Consumer Sleeve'!$B$6</f>
        <v>35.5117455</v>
      </c>
      <c r="J27" s="155" t="n">
        <f aca="false">I27/B27</f>
        <v>1.449459</v>
      </c>
      <c r="K27" s="156" t="n">
        <f aca="false">(I27/B27)^(1/5)-1</f>
        <v>0.0770631985970747</v>
      </c>
      <c r="L27" s="157" t="n">
        <f aca="false">B27*(1+I14)^5*'Consumer Sleeve'!$B$6</f>
        <v>17.061869671875</v>
      </c>
      <c r="M27" s="158" t="n">
        <f aca="false">L27/B27</f>
        <v>0.69640284375</v>
      </c>
      <c r="N27" s="159" t="n">
        <f aca="false">(L27/B27)^(1/5)-1</f>
        <v>-0.0698090557570721</v>
      </c>
    </row>
    <row r="28" customFormat="false" ht="15" hidden="false" customHeight="true" outlineLevel="0" collapsed="false">
      <c r="A28" s="153" t="str">
        <f aca="false">A15</f>
        <v>Made In Cookware</v>
      </c>
      <c r="B28" s="154" t="n">
        <f aca="false">C15</f>
        <v>17.5</v>
      </c>
      <c r="C28" s="154" t="n">
        <f aca="false">B28*(1+F15)^5*'Consumer Sleeve'!$B$6</f>
        <v>30.3252796728</v>
      </c>
      <c r="D28" s="155" t="n">
        <f aca="false">C28/B28</f>
        <v>1.73287312416</v>
      </c>
      <c r="E28" s="156" t="n">
        <f aca="false">(C28/B28)^(1/5)-1</f>
        <v>0.116229133091514</v>
      </c>
      <c r="F28" s="154" t="n">
        <f aca="false">B28*(1+G15)^5*'Consumer Sleeve'!$B$6</f>
        <v>50.0188017672</v>
      </c>
      <c r="G28" s="155" t="n">
        <f aca="false">F28/B28</f>
        <v>2.85821724384</v>
      </c>
      <c r="H28" s="156" t="n">
        <f aca="false">(F28/B28)^(1/5)-1</f>
        <v>0.233726936574831</v>
      </c>
      <c r="I28" s="154" t="n">
        <f aca="false">B28*(1+H15)^5*'Consumer Sleeve'!$B$6</f>
        <v>9.3002175</v>
      </c>
      <c r="J28" s="155" t="n">
        <f aca="false">I28/B28</f>
        <v>0.531441</v>
      </c>
      <c r="K28" s="156" t="n">
        <f aca="false">(I28/B28)^(1/5)-1</f>
        <v>-0.118766473875121</v>
      </c>
      <c r="L28" s="157" t="n">
        <f aca="false">B28*(1+I15)^5*'Consumer Sleeve'!$B$6</f>
        <v>7.4092255272</v>
      </c>
      <c r="M28" s="158" t="n">
        <f aca="false">L28/B28</f>
        <v>0.42338431584</v>
      </c>
      <c r="N28" s="159" t="n">
        <f aca="false">(L28/B28)^(1/5)-1</f>
        <v>-0.15793240836956</v>
      </c>
    </row>
    <row r="29" customFormat="false" ht="15" hidden="false" customHeight="true" outlineLevel="0" collapsed="false">
      <c r="A29" s="153" t="str">
        <f aca="false">A16</f>
        <v>Thrive Market</v>
      </c>
      <c r="B29" s="154" t="n">
        <f aca="false">C16</f>
        <v>14</v>
      </c>
      <c r="C29" s="154" t="n">
        <f aca="false">B29*(1+F16)^5*'Consumer Sleeve'!$B$6</f>
        <v>17.67215180682</v>
      </c>
      <c r="D29" s="155" t="n">
        <f aca="false">C29/B29</f>
        <v>1.26229655763</v>
      </c>
      <c r="E29" s="156" t="n">
        <f aca="false">(C29/B29)^(1/5)-1</f>
        <v>0.0476887477262453</v>
      </c>
      <c r="F29" s="154" t="n">
        <f aca="false">B29*(1+G16)^5*'Consumer Sleeve'!$B$6</f>
        <v>26.46430488576</v>
      </c>
      <c r="G29" s="155" t="n">
        <f aca="false">F29/B29</f>
        <v>1.89030749184</v>
      </c>
      <c r="H29" s="156" t="n">
        <f aca="false">(F29/B29)^(1/5)-1</f>
        <v>0.135812100338733</v>
      </c>
      <c r="I29" s="154" t="n">
        <f aca="false">B29*(1+H16)^5*'Consumer Sleeve'!$B$6</f>
        <v>9.7496398125</v>
      </c>
      <c r="J29" s="155" t="n">
        <f aca="false">I29/B29</f>
        <v>0.69640284375</v>
      </c>
      <c r="K29" s="156" t="n">
        <f aca="false">(I29/B29)^(1/5)-1</f>
        <v>-0.0698090557570721</v>
      </c>
      <c r="L29" s="157" t="n">
        <f aca="false">B29*(1+I16)^5*'Consumer Sleeve'!$B$6</f>
        <v>8.30442719232</v>
      </c>
      <c r="M29" s="158" t="n">
        <f aca="false">L29/B29</f>
        <v>0.59317337088</v>
      </c>
      <c r="N29" s="159" t="n">
        <f aca="false">(L29/B29)^(1/5)-1</f>
        <v>-0.0991835066279013</v>
      </c>
    </row>
    <row r="30" customFormat="false" ht="15" hidden="false" customHeight="true" outlineLevel="0" collapsed="false">
      <c r="A30" s="153" t="str">
        <f aca="false">A17</f>
        <v>Plunge</v>
      </c>
      <c r="B30" s="154" t="n">
        <f aca="false">C17</f>
        <v>7</v>
      </c>
      <c r="C30" s="154" t="n">
        <f aca="false">B30*(1+F17)^5*'Consumer Sleeve'!$B$6</f>
        <v>15.676416</v>
      </c>
      <c r="D30" s="155" t="n">
        <f aca="false">C30/B30</f>
        <v>2.239488</v>
      </c>
      <c r="E30" s="156" t="n">
        <f aca="false">(C30/B30)^(1/5)-1</f>
        <v>0.174978034833172</v>
      </c>
      <c r="F30" s="154" t="n">
        <f aca="false">B30*(1+G17)^5*'Consumer Sleeve'!$B$6</f>
        <v>47.840625</v>
      </c>
      <c r="G30" s="155" t="n">
        <f aca="false">F30/B30</f>
        <v>6.834375</v>
      </c>
      <c r="H30" s="156" t="n">
        <f aca="false">(F30/B30)^(1/5)-1</f>
        <v>0.468722543541465</v>
      </c>
      <c r="I30" s="154" t="n">
        <f aca="false">B30*(1+H17)^5*'Consumer Sleeve'!$B$6</f>
        <v>1.81891985184</v>
      </c>
      <c r="J30" s="155" t="n">
        <f aca="false">I30/B30</f>
        <v>0.25984569312</v>
      </c>
      <c r="K30" s="156" t="n">
        <f aca="false">(I30/B30)^(1/5)-1</f>
        <v>-0.236264277358438</v>
      </c>
      <c r="L30" s="157" t="n">
        <f aca="false">B30*(1+I17)^5*'Consumer Sleeve'!$B$6</f>
        <v>1.21899810816</v>
      </c>
      <c r="M30" s="158" t="n">
        <f aca="false">L30/B30</f>
        <v>0.17414258688</v>
      </c>
      <c r="N30" s="159" t="n">
        <f aca="false">(L30/B30)^(1/5)-1</f>
        <v>-0.295013179100097</v>
      </c>
    </row>
    <row r="31" customFormat="false" ht="15" hidden="false" customHeight="true" outlineLevel="0" collapsed="false">
      <c r="A31" s="153" t="str">
        <f aca="false">A18</f>
        <v>Polymarket</v>
      </c>
      <c r="B31" s="154" t="n">
        <f aca="false">C18</f>
        <v>10.5</v>
      </c>
      <c r="C31" s="154" t="n">
        <f aca="false">B31*(1+F18)^5*'Consumer Sleeve'!$B$6</f>
        <v>28.839111328125</v>
      </c>
      <c r="D31" s="155" t="n">
        <f aca="false">C31/B31</f>
        <v>2.74658203125</v>
      </c>
      <c r="E31" s="156" t="n">
        <f aca="false">(C31/B31)^(1/5)-1</f>
        <v>0.223935452951221</v>
      </c>
      <c r="F31" s="154" t="n">
        <f aca="false">B31*(1+G18)^5*'Consumer Sleeve'!$B$6</f>
        <v>50.824368</v>
      </c>
      <c r="G31" s="155" t="n">
        <f aca="false">F31/B31</f>
        <v>4.840416</v>
      </c>
      <c r="H31" s="156" t="n">
        <f aca="false">(F31/B31)^(1/5)-1</f>
        <v>0.370807707305368</v>
      </c>
      <c r="I31" s="154" t="n">
        <f aca="false">B31*(1+H18)^5*'Consumer Sleeve'!$B$6</f>
        <v>7.312229859375</v>
      </c>
      <c r="J31" s="155" t="n">
        <f aca="false">I31/B31</f>
        <v>0.69640284375</v>
      </c>
      <c r="K31" s="156" t="n">
        <f aca="false">(I31/B31)^(1/5)-1</f>
        <v>-0.0698090557570721</v>
      </c>
      <c r="L31" s="157" t="n">
        <f aca="false">B31*(1+I18)^5*'Consumer Sleeve'!$B$6</f>
        <v>4.98706661376</v>
      </c>
      <c r="M31" s="158" t="n">
        <f aca="false">L31/B31</f>
        <v>0.47495872512</v>
      </c>
      <c r="N31" s="159" t="n">
        <f aca="false">(L31/B31)^(1/5)-1</f>
        <v>-0.138349441122341</v>
      </c>
    </row>
    <row r="32" customFormat="false" ht="15" hidden="false" customHeight="true" outlineLevel="0" collapsed="false">
      <c r="A32" s="153" t="str">
        <f aca="false">A19</f>
        <v>Goat Group</v>
      </c>
      <c r="B32" s="154" t="n">
        <f aca="false">C19</f>
        <v>15</v>
      </c>
      <c r="C32" s="154" t="n">
        <f aca="false">B32*(1+F19)^5*'Consumer Sleeve'!$B$6</f>
        <v>27.15332203125</v>
      </c>
      <c r="D32" s="155" t="n">
        <f aca="false">C32/B32</f>
        <v>1.81022146875</v>
      </c>
      <c r="E32" s="156" t="n">
        <f aca="false">(C32/B32)^(1/5)-1</f>
        <v>0.126020616715123</v>
      </c>
      <c r="F32" s="154" t="n">
        <f aca="false">B32*(1+G19)^5*'Consumer Sleeve'!$B$6</f>
        <v>46.3856467968</v>
      </c>
      <c r="G32" s="155" t="n">
        <f aca="false">F32/B32</f>
        <v>3.09237645312</v>
      </c>
      <c r="H32" s="156" t="n">
        <f aca="false">(F32/B32)^(1/5)-1</f>
        <v>0.25330990382205</v>
      </c>
      <c r="I32" s="154" t="n">
        <f aca="false">B32*(1+H19)^5*'Consumer Sleeve'!$B$6</f>
        <v>7.1243808768</v>
      </c>
      <c r="J32" s="155" t="n">
        <f aca="false">I32/B32</f>
        <v>0.47495872512</v>
      </c>
      <c r="K32" s="156" t="n">
        <f aca="false">(I32/B32)^(1/5)-1</f>
        <v>-0.138349441122341</v>
      </c>
      <c r="L32" s="157" t="n">
        <f aca="false">B32*(1+I19)^5*'Consumer Sleeve'!$B$6</f>
        <v>5.6458612224</v>
      </c>
      <c r="M32" s="158" t="n">
        <f aca="false">L32/B32</f>
        <v>0.37639074816</v>
      </c>
      <c r="N32" s="159" t="n">
        <f aca="false">(L32/B32)^(1/5)-1</f>
        <v>-0.17751537561678</v>
      </c>
    </row>
    <row r="33" customFormat="false" ht="15" hidden="false" customHeight="true" outlineLevel="0" collapsed="false">
      <c r="A33" s="153" t="str">
        <f aca="false">A20</f>
        <v>Stripe</v>
      </c>
      <c r="B33" s="154" t="n">
        <f aca="false">C20</f>
        <v>45</v>
      </c>
      <c r="C33" s="154" t="n">
        <f aca="false">B33*(1+F20)^5*'Consumer Sleeve'!$B$6</f>
        <v>92.6541891504</v>
      </c>
      <c r="D33" s="155" t="n">
        <f aca="false">C33/B33</f>
        <v>2.05898198112</v>
      </c>
      <c r="E33" s="156" t="n">
        <f aca="false">(C33/B33)^(1/5)-1</f>
        <v>0.155395067585953</v>
      </c>
      <c r="F33" s="154" t="n">
        <f aca="false">B33*(1+G20)^5*'Consumer Sleeve'!$B$6</f>
        <v>181.60335421875</v>
      </c>
      <c r="G33" s="155" t="n">
        <f aca="false">F33/B33</f>
        <v>4.03563009375</v>
      </c>
      <c r="H33" s="156" t="n">
        <f aca="false">(F33/B33)^(1/5)-1</f>
        <v>0.321850289187319</v>
      </c>
      <c r="I33" s="154" t="n">
        <f aca="false">B33*(1+H20)^5*'Consumer Sleeve'!$B$6</f>
        <v>31.33812796875</v>
      </c>
      <c r="J33" s="155" t="n">
        <f aca="false">I33/B33</f>
        <v>0.69640284375</v>
      </c>
      <c r="K33" s="156" t="n">
        <f aca="false">(I33/B33)^(1/5)-1</f>
        <v>-0.0698090557570721</v>
      </c>
      <c r="L33" s="157" t="n">
        <f aca="false">B33*(1+I20)^5*'Consumer Sleeve'!$B$6</f>
        <v>26.6928016896</v>
      </c>
      <c r="M33" s="158" t="n">
        <f aca="false">L33/B33</f>
        <v>0.59317337088</v>
      </c>
      <c r="N33" s="159" t="n">
        <f aca="false">(L33/B33)^(1/5)-1</f>
        <v>-0.0991835066279013</v>
      </c>
    </row>
    <row r="34" customFormat="false" ht="27.75" hidden="false" customHeight="true" outlineLevel="0" collapsed="false">
      <c r="A34" s="86" t="s">
        <v>399</v>
      </c>
      <c r="B34" s="97" t="n">
        <f aca="false">SUM(B25:B33)</f>
        <v>200</v>
      </c>
      <c r="C34" s="97" t="n">
        <f aca="false">SUM(C25:C33)</f>
        <v>473.812138116</v>
      </c>
      <c r="D34" s="98" t="n">
        <f aca="false">C34/B34</f>
        <v>2.36906069058</v>
      </c>
      <c r="E34" s="99" t="n">
        <f aca="false">(C34/B34)^(1/5)-1</f>
        <v>0.188270286200034</v>
      </c>
      <c r="F34" s="97" t="n">
        <f aca="false">SUM(F25:F33)</f>
        <v>863.9882379099</v>
      </c>
      <c r="G34" s="98" t="n">
        <f aca="false">F34/B34</f>
        <v>4.3199411895495</v>
      </c>
      <c r="H34" s="99" t="n">
        <f aca="false">(F34/B34)^(1/5)-1</f>
        <v>0.339971516946227</v>
      </c>
      <c r="I34" s="97" t="n">
        <f aca="false">SUM(I25:I33)</f>
        <v>161.27891629866</v>
      </c>
      <c r="J34" s="98" t="n">
        <f aca="false">I34/B34</f>
        <v>0.8063945814933</v>
      </c>
      <c r="K34" s="99" t="n">
        <f aca="false">(I34/B34)^(1/5)-1</f>
        <v>-0.0421234966347195</v>
      </c>
      <c r="L34" s="100" t="n">
        <f aca="false">SUM(L25:L33)</f>
        <v>94.854863653155</v>
      </c>
      <c r="M34" s="101" t="n">
        <f aca="false">L34/B34</f>
        <v>0.474274318265775</v>
      </c>
      <c r="N34" s="102" t="n">
        <f aca="false">(L34/B34)^(1/5)-1</f>
        <v>-0.13859790892447</v>
      </c>
    </row>
    <row r="35" customFormat="false" ht="1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true" outlineLevel="0" collapsed="false">
      <c r="A37" s="60" t="s">
        <v>457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true" outlineLevel="0" collapsed="false">
      <c r="A38" s="43" t="s">
        <v>246</v>
      </c>
      <c r="B38" s="43" t="s">
        <v>248</v>
      </c>
      <c r="C38" s="43" t="s">
        <v>356</v>
      </c>
      <c r="D38" s="43" t="s">
        <v>357</v>
      </c>
      <c r="E38" s="43" t="s">
        <v>358</v>
      </c>
      <c r="F38" s="43" t="s">
        <v>359</v>
      </c>
      <c r="G38" s="43" t="s">
        <v>360</v>
      </c>
      <c r="H38" s="43" t="s">
        <v>361</v>
      </c>
      <c r="I38" s="43" t="s">
        <v>362</v>
      </c>
      <c r="J38" s="43" t="s">
        <v>363</v>
      </c>
      <c r="K38" s="43" t="s">
        <v>364</v>
      </c>
      <c r="L38" s="53" t="s">
        <v>365</v>
      </c>
      <c r="M38" s="53" t="s">
        <v>366</v>
      </c>
      <c r="N38" s="53" t="s">
        <v>367</v>
      </c>
    </row>
    <row r="39" customFormat="false" ht="15" hidden="false" customHeight="true" outlineLevel="0" collapsed="false">
      <c r="A39" s="153" t="str">
        <f aca="false">A12</f>
        <v>Quince</v>
      </c>
      <c r="B39" s="154" t="n">
        <f aca="false">C12</f>
        <v>35</v>
      </c>
      <c r="C39" s="154" t="n">
        <f aca="false">B39*(1+F12)^7*'Consumer Sleeve'!$B$7</f>
        <v>165.507286305866</v>
      </c>
      <c r="D39" s="155" t="n">
        <f aca="false">C39/B39</f>
        <v>4.72877960873902</v>
      </c>
      <c r="E39" s="156" t="n">
        <f aca="false">(C39/B39)^(1/7)-1</f>
        <v>0.248512011200672</v>
      </c>
      <c r="F39" s="154" t="n">
        <f aca="false">B39*(1+G12)^7*'Consumer Sleeve'!$B$7</f>
        <v>396.208096472344</v>
      </c>
      <c r="G39" s="155" t="n">
        <f aca="false">F39/B39</f>
        <v>11.3202313277812</v>
      </c>
      <c r="H39" s="156" t="n">
        <f aca="false">(F39/B39)^(1/7)-1</f>
        <v>0.414330012688261</v>
      </c>
      <c r="I39" s="154" t="n">
        <f aca="false">B39*(1+H12)^7*'Consumer Sleeve'!$B$7</f>
        <v>33.7713586288888</v>
      </c>
      <c r="J39" s="155" t="n">
        <f aca="false">I39/B39</f>
        <v>0.964895960825395</v>
      </c>
      <c r="K39" s="156" t="n">
        <f aca="false">(I39/B39)^(1/7)-1</f>
        <v>-0.00509199107446479</v>
      </c>
      <c r="L39" s="157" t="n">
        <f aca="false">B39*(1+I12)^7*'Consumer Sleeve'!$B$7</f>
        <v>7.3289928346898</v>
      </c>
      <c r="M39" s="158" t="n">
        <f aca="false">L39/B39</f>
        <v>0.209399795276851</v>
      </c>
      <c r="N39" s="159" t="n">
        <f aca="false">(L39/B39)^(1/7)-1</f>
        <v>-0.20017199282457</v>
      </c>
    </row>
    <row r="40" customFormat="false" ht="15" hidden="false" customHeight="true" outlineLevel="0" collapsed="false">
      <c r="A40" s="153" t="str">
        <f aca="false">A13</f>
        <v>Whoop</v>
      </c>
      <c r="B40" s="154" t="n">
        <f aca="false">C13</f>
        <v>31.5</v>
      </c>
      <c r="C40" s="154" t="n">
        <f aca="false">B40*(1+F13)^7*'Consumer Sleeve'!$B$7</f>
        <v>140.998952599792</v>
      </c>
      <c r="D40" s="155" t="n">
        <f aca="false">C40/B40</f>
        <v>4.47615722539023</v>
      </c>
      <c r="E40" s="156" t="n">
        <f aca="false">(C40/B40)^(1/7)-1</f>
        <v>0.238758011113166</v>
      </c>
      <c r="F40" s="154" t="n">
        <f aca="false">B40*(1+G13)^7*'Consumer Sleeve'!$B$7</f>
        <v>308.040805620513</v>
      </c>
      <c r="G40" s="155" t="n">
        <f aca="false">F40/B40</f>
        <v>9.779073194302</v>
      </c>
      <c r="H40" s="156" t="n">
        <f aca="false">(F40/B40)^(1/7)-1</f>
        <v>0.385068012425745</v>
      </c>
      <c r="I40" s="154" t="n">
        <f aca="false">B40*(1+H13)^7*'Consumer Sleeve'!$B$7</f>
        <v>21.3792260729087</v>
      </c>
      <c r="J40" s="155" t="n">
        <f aca="false">I40/B40</f>
        <v>0.678705589616149</v>
      </c>
      <c r="K40" s="156" t="n">
        <f aca="false">(I40/B40)^(1/7)-1</f>
        <v>-0.0538619915119911</v>
      </c>
      <c r="L40" s="157" t="n">
        <f aca="false">B40*(1+I13)^7*'Consumer Sleeve'!$B$7</f>
        <v>7.80809056990986</v>
      </c>
      <c r="M40" s="158" t="n">
        <f aca="false">L40/B40</f>
        <v>0.24787589110825</v>
      </c>
      <c r="N40" s="159" t="n">
        <f aca="false">(L40/B40)^(1/7)-1</f>
        <v>-0.180663992649559</v>
      </c>
    </row>
    <row r="41" customFormat="false" ht="15" hidden="false" customHeight="true" outlineLevel="0" collapsed="false">
      <c r="A41" s="153" t="str">
        <f aca="false">A14</f>
        <v>The Farmer's Dog</v>
      </c>
      <c r="B41" s="154" t="n">
        <f aca="false">C14</f>
        <v>24.5</v>
      </c>
      <c r="C41" s="154" t="n">
        <f aca="false">B41*(1+F14)^7*'Consumer Sleeve'!$B$7</f>
        <v>82.7873888835996</v>
      </c>
      <c r="D41" s="155" t="n">
        <f aca="false">C41/B41</f>
        <v>3.37907709728978</v>
      </c>
      <c r="E41" s="156" t="n">
        <f aca="false">(C41/B41)^(1/7)-1</f>
        <v>0.18998801067564</v>
      </c>
      <c r="F41" s="154" t="n">
        <f aca="false">B41*(1+G14)^7*'Consumer Sleeve'!$B$7</f>
        <v>159.653689392061</v>
      </c>
      <c r="G41" s="155" t="n">
        <f aca="false">F41/B41</f>
        <v>6.51647711804329</v>
      </c>
      <c r="H41" s="156" t="n">
        <f aca="false">(F41/B41)^(1/7)-1</f>
        <v>0.307036011725703</v>
      </c>
      <c r="I41" s="154" t="n">
        <f aca="false">B41*(1+H14)^7*'Consumer Sleeve'!$B$7</f>
        <v>40.104597918</v>
      </c>
      <c r="J41" s="155" t="n">
        <f aca="false">I41/B41</f>
        <v>1.636922364</v>
      </c>
      <c r="K41" s="156" t="n">
        <f aca="false">(I41/B41)^(1/7)-1</f>
        <v>0.0729400096255772</v>
      </c>
      <c r="L41" s="157" t="n">
        <f aca="false">B41*(1+I14)^7*'Consumer Sleeve'!$B$7</f>
        <v>14.3717815536094</v>
      </c>
      <c r="M41" s="158" t="n">
        <f aca="false">L41/B41</f>
        <v>0.58660332871875</v>
      </c>
      <c r="N41" s="159" t="n">
        <f aca="false">(L41/B41)^(1/7)-1</f>
        <v>-0.0733699916870017</v>
      </c>
    </row>
    <row r="42" customFormat="false" ht="15" hidden="false" customHeight="true" outlineLevel="0" collapsed="false">
      <c r="A42" s="153" t="str">
        <f aca="false">A15</f>
        <v>Made In Cookware</v>
      </c>
      <c r="B42" s="154" t="n">
        <f aca="false">C15</f>
        <v>17.5</v>
      </c>
      <c r="C42" s="154" t="n">
        <f aca="false">B42*(1+F15)^7*'Consumer Sleeve'!$B$7</f>
        <v>36.7833512319195</v>
      </c>
      <c r="D42" s="155" t="n">
        <f aca="false">C42/B42</f>
        <v>2.10190578468112</v>
      </c>
      <c r="E42" s="156" t="n">
        <f aca="false">(C42/B42)^(1/7)-1</f>
        <v>0.111956009975598</v>
      </c>
      <c r="F42" s="154" t="n">
        <f aca="false">B42*(1+G15)^7*'Consumer Sleeve'!$B$7</f>
        <v>74.1158597065663</v>
      </c>
      <c r="G42" s="155" t="n">
        <f aca="false">F42/B42</f>
        <v>4.23519198323236</v>
      </c>
      <c r="H42" s="156" t="n">
        <f aca="false">(F42/B42)^(1/7)-1</f>
        <v>0.229004011025661</v>
      </c>
      <c r="I42" s="154" t="n">
        <f aca="false">B42*(1+H15)^7*'Consumer Sleeve'!$B$7</f>
        <v>7.03096443</v>
      </c>
      <c r="J42" s="155" t="n">
        <f aca="false">I42/B42</f>
        <v>0.401769396</v>
      </c>
      <c r="K42" s="156" t="n">
        <f aca="false">(I42/B42)^(1/7)-1</f>
        <v>-0.122139992124528</v>
      </c>
      <c r="L42" s="157" t="n">
        <f aca="false">B42*(1+I15)^7*'Consumer Sleeve'!$B$7</f>
        <v>5.11453898658931</v>
      </c>
      <c r="M42" s="158" t="n">
        <f aca="false">L42/B42</f>
        <v>0.292259370662246</v>
      </c>
      <c r="N42" s="159" t="n">
        <f aca="false">(L42/B42)^(1/7)-1</f>
        <v>-0.161155992474549</v>
      </c>
    </row>
    <row r="43" customFormat="false" ht="15" hidden="false" customHeight="true" outlineLevel="0" collapsed="false">
      <c r="A43" s="153" t="str">
        <f aca="false">A16</f>
        <v>Thrive Market</v>
      </c>
      <c r="B43" s="154" t="n">
        <f aca="false">C16</f>
        <v>14</v>
      </c>
      <c r="C43" s="154" t="n">
        <f aca="false">B43*(1+F16)^7*'Consumer Sleeve'!$B$7</f>
        <v>18.8839901633863</v>
      </c>
      <c r="D43" s="155" t="n">
        <f aca="false">C43/B43</f>
        <v>1.34885644024188</v>
      </c>
      <c r="E43" s="156" t="n">
        <f aca="false">(C43/B43)^(1/7)-1</f>
        <v>0.0436780093630615</v>
      </c>
      <c r="F43" s="154" t="n">
        <f aca="false">B43*(1+G16)^7*'Consumer Sleeve'!$B$7</f>
        <v>33.2363440773267</v>
      </c>
      <c r="G43" s="155" t="n">
        <f aca="false">F43/B43</f>
        <v>2.37402457695191</v>
      </c>
      <c r="H43" s="156" t="n">
        <f aca="false">(F43/B43)^(1/7)-1</f>
        <v>0.131464010150609</v>
      </c>
      <c r="I43" s="154" t="n">
        <f aca="false">B43*(1+H16)^7*'Consumer Sleeve'!$B$7</f>
        <v>8.2124466020625</v>
      </c>
      <c r="J43" s="155" t="n">
        <f aca="false">I43/B43</f>
        <v>0.58660332871875</v>
      </c>
      <c r="K43" s="156" t="n">
        <f aca="false">(I43/B43)^(1/7)-1</f>
        <v>-0.0733699916870017</v>
      </c>
      <c r="L43" s="157" t="n">
        <f aca="false">B43*(1+I16)^7*'Consumer Sleeve'!$B$7</f>
        <v>6.56027603054101</v>
      </c>
      <c r="M43" s="158" t="n">
        <f aca="false">L43/B43</f>
        <v>0.468591145038643</v>
      </c>
      <c r="N43" s="159" t="n">
        <f aca="false">(L43/B43)^(1/7)-1</f>
        <v>-0.102631991949517</v>
      </c>
    </row>
    <row r="44" customFormat="false" ht="15" hidden="false" customHeight="true" outlineLevel="0" collapsed="false">
      <c r="A44" s="153" t="str">
        <f aca="false">A17</f>
        <v>Plunge</v>
      </c>
      <c r="B44" s="154" t="n">
        <f aca="false">C17</f>
        <v>7</v>
      </c>
      <c r="C44" s="154" t="n">
        <f aca="false">B44*(1+F17)^7*'Consumer Sleeve'!$B$7</f>
        <v>21.069103104</v>
      </c>
      <c r="D44" s="155" t="n">
        <f aca="false">C44/B44</f>
        <v>3.009871872</v>
      </c>
      <c r="E44" s="156" t="n">
        <f aca="false">(C44/B44)^(1/7)-1</f>
        <v>0.170480010500629</v>
      </c>
      <c r="F44" s="154" t="n">
        <f aca="false">B44*(1+G17)^7*'Consumer Sleeve'!$B$7</f>
        <v>100.4653125</v>
      </c>
      <c r="G44" s="155" t="n">
        <f aca="false">F44/B44</f>
        <v>14.3521875</v>
      </c>
      <c r="H44" s="156" t="n">
        <f aca="false">(F44/B44)^(1/7)-1</f>
        <v>0.463100013125787</v>
      </c>
      <c r="I44" s="154" t="n">
        <f aca="false">B44*(1+H17)^7*'Consumer Sleeve'!$B$7</f>
        <v>1.03285544866883</v>
      </c>
      <c r="J44" s="155" t="n">
        <f aca="false">I44/B44</f>
        <v>0.147550778381261</v>
      </c>
      <c r="K44" s="156" t="n">
        <f aca="false">(I44/B44)^(1/7)-1</f>
        <v>-0.239187993174591</v>
      </c>
      <c r="L44" s="157" t="n">
        <f aca="false">B44*(1+I17)^7*'Consumer Sleeve'!$B$7</f>
        <v>0.589800044652134</v>
      </c>
      <c r="M44" s="158" t="n">
        <f aca="false">L44/B44</f>
        <v>0.0842571492360192</v>
      </c>
      <c r="N44" s="159" t="n">
        <f aca="false">(L44/B44)^(1/7)-1</f>
        <v>-0.297711993699622</v>
      </c>
    </row>
    <row r="45" customFormat="false" ht="15" hidden="false" customHeight="true" outlineLevel="0" collapsed="false">
      <c r="A45" s="153" t="str">
        <f aca="false">A18</f>
        <v>Polymarket</v>
      </c>
      <c r="B45" s="154" t="n">
        <f aca="false">C18</f>
        <v>10.5</v>
      </c>
      <c r="C45" s="154" t="n">
        <f aca="false">B45*(1+F18)^7*'Consumer Sleeve'!$B$7</f>
        <v>42.0570373535156</v>
      </c>
      <c r="D45" s="155" t="n">
        <f aca="false">C45/B45</f>
        <v>4.00543212890625</v>
      </c>
      <c r="E45" s="156" t="n">
        <f aca="false">(C45/B45)^(1/7)-1</f>
        <v>0.219250010938156</v>
      </c>
      <c r="F45" s="154" t="n">
        <f aca="false">B45*(1+G18)^7*'Consumer Sleeve'!$B$7</f>
        <v>92.974710528</v>
      </c>
      <c r="G45" s="155" t="n">
        <f aca="false">F45/B45</f>
        <v>8.854734336</v>
      </c>
      <c r="H45" s="156" t="n">
        <f aca="false">(F45/B45)^(1/7)-1</f>
        <v>0.365560012250734</v>
      </c>
      <c r="I45" s="154" t="n">
        <f aca="false">B45*(1+H18)^7*'Consumer Sleeve'!$B$7</f>
        <v>6.15933495154687</v>
      </c>
      <c r="J45" s="155" t="n">
        <f aca="false">I45/B45</f>
        <v>0.58660332871875</v>
      </c>
      <c r="K45" s="156" t="n">
        <f aca="false">(I45/B45)^(1/7)-1</f>
        <v>-0.0733699916870017</v>
      </c>
      <c r="L45" s="157" t="n">
        <f aca="false">B45*(1+I18)^7*'Consumer Sleeve'!$B$7</f>
        <v>3.60451875998269</v>
      </c>
      <c r="M45" s="158" t="n">
        <f aca="false">L45/B45</f>
        <v>0.343287500950733</v>
      </c>
      <c r="N45" s="159" t="n">
        <f aca="false">(L45/B45)^(1/7)-1</f>
        <v>-0.141647992299538</v>
      </c>
    </row>
    <row r="46" customFormat="false" ht="15" hidden="false" customHeight="true" outlineLevel="0" collapsed="false">
      <c r="A46" s="153" t="str">
        <f aca="false">A19</f>
        <v>Goat Group</v>
      </c>
      <c r="B46" s="154" t="n">
        <f aca="false">C19</f>
        <v>15</v>
      </c>
      <c r="C46" s="154" t="n">
        <f aca="false">B46*(1+F19)^7*'Consumer Sleeve'!$B$7</f>
        <v>33.5162504939062</v>
      </c>
      <c r="D46" s="155" t="n">
        <f aca="false">C46/B46</f>
        <v>2.23441669959375</v>
      </c>
      <c r="E46" s="156" t="n">
        <f aca="false">(C46/B46)^(1/7)-1</f>
        <v>0.121710010063103</v>
      </c>
      <c r="F46" s="154" t="n">
        <f aca="false">B46*(1+G19)^7*'Consumer Sleeve'!$B$7</f>
        <v>70.9316941310853</v>
      </c>
      <c r="G46" s="155" t="n">
        <f aca="false">F46/B46</f>
        <v>4.72877960873902</v>
      </c>
      <c r="H46" s="156" t="n">
        <f aca="false">(F46/B46)^(1/7)-1</f>
        <v>0.248512011200672</v>
      </c>
      <c r="I46" s="154" t="n">
        <f aca="false">B46*(1+H19)^7*'Consumer Sleeve'!$B$7</f>
        <v>5.14931251426099</v>
      </c>
      <c r="J46" s="155" t="n">
        <f aca="false">I46/B46</f>
        <v>0.343287500950733</v>
      </c>
      <c r="K46" s="156" t="n">
        <f aca="false">(I46/B46)^(1/7)-1</f>
        <v>-0.141647992299538</v>
      </c>
      <c r="L46" s="157" t="n">
        <f aca="false">B46*(1+I19)^7*'Consumer Sleeve'!$B$7</f>
        <v>3.71813836662374</v>
      </c>
      <c r="M46" s="158" t="n">
        <f aca="false">L46/B46</f>
        <v>0.24787589110825</v>
      </c>
      <c r="N46" s="159" t="n">
        <f aca="false">(L46/B46)^(1/7)-1</f>
        <v>-0.180663992649559</v>
      </c>
    </row>
    <row r="47" customFormat="false" ht="15" hidden="false" customHeight="true" outlineLevel="0" collapsed="false">
      <c r="A47" s="153" t="str">
        <f aca="false">A20</f>
        <v>Stripe</v>
      </c>
      <c r="B47" s="154" t="n">
        <f aca="false">C20</f>
        <v>45</v>
      </c>
      <c r="C47" s="154" t="n">
        <f aca="false">B47*(1+F20)^7*'Consumer Sleeve'!$B$7</f>
        <v>120.410913441482</v>
      </c>
      <c r="D47" s="155" t="n">
        <f aca="false">C47/B47</f>
        <v>2.67579807647739</v>
      </c>
      <c r="E47" s="156" t="n">
        <f aca="false">(C47/B47)^(1/7)-1</f>
        <v>0.150972010325619</v>
      </c>
      <c r="F47" s="154" t="n">
        <f aca="false">B47*(1+G20)^7*'Consumer Sleeve'!$B$7</f>
        <v>308.907305526094</v>
      </c>
      <c r="G47" s="155" t="n">
        <f aca="false">F47/B47</f>
        <v>6.86460678946875</v>
      </c>
      <c r="H47" s="156" t="n">
        <f aca="false">(F47/B47)^(1/7)-1</f>
        <v>0.316790011813208</v>
      </c>
      <c r="I47" s="154" t="n">
        <f aca="false">B47*(1+H20)^7*'Consumer Sleeve'!$B$7</f>
        <v>26.3971497923437</v>
      </c>
      <c r="J47" s="155" t="n">
        <f aca="false">I47/B47</f>
        <v>0.58660332871875</v>
      </c>
      <c r="K47" s="156" t="n">
        <f aca="false">(I47/B47)^(1/7)-1</f>
        <v>-0.0733699916870017</v>
      </c>
      <c r="L47" s="157" t="n">
        <f aca="false">B47*(1+I20)^7*'Consumer Sleeve'!$B$7</f>
        <v>21.086601526739</v>
      </c>
      <c r="M47" s="158" t="n">
        <f aca="false">L47/B47</f>
        <v>0.468591145038643</v>
      </c>
      <c r="N47" s="159" t="n">
        <f aca="false">(L47/B47)^(1/7)-1</f>
        <v>-0.102631991949517</v>
      </c>
    </row>
    <row r="48" customFormat="false" ht="15" hidden="false" customHeight="true" outlineLevel="0" collapsed="false">
      <c r="A48" s="86" t="s">
        <v>399</v>
      </c>
      <c r="B48" s="97" t="n">
        <f aca="false">SUM(B39:B47)</f>
        <v>200</v>
      </c>
      <c r="C48" s="97" t="n">
        <f aca="false">SUM(C39:C47)</f>
        <v>662.014273577468</v>
      </c>
      <c r="D48" s="98" t="n">
        <f aca="false">C48/B48</f>
        <v>3.31007136788734</v>
      </c>
      <c r="E48" s="99" t="n">
        <f aca="false">(C48/B48)^(1/7)-1</f>
        <v>0.186485621774347</v>
      </c>
      <c r="F48" s="97" t="n">
        <f aca="false">SUM(F39:F47)</f>
        <v>1544.53381795399</v>
      </c>
      <c r="G48" s="98" t="n">
        <f aca="false">F48/B48</f>
        <v>7.72266908976995</v>
      </c>
      <c r="H48" s="99" t="n">
        <f aca="false">(F48/B48)^(1/7)-1</f>
        <v>0.339133633959013</v>
      </c>
      <c r="I48" s="97" t="n">
        <f aca="false">SUM(I39:I47)</f>
        <v>149.23724635868</v>
      </c>
      <c r="J48" s="98" t="n">
        <f aca="false">I48/B48</f>
        <v>0.746186231793402</v>
      </c>
      <c r="K48" s="99" t="n">
        <f aca="false">(I48/B48)^(1/7)-1</f>
        <v>-0.0409630970753134</v>
      </c>
      <c r="L48" s="100" t="n">
        <f aca="false">SUM(L39:L47)</f>
        <v>70.1827386733369</v>
      </c>
      <c r="M48" s="101" t="n">
        <f aca="false">L48/B48</f>
        <v>0.350913693366684</v>
      </c>
      <c r="N48" s="102" t="n">
        <f aca="false">(L48/B48)^(1/7)-1</f>
        <v>-0.138949513380807</v>
      </c>
    </row>
    <row r="49" customFormat="false" ht="1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true" outlineLevel="0" collapsed="false">
      <c r="A51" s="60" t="s">
        <v>458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true" outlineLevel="0" collapsed="false">
      <c r="A52" s="43" t="s">
        <v>246</v>
      </c>
      <c r="B52" s="43" t="s">
        <v>248</v>
      </c>
      <c r="C52" s="43" t="s">
        <v>356</v>
      </c>
      <c r="D52" s="43" t="s">
        <v>357</v>
      </c>
      <c r="E52" s="43" t="s">
        <v>358</v>
      </c>
      <c r="F52" s="43" t="s">
        <v>359</v>
      </c>
      <c r="G52" s="43" t="s">
        <v>360</v>
      </c>
      <c r="H52" s="43" t="s">
        <v>361</v>
      </c>
      <c r="I52" s="43" t="s">
        <v>362</v>
      </c>
      <c r="J52" s="43" t="s">
        <v>363</v>
      </c>
      <c r="K52" s="43" t="s">
        <v>364</v>
      </c>
      <c r="L52" s="53" t="s">
        <v>365</v>
      </c>
      <c r="M52" s="53" t="s">
        <v>366</v>
      </c>
      <c r="N52" s="53" t="s">
        <v>367</v>
      </c>
    </row>
    <row r="53" customFormat="false" ht="15" hidden="false" customHeight="true" outlineLevel="0" collapsed="false">
      <c r="A53" s="153" t="str">
        <f aca="false">A12</f>
        <v>Quince</v>
      </c>
      <c r="B53" s="154" t="n">
        <f aca="false">C12</f>
        <v>35</v>
      </c>
      <c r="C53" s="154" t="n">
        <f aca="false">B53*(1+F12)^10*'Consumer Sleeve'!$B$8</f>
        <v>309.905300438321</v>
      </c>
      <c r="D53" s="155" t="n">
        <f aca="false">C53/B53</f>
        <v>8.85443715538059</v>
      </c>
      <c r="E53" s="156" t="n">
        <f aca="false">(C53/B53)^(1/10)-1</f>
        <v>0.243701322064734</v>
      </c>
      <c r="F53" s="154" t="n">
        <f aca="false">B53*(1+G12)^10*'Consumer Sleeve'!$B$8</f>
        <v>1078.47313223928</v>
      </c>
      <c r="G53" s="155" t="n">
        <f aca="false">F53/B53</f>
        <v>30.8135180639796</v>
      </c>
      <c r="H53" s="156" t="n">
        <f aca="false">(F53/B53)^(1/10)-1</f>
        <v>0.408880403901457</v>
      </c>
      <c r="I53" s="154" t="n">
        <f aca="false">B53*(1+H12)^10*'Consumer Sleeve'!$B$8</f>
        <v>31.9986035248624</v>
      </c>
      <c r="J53" s="155" t="n">
        <f aca="false">I53/B53</f>
        <v>0.914245814996068</v>
      </c>
      <c r="K53" s="156" t="n">
        <f aca="false">(I53/B53)^(1/10)-1</f>
        <v>-0.00892550897966504</v>
      </c>
      <c r="L53" s="157" t="n">
        <f aca="false">B53*(1+I12)^10*'Consumer Sleeve'!$B$8</f>
        <v>3.60801082256897</v>
      </c>
      <c r="M53" s="158" t="n">
        <f aca="false">L53/B53</f>
        <v>0.103086023501971</v>
      </c>
      <c r="N53" s="159" t="n">
        <f aca="false">(L53/B53)^(1/10)-1</f>
        <v>-0.20325384055228</v>
      </c>
    </row>
    <row r="54" customFormat="false" ht="15" hidden="false" customHeight="true" outlineLevel="0" collapsed="false">
      <c r="A54" s="153" t="str">
        <f aca="false">A13</f>
        <v>Whoop</v>
      </c>
      <c r="B54" s="154" t="n">
        <f aca="false">C13</f>
        <v>31.5</v>
      </c>
      <c r="C54" s="154" t="n">
        <f aca="false">B54*(1+F13)^10*'Consumer Sleeve'!$B$8</f>
        <v>257.874872788589</v>
      </c>
      <c r="D54" s="155" t="n">
        <f aca="false">C54/B54</f>
        <v>8.18650389805045</v>
      </c>
      <c r="E54" s="156" t="n">
        <f aca="false">(C54/B54)^(1/10)-1</f>
        <v>0.233984905486103</v>
      </c>
      <c r="F54" s="154" t="n">
        <f aca="false">B54*(1+G13)^10*'Consumer Sleeve'!$B$8</f>
        <v>787.50851986031</v>
      </c>
      <c r="G54" s="155" t="n">
        <f aca="false">F54/B54</f>
        <v>25.0002704717559</v>
      </c>
      <c r="H54" s="156" t="n">
        <f aca="false">(F54/B54)^(1/10)-1</f>
        <v>0.379731154165564</v>
      </c>
      <c r="I54" s="154" t="n">
        <f aca="false">B54*(1+H13)^10*'Consumer Sleeve'!$B$8</f>
        <v>17.4216449978927</v>
      </c>
      <c r="J54" s="155" t="n">
        <f aca="false">I54/B54</f>
        <v>0.553068095171196</v>
      </c>
      <c r="K54" s="156" t="n">
        <f aca="false">(I54/B54)^(1/10)-1</f>
        <v>-0.0575075918728187</v>
      </c>
      <c r="L54" s="157" t="n">
        <f aca="false">B54*(1+I13)^10*'Consumer Sleeve'!$B$8</f>
        <v>4.1320415295963</v>
      </c>
      <c r="M54" s="158" t="n">
        <f aca="false">L54/B54</f>
        <v>0.131175921574486</v>
      </c>
      <c r="N54" s="159" t="n">
        <f aca="false">(L54/B54)^(1/10)-1</f>
        <v>-0.183821007395018</v>
      </c>
    </row>
    <row r="55" customFormat="false" ht="139.5" hidden="false" customHeight="true" outlineLevel="0" collapsed="false">
      <c r="A55" s="153" t="str">
        <f aca="false">A14</f>
        <v>The Farmer's Dog</v>
      </c>
      <c r="B55" s="154" t="n">
        <f aca="false">C14</f>
        <v>24.5</v>
      </c>
      <c r="C55" s="154" t="n">
        <f aca="false">B55*(1+F14)^10*'Consumer Sleeve'!$B$8</f>
        <v>134.222602258488</v>
      </c>
      <c r="D55" s="155" t="n">
        <f aca="false">C55/B55</f>
        <v>5.47847356157094</v>
      </c>
      <c r="E55" s="156" t="n">
        <f aca="false">(C55/B55)^(1/10)-1</f>
        <v>0.18540282259295</v>
      </c>
      <c r="F55" s="154" t="n">
        <f aca="false">B55*(1+G14)^10*'Consumer Sleeve'!$B$8</f>
        <v>342.98516130446</v>
      </c>
      <c r="G55" s="155" t="n">
        <f aca="false">F55/B55</f>
        <v>13.9993943389575</v>
      </c>
      <c r="H55" s="156" t="n">
        <f aca="false">(F55/B55)^(1/10)-1</f>
        <v>0.301999821536519</v>
      </c>
      <c r="I55" s="154" t="n">
        <f aca="false">B55*(1+H14)^10*'Consumer Sleeve'!$B$8</f>
        <v>47.6600177043375</v>
      </c>
      <c r="J55" s="155" t="n">
        <f aca="false">I55/B55</f>
        <v>1.945306845075</v>
      </c>
      <c r="K55" s="156" t="n">
        <f aca="false">(I55/B55)^(1/10)-1</f>
        <v>0.0688058236493809</v>
      </c>
      <c r="L55" s="157" t="n">
        <f aca="false">B55*(1+I14)^10*'Consumer Sleeve'!$B$8</f>
        <v>11.0017912585052</v>
      </c>
      <c r="M55" s="158" t="n">
        <f aca="false">L55/B55</f>
        <v>0.449052704428784</v>
      </c>
      <c r="N55" s="159" t="n">
        <f aca="false">(L55/B55)^(1/10)-1</f>
        <v>-0.0769404250300803</v>
      </c>
    </row>
    <row r="56" customFormat="false" ht="15" hidden="false" customHeight="true" outlineLevel="0" collapsed="false">
      <c r="A56" s="153" t="str">
        <f aca="false">A15</f>
        <v>Made In Cookware</v>
      </c>
      <c r="B56" s="154" t="n">
        <f aca="false">C15</f>
        <v>17.5</v>
      </c>
      <c r="C56" s="154" t="n">
        <f aca="false">B56*(1+F15)^10*'Consumer Sleeve'!$B$8</f>
        <v>48.6572797478062</v>
      </c>
      <c r="D56" s="155" t="n">
        <f aca="false">C56/B56</f>
        <v>2.78041598558893</v>
      </c>
      <c r="E56" s="156" t="n">
        <f aca="false">(C56/B56)^(1/10)-1</f>
        <v>0.107671489963904</v>
      </c>
      <c r="F56" s="154" t="n">
        <f aca="false">B56*(1+G15)^10*'Consumer Sleeve'!$B$8</f>
        <v>132.374631228913</v>
      </c>
      <c r="G56" s="155" t="n">
        <f aca="false">F56/B56</f>
        <v>7.56426464165215</v>
      </c>
      <c r="H56" s="156" t="n">
        <f aca="false">(F56/B56)^(1/10)-1</f>
        <v>0.224268488907473</v>
      </c>
      <c r="I56" s="154" t="n">
        <f aca="false">B56*(1+H15)^10*'Consumer Sleeve'!$B$8</f>
        <v>4.5764045263125</v>
      </c>
      <c r="J56" s="155" t="n">
        <f aca="false">I56/B56</f>
        <v>0.261508830075</v>
      </c>
      <c r="K56" s="156" t="n">
        <f aca="false">(I56/B56)^(1/10)-1</f>
        <v>-0.125522507923234</v>
      </c>
      <c r="L56" s="157" t="n">
        <f aca="false">B56*(1+I15)^10*'Consumer Sleeve'!$B$8</f>
        <v>2.9045832229054</v>
      </c>
      <c r="M56" s="158" t="n">
        <f aca="false">L56/B56</f>
        <v>0.165976184166023</v>
      </c>
      <c r="N56" s="159" t="n">
        <f aca="false">(L56/B56)^(1/10)-1</f>
        <v>-0.164388174237757</v>
      </c>
    </row>
    <row r="57" customFormat="false" ht="15" hidden="false" customHeight="true" outlineLevel="0" collapsed="false">
      <c r="A57" s="153" t="str">
        <f aca="false">A16</f>
        <v>Thrive Market</v>
      </c>
      <c r="B57" s="154" t="n">
        <f aca="false">C16</f>
        <v>14</v>
      </c>
      <c r="C57" s="154" t="n">
        <f aca="false">B57*(1+F16)^10*'Consumer Sleeve'!$B$8</f>
        <v>20.6550892515405</v>
      </c>
      <c r="D57" s="155" t="n">
        <f aca="false">C57/B57</f>
        <v>1.47536351796718</v>
      </c>
      <c r="E57" s="156" t="n">
        <f aca="false">(C57/B57)^(1/10)-1</f>
        <v>0.0396565739134886</v>
      </c>
      <c r="F57" s="154" t="n">
        <f aca="false">B57*(1+G16)^10*'Consumer Sleeve'!$B$8</f>
        <v>46.3200683258241</v>
      </c>
      <c r="G57" s="155" t="n">
        <f aca="false">F57/B57</f>
        <v>3.30857630898743</v>
      </c>
      <c r="H57" s="156" t="n">
        <f aca="false">(F57/B57)^(1/10)-1</f>
        <v>0.127104323121165</v>
      </c>
      <c r="I57" s="154" t="n">
        <f aca="false">B57*(1+H16)^10*'Consumer Sleeve'!$B$8</f>
        <v>6.28673786200298</v>
      </c>
      <c r="J57" s="155" t="n">
        <f aca="false">I57/B57</f>
        <v>0.449052704428784</v>
      </c>
      <c r="K57" s="156" t="n">
        <f aca="false">(I57/B57)^(1/10)-1</f>
        <v>-0.0769404250300803</v>
      </c>
      <c r="L57" s="157" t="n">
        <f aca="false">B57*(1+I16)^10*'Consumer Sleeve'!$B$8</f>
        <v>4.56107876934814</v>
      </c>
      <c r="M57" s="158" t="n">
        <f aca="false">L57/B57</f>
        <v>0.325791340667724</v>
      </c>
      <c r="N57" s="159" t="n">
        <f aca="false">(L57/B57)^(1/10)-1</f>
        <v>-0.106089674765972</v>
      </c>
    </row>
    <row r="58" customFormat="false" ht="105.75" hidden="false" customHeight="true" outlineLevel="0" collapsed="false">
      <c r="A58" s="153" t="str">
        <f aca="false">A17</f>
        <v>Plunge</v>
      </c>
      <c r="B58" s="154" t="n">
        <f aca="false">C17</f>
        <v>7</v>
      </c>
      <c r="C58" s="154" t="n">
        <f aca="false">B58*(1+F17)^10*'Consumer Sleeve'!$B$8</f>
        <v>32.5066162176</v>
      </c>
      <c r="D58" s="155" t="n">
        <f aca="false">C58/B58</f>
        <v>4.6438023168</v>
      </c>
      <c r="E58" s="156" t="n">
        <f aca="false">(C58/B58)^(1/10)-1</f>
        <v>0.165969989435688</v>
      </c>
      <c r="F58" s="154" t="n">
        <f aca="false">B58*(1+G17)^10*'Consumer Sleeve'!$B$8</f>
        <v>302.741455078125</v>
      </c>
      <c r="G58" s="155" t="n">
        <f aca="false">F58/B58</f>
        <v>43.248779296875</v>
      </c>
      <c r="H58" s="156" t="n">
        <f aca="false">(F58/B58)^(1/10)-1</f>
        <v>0.45746248679461</v>
      </c>
      <c r="I58" s="154" t="n">
        <f aca="false">B58*(1+H17)^10*'Consumer Sleeve'!$B$8</f>
        <v>0.437628231139901</v>
      </c>
      <c r="J58" s="155" t="n">
        <f aca="false">I58/B58</f>
        <v>0.0625183187342715</v>
      </c>
      <c r="K58" s="156" t="n">
        <f aca="false">(I58/B58)^(1/10)-1</f>
        <v>-0.242119506866803</v>
      </c>
      <c r="L58" s="157" t="n">
        <f aca="false">B58*(1+I17)^10*'Consumer Sleeve'!$B$8</f>
        <v>0.196555077737786</v>
      </c>
      <c r="M58" s="158" t="n">
        <f aca="false">L58/B58</f>
        <v>0.0280792968196836</v>
      </c>
      <c r="N58" s="159" t="n">
        <f aca="false">(L58/B58)^(1/10)-1</f>
        <v>-0.300418006338587</v>
      </c>
    </row>
    <row r="59" customFormat="false" ht="15" hidden="false" customHeight="false" outlineLevel="0" collapsed="false">
      <c r="A59" s="153" t="str">
        <f aca="false">A18</f>
        <v>Polymarket</v>
      </c>
      <c r="B59" s="154" t="n">
        <f aca="false">C18</f>
        <v>10.5</v>
      </c>
      <c r="C59" s="154" t="n">
        <f aca="false">B59*(1+F18)^10*'Consumer Sleeve'!$B$8</f>
        <v>73.3416527509689</v>
      </c>
      <c r="D59" s="155" t="n">
        <f aca="false">C59/B59</f>
        <v>6.98491930961609</v>
      </c>
      <c r="E59" s="156" t="n">
        <f aca="false">(C59/B59)^(1/10)-1</f>
        <v>0.214552072328842</v>
      </c>
      <c r="F59" s="154" t="n">
        <f aca="false">B59*(1+G18)^10*'Consumer Sleeve'!$B$8</f>
        <v>227.7880407936</v>
      </c>
      <c r="G59" s="155" t="n">
        <f aca="false">F59/B59</f>
        <v>21.6940991232</v>
      </c>
      <c r="H59" s="156" t="n">
        <f aca="false">(F59/B59)^(1/10)-1</f>
        <v>0.360298321008303</v>
      </c>
      <c r="I59" s="154" t="n">
        <f aca="false">B59*(1+H18)^10*'Consumer Sleeve'!$B$8</f>
        <v>4.71505339650223</v>
      </c>
      <c r="J59" s="155" t="n">
        <f aca="false">I59/B59</f>
        <v>0.449052704428784</v>
      </c>
      <c r="K59" s="156" t="n">
        <f aca="false">(I59/B59)^(1/10)-1</f>
        <v>-0.0769404250300803</v>
      </c>
      <c r="L59" s="157" t="n">
        <f aca="false">B59*(1+I18)^10*'Consumer Sleeve'!$B$8</f>
        <v>2.19319518607404</v>
      </c>
      <c r="M59" s="158" t="n">
        <f aca="false">L59/B59</f>
        <v>0.208875732007052</v>
      </c>
      <c r="N59" s="159" t="n">
        <f aca="false">(L59/B59)^(1/10)-1</f>
        <v>-0.144955341080495</v>
      </c>
    </row>
    <row r="60" customFormat="false" ht="15" hidden="false" customHeight="false" outlineLevel="0" collapsed="false">
      <c r="A60" s="153" t="str">
        <f aca="false">A19</f>
        <v>Goat Group</v>
      </c>
      <c r="B60" s="154" t="n">
        <f aca="false">C19</f>
        <v>15</v>
      </c>
      <c r="C60" s="154" t="n">
        <f aca="false">B60*(1+F19)^10*'Consumer Sleeve'!$B$8</f>
        <v>45.5125245267139</v>
      </c>
      <c r="D60" s="155" t="n">
        <f aca="false">C60/B60</f>
        <v>3.03416830178093</v>
      </c>
      <c r="E60" s="156" t="n">
        <f aca="false">(C60/B60)^(1/10)-1</f>
        <v>0.117387906542535</v>
      </c>
      <c r="F60" s="154" t="n">
        <f aca="false">B60*(1+G19)^10*'Consumer Sleeve'!$B$8</f>
        <v>132.816557330709</v>
      </c>
      <c r="G60" s="155" t="n">
        <f aca="false">F60/B60</f>
        <v>8.85443715538059</v>
      </c>
      <c r="H60" s="156" t="n">
        <f aca="false">(F60/B60)^(1/10)-1</f>
        <v>0.243701322064734</v>
      </c>
      <c r="I60" s="154" t="n">
        <f aca="false">B60*(1+H19)^10*'Consumer Sleeve'!$B$8</f>
        <v>3.13313598010577</v>
      </c>
      <c r="J60" s="155" t="n">
        <f aca="false">I60/B60</f>
        <v>0.208875732007052</v>
      </c>
      <c r="K60" s="156" t="n">
        <f aca="false">(I60/B60)^(1/10)-1</f>
        <v>-0.144955341080495</v>
      </c>
      <c r="L60" s="157" t="n">
        <f aca="false">B60*(1+I19)^10*'Consumer Sleeve'!$B$8</f>
        <v>1.96763882361728</v>
      </c>
      <c r="M60" s="158" t="n">
        <f aca="false">L60/B60</f>
        <v>0.131175921574486</v>
      </c>
      <c r="N60" s="159" t="n">
        <f aca="false">(L60/B60)^(1/10)-1</f>
        <v>-0.183821007395018</v>
      </c>
    </row>
    <row r="61" customFormat="false" ht="15" hidden="false" customHeight="false" outlineLevel="0" collapsed="false">
      <c r="A61" s="153" t="str">
        <f aca="false">A20</f>
        <v>Stripe</v>
      </c>
      <c r="B61" s="154" t="n">
        <f aca="false">C20</f>
        <v>45</v>
      </c>
      <c r="C61" s="154" t="n">
        <f aca="false">B61*(1+F20)^10*'Consumer Sleeve'!$B$8</f>
        <v>176.641949940702</v>
      </c>
      <c r="D61" s="155" t="n">
        <f aca="false">C61/B61</f>
        <v>3.92537666534892</v>
      </c>
      <c r="E61" s="156" t="n">
        <f aca="false">(C61/B61)^(1/10)-1</f>
        <v>0.146537156278427</v>
      </c>
      <c r="F61" s="154" t="n">
        <f aca="false">B61*(1+G20)^10*'Consumer Sleeve'!$B$8</f>
        <v>678.59626056586</v>
      </c>
      <c r="G61" s="155" t="n">
        <f aca="false">F61/B61</f>
        <v>15.0799169014636</v>
      </c>
      <c r="H61" s="156" t="n">
        <f aca="false">(F61/B61)^(1/10)-1</f>
        <v>0.311716238115149</v>
      </c>
      <c r="I61" s="154" t="n">
        <f aca="false">B61*(1+H20)^10*'Consumer Sleeve'!$B$8</f>
        <v>20.2073716992953</v>
      </c>
      <c r="J61" s="155" t="n">
        <f aca="false">I61/B61</f>
        <v>0.449052704428784</v>
      </c>
      <c r="K61" s="156" t="n">
        <f aca="false">(I61/B61)^(1/10)-1</f>
        <v>-0.0769404250300803</v>
      </c>
      <c r="L61" s="157" t="n">
        <f aca="false">B61*(1+I20)^10*'Consumer Sleeve'!$B$8</f>
        <v>14.6606103300476</v>
      </c>
      <c r="M61" s="158" t="n">
        <f aca="false">L61/B61</f>
        <v>0.325791340667724</v>
      </c>
      <c r="N61" s="159" t="n">
        <f aca="false">(L61/B61)^(1/10)-1</f>
        <v>-0.106089674765972</v>
      </c>
    </row>
    <row r="62" customFormat="false" ht="15" hidden="false" customHeight="false" outlineLevel="0" collapsed="false">
      <c r="A62" s="86" t="s">
        <v>399</v>
      </c>
      <c r="B62" s="97" t="n">
        <f aca="false">SUM(B53:B61)</f>
        <v>200</v>
      </c>
      <c r="C62" s="97" t="n">
        <f aca="false">SUM(C53:C61)</f>
        <v>1099.31788792073</v>
      </c>
      <c r="D62" s="98" t="n">
        <f aca="false">C62/B62</f>
        <v>5.49658943960364</v>
      </c>
      <c r="E62" s="99" t="n">
        <f aca="false">(C62/B62)^(1/10)-1</f>
        <v>0.185794222214744</v>
      </c>
      <c r="F62" s="97" t="n">
        <f aca="false">SUM(F53:F61)</f>
        <v>3729.60382672708</v>
      </c>
      <c r="G62" s="98" t="n">
        <f aca="false">F62/B62</f>
        <v>18.6480191336354</v>
      </c>
      <c r="H62" s="99" t="n">
        <f aca="false">(F62/B62)^(1/10)-1</f>
        <v>0.339871873737582</v>
      </c>
      <c r="I62" s="97" t="n">
        <f aca="false">SUM(I53:I61)</f>
        <v>136.436597922451</v>
      </c>
      <c r="J62" s="98" t="n">
        <f aca="false">I62/B62</f>
        <v>0.682182989612256</v>
      </c>
      <c r="K62" s="99" t="n">
        <f aca="false">(I62/B62)^(1/10)-1</f>
        <v>-0.0375236017228837</v>
      </c>
      <c r="L62" s="100" t="n">
        <f aca="false">SUM(L53:L61)</f>
        <v>45.2255050204007</v>
      </c>
      <c r="M62" s="101" t="n">
        <f aca="false">L62/B62</f>
        <v>0.226127525102004</v>
      </c>
      <c r="N62" s="102" t="n">
        <f aca="false">(L62/B62)^(1/10)-1</f>
        <v>-0.138142742733104</v>
      </c>
    </row>
    <row r="63" customFormat="false" ht="6" hidden="false" customHeight="true" outlineLevel="0" collapsed="false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42" t="s">
        <v>624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9.75" hidden="false" customHeight="true" outlineLevel="0" collapsed="false">
      <c r="A66" s="11" t="s">
        <v>625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</sheetData>
  <mergeCells count="2">
    <mergeCell ref="A63:J63"/>
    <mergeCell ref="A66:N66"/>
  </mergeCells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374"/>
    <pageSetUpPr fitToPage="true"/>
  </sheetPr>
  <dimension ref="A1:F12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3" topLeftCell="B99" activePane="bottomRight" state="frozen"/>
      <selection pane="topLeft" activeCell="A1" activeCellId="0" sqref="A1"/>
      <selection pane="topRight" activeCell="B1" activeCellId="0" sqref="B1"/>
      <selection pane="bottomLeft" activeCell="A99" activeCellId="0" sqref="A99"/>
      <selection pane="bottomRight" activeCell="K95" activeCellId="0" sqref="K95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8" hidden="false" customHeight="true" outlineLevel="0" collapsed="false">
      <c r="A1" s="161" t="s">
        <v>626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41" t="s">
        <v>627</v>
      </c>
      <c r="B2" s="1"/>
      <c r="C2" s="1"/>
      <c r="D2" s="1"/>
      <c r="E2" s="1"/>
      <c r="F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</row>
    <row r="4" customFormat="false" ht="15" hidden="false" customHeight="true" outlineLevel="0" collapsed="false">
      <c r="A4" s="42" t="s">
        <v>628</v>
      </c>
      <c r="B4" s="1"/>
      <c r="C4" s="1"/>
      <c r="D4" s="1"/>
      <c r="E4" s="1"/>
      <c r="F4" s="1"/>
    </row>
    <row r="5" customFormat="false" ht="15" hidden="false" customHeight="true" outlineLevel="0" collapsed="false">
      <c r="A5" s="57" t="s">
        <v>108</v>
      </c>
      <c r="B5" s="59" t="n">
        <v>0.09</v>
      </c>
      <c r="C5" s="1"/>
      <c r="D5" s="1"/>
      <c r="E5" s="1"/>
      <c r="F5" s="1"/>
    </row>
    <row r="6" customFormat="false" ht="15" hidden="false" customHeight="true" outlineLevel="0" collapsed="false">
      <c r="A6" s="57" t="s">
        <v>109</v>
      </c>
      <c r="B6" s="59" t="n">
        <v>0.13</v>
      </c>
      <c r="C6" s="1"/>
      <c r="D6" s="1"/>
      <c r="E6" s="1"/>
      <c r="F6" s="1"/>
    </row>
    <row r="7" customFormat="false" ht="15" hidden="false" customHeight="true" outlineLevel="0" collapsed="false">
      <c r="A7" s="41" t="s">
        <v>629</v>
      </c>
      <c r="B7" s="1"/>
      <c r="C7" s="1"/>
      <c r="D7" s="1"/>
      <c r="E7" s="1"/>
      <c r="F7" s="1"/>
    </row>
    <row r="8" customFormat="false" ht="15" hidden="false" customHeight="true" outlineLevel="0" collapsed="false">
      <c r="A8" s="1"/>
      <c r="B8" s="1"/>
      <c r="C8" s="1"/>
      <c r="D8" s="1"/>
      <c r="E8" s="1"/>
      <c r="F8" s="1"/>
    </row>
    <row r="9" customFormat="false" ht="36.75" hidden="false" customHeight="true" outlineLevel="0" collapsed="false">
      <c r="A9" s="11" t="s">
        <v>630</v>
      </c>
      <c r="B9" s="11"/>
      <c r="C9" s="11"/>
      <c r="D9" s="11"/>
      <c r="E9" s="11"/>
      <c r="F9" s="11"/>
    </row>
    <row r="10" customFormat="false" ht="15" hidden="false" customHeight="true" outlineLevel="0" collapsed="false">
      <c r="A10" s="1"/>
      <c r="B10" s="1"/>
      <c r="C10" s="1"/>
      <c r="D10" s="1"/>
      <c r="E10" s="1"/>
      <c r="F10" s="1"/>
    </row>
    <row r="11" customFormat="false" ht="15" hidden="false" customHeight="true" outlineLevel="0" collapsed="false">
      <c r="A11" s="60" t="s">
        <v>631</v>
      </c>
      <c r="B11" s="1"/>
      <c r="C11" s="1"/>
      <c r="D11" s="1"/>
      <c r="E11" s="1"/>
      <c r="F11" s="1"/>
    </row>
    <row r="12" customFormat="false" ht="15" hidden="false" customHeight="true" outlineLevel="0" collapsed="false">
      <c r="A12" s="43" t="s">
        <v>27</v>
      </c>
      <c r="B12" s="43" t="s">
        <v>36</v>
      </c>
      <c r="C12" s="43" t="s">
        <v>37</v>
      </c>
      <c r="D12" s="43" t="s">
        <v>38</v>
      </c>
      <c r="E12" s="53" t="s">
        <v>39</v>
      </c>
      <c r="F12" s="53" t="s">
        <v>40</v>
      </c>
    </row>
    <row r="13" customFormat="false" ht="15" hidden="false" customHeight="true" outlineLevel="0" collapsed="false">
      <c r="A13" s="44" t="s">
        <v>29</v>
      </c>
      <c r="B13" s="68" t="n">
        <f aca="false">'Fund Economics'!B14</f>
        <v>2.00452411057682</v>
      </c>
      <c r="C13" s="68" t="n">
        <f aca="false">'Fund Economics'!C14</f>
        <v>3.08782214751602</v>
      </c>
      <c r="D13" s="68" t="n">
        <f aca="false">'Fund Economics'!D14</f>
        <v>0.40517410275635</v>
      </c>
      <c r="E13" s="69" t="n">
        <f aca="false">'Fund Economics'!E14</f>
        <v>3.12316581936069</v>
      </c>
      <c r="F13" s="69" t="n">
        <f aca="false">'Fund Economics'!F14</f>
        <v>2.20324237495613</v>
      </c>
    </row>
    <row r="14" customFormat="false" ht="15" hidden="false" customHeight="true" outlineLevel="0" collapsed="false">
      <c r="A14" s="44" t="s">
        <v>632</v>
      </c>
      <c r="B14" s="68" t="n">
        <f aca="false">'Fund Economics'!B12/Assumptions!$B$5</f>
        <v>2.00452411057682</v>
      </c>
      <c r="C14" s="68" t="n">
        <f aca="false">'Fund Economics'!C12/Assumptions!$B$5</f>
        <v>3.08782214751602</v>
      </c>
      <c r="D14" s="68" t="n">
        <f aca="false">'Fund Economics'!D12/Assumptions!$B$5</f>
        <v>0.40517410275635</v>
      </c>
      <c r="E14" s="69" t="n">
        <f aca="false">'Fund Economics'!E12/Assumptions!$B$5</f>
        <v>3.12316581936069</v>
      </c>
      <c r="F14" s="69" t="n">
        <f aca="false">'Fund Economics'!F12/Assumptions!$B$5</f>
        <v>2.20324237495613</v>
      </c>
    </row>
    <row r="15" customFormat="false" ht="15" hidden="false" customHeight="true" outlineLevel="0" collapsed="false">
      <c r="A15" s="44" t="s">
        <v>633</v>
      </c>
      <c r="B15" s="68" t="n">
        <f aca="false">'Fund Economics'!B6/Assumptions!$B$5</f>
        <v>2.26332311902102</v>
      </c>
      <c r="C15" s="68" t="n">
        <f aca="false">'Fund Economics'!C6/Assumptions!$B$5</f>
        <v>3.61744566519502</v>
      </c>
      <c r="D15" s="68" t="n">
        <f aca="false">'Fund Economics'!D6/Assumptions!$B$5</f>
        <v>0.50517410275635</v>
      </c>
      <c r="E15" s="69" t="n">
        <f aca="false">'Fund Economics'!E6/Assumptions!$B$5</f>
        <v>3.66162525500086</v>
      </c>
      <c r="F15" s="69" t="n">
        <f aca="false">'Fund Economics'!F6/Assumptions!$B$5</f>
        <v>2.54787672352179</v>
      </c>
    </row>
    <row r="16" customFormat="false" ht="15" hidden="false" customHeight="true" outlineLevel="0" collapsed="false">
      <c r="A16" s="44" t="s">
        <v>28</v>
      </c>
      <c r="B16" s="46" t="n">
        <f aca="false">'Fund Economics'!B16</f>
        <v>0.149217569250538</v>
      </c>
      <c r="C16" s="46" t="n">
        <f aca="false">'Fund Economics'!C16</f>
        <v>0.25294052305987</v>
      </c>
      <c r="D16" s="46" t="n">
        <f aca="false">'Fund Economics'!D16</f>
        <v>-0.165303993240778</v>
      </c>
      <c r="E16" s="71" t="n">
        <f aca="false">'Fund Economics'!E16</f>
        <v>0.255795749018457</v>
      </c>
      <c r="F16" s="71" t="n">
        <f aca="false">'Fund Economics'!F16</f>
        <v>0.171149817743607</v>
      </c>
    </row>
    <row r="17" customFormat="false" ht="15" hidden="false" customHeight="true" outlineLevel="0" collapsed="false">
      <c r="A17" s="44" t="s">
        <v>634</v>
      </c>
      <c r="B17" s="68" t="n">
        <f aca="false">(1+'PME, DPI &amp; Sensitivity'!$B$5)^5</f>
        <v>1.5386239549</v>
      </c>
      <c r="C17" s="68" t="n">
        <f aca="false">(1+'PME, DPI &amp; Sensitivity'!$B$5)^5</f>
        <v>1.5386239549</v>
      </c>
      <c r="D17" s="68" t="n">
        <f aca="false">(1+'PME, DPI &amp; Sensitivity'!$B$5)^5</f>
        <v>1.5386239549</v>
      </c>
      <c r="E17" s="69" t="n">
        <f aca="false">(1+'PME, DPI &amp; Sensitivity'!$B$5)^5</f>
        <v>1.5386239549</v>
      </c>
      <c r="F17" s="69" t="n">
        <f aca="false">(1+'PME, DPI &amp; Sensitivity'!$B$5)^5</f>
        <v>1.5386239549</v>
      </c>
    </row>
    <row r="18" customFormat="false" ht="15" hidden="false" customHeight="true" outlineLevel="0" collapsed="false">
      <c r="A18" s="65" t="s">
        <v>635</v>
      </c>
      <c r="B18" s="67" t="n">
        <f aca="false">'Fund Economics'!B14/(1+'PME, DPI &amp; Sensitivity'!$B$5)^5</f>
        <v>1.30280313405565</v>
      </c>
      <c r="C18" s="67" t="n">
        <f aca="false">'Fund Economics'!C14/(1+'PME, DPI &amp; Sensitivity'!$B$5)^5</f>
        <v>2.00687252897782</v>
      </c>
      <c r="D18" s="67" t="n">
        <f aca="false">'Fund Economics'!D14/(1+'PME, DPI &amp; Sensitivity'!$B$5)^5</f>
        <v>0.263335366296623</v>
      </c>
      <c r="E18" s="67" t="n">
        <f aca="false">'Fund Economics'!E14/(1+'PME, DPI &amp; Sensitivity'!$B$5)^5</f>
        <v>2.0298434906167</v>
      </c>
      <c r="F18" s="67" t="n">
        <f aca="false">'Fund Economics'!F14/(1+'PME, DPI &amp; Sensitivity'!$B$5)^5</f>
        <v>1.43195637110649</v>
      </c>
    </row>
    <row r="19" customFormat="false" ht="15" hidden="false" customHeight="true" outlineLevel="0" collapsed="false">
      <c r="A19" s="44" t="s">
        <v>636</v>
      </c>
      <c r="B19" s="46" t="n">
        <f aca="false">('Fund Economics'!B14/(1+'PME, DPI &amp; Sensitivity'!$B$5)^5)^(1/5)-1</f>
        <v>0.05432804518398</v>
      </c>
      <c r="C19" s="46" t="n">
        <f aca="false">('Fund Economics'!C14/(1+'PME, DPI &amp; Sensitivity'!$B$5)^5)^(1/5)-1</f>
        <v>0.14948671840355</v>
      </c>
      <c r="D19" s="46" t="n">
        <f aca="false">('Fund Economics'!D14/(1+'PME, DPI &amp; Sensitivity'!$B$5)^5)^(1/5)-1</f>
        <v>-0.234223847009888</v>
      </c>
      <c r="E19" s="71" t="n">
        <f aca="false">('Fund Economics'!E14/(1+'PME, DPI &amp; Sensitivity'!$B$5)^5)^(1/5)-1</f>
        <v>0.152106191760052</v>
      </c>
      <c r="F19" s="71" t="n">
        <f aca="false">('Fund Economics'!F14/(1+'PME, DPI &amp; Sensitivity'!$B$5)^5)^(1/5)-1</f>
        <v>0.0744493740767034</v>
      </c>
    </row>
    <row r="20" customFormat="false" ht="15" hidden="false" customHeight="true" outlineLevel="0" collapsed="false">
      <c r="A20" s="44" t="s">
        <v>637</v>
      </c>
      <c r="B20" s="68" t="n">
        <f aca="false">(1+'PME, DPI &amp; Sensitivity'!$B$6)^5</f>
        <v>1.8424351793</v>
      </c>
      <c r="C20" s="68" t="n">
        <f aca="false">(1+'PME, DPI &amp; Sensitivity'!$B$6)^5</f>
        <v>1.8424351793</v>
      </c>
      <c r="D20" s="68" t="n">
        <f aca="false">(1+'PME, DPI &amp; Sensitivity'!$B$6)^5</f>
        <v>1.8424351793</v>
      </c>
      <c r="E20" s="69" t="n">
        <f aca="false">(1+'PME, DPI &amp; Sensitivity'!$B$6)^5</f>
        <v>1.8424351793</v>
      </c>
      <c r="F20" s="69" t="n">
        <f aca="false">(1+'PME, DPI &amp; Sensitivity'!$B$6)^5</f>
        <v>1.8424351793</v>
      </c>
    </row>
    <row r="21" customFormat="false" ht="15" hidden="false" customHeight="true" outlineLevel="0" collapsed="false">
      <c r="A21" s="65" t="s">
        <v>638</v>
      </c>
      <c r="B21" s="67" t="n">
        <f aca="false">'Fund Economics'!B14/(1+'PME, DPI &amp; Sensitivity'!$B$6)^5</f>
        <v>1.08797537796602</v>
      </c>
      <c r="C21" s="67" t="n">
        <f aca="false">'Fund Economics'!C14/(1+'PME, DPI &amp; Sensitivity'!$B$6)^5</f>
        <v>1.67594615116347</v>
      </c>
      <c r="D21" s="67" t="n">
        <f aca="false">'Fund Economics'!D14/(1+'PME, DPI &amp; Sensitivity'!$B$6)^5</f>
        <v>0.219912270080671</v>
      </c>
      <c r="E21" s="67" t="n">
        <f aca="false">'Fund Economics'!E14/(1+'PME, DPI &amp; Sensitivity'!$B$6)^5</f>
        <v>1.69512928023187</v>
      </c>
      <c r="F21" s="67" t="n">
        <f aca="false">'Fund Economics'!F14/(1+'PME, DPI &amp; Sensitivity'!$B$6)^5</f>
        <v>1.19583169042246</v>
      </c>
    </row>
    <row r="22" customFormat="false" ht="15" hidden="false" customHeight="true" outlineLevel="0" collapsed="false">
      <c r="A22" s="44" t="s">
        <v>639</v>
      </c>
      <c r="B22" s="46" t="n">
        <f aca="false">('Fund Economics'!B14/(1+'PME, DPI &amp; Sensitivity'!$B$6)^5)^(1/5)-1</f>
        <v>0.0170066984518038</v>
      </c>
      <c r="C22" s="46" t="n">
        <f aca="false">('Fund Economics'!C14/(1+'PME, DPI &amp; Sensitivity'!$B$6)^5)^(1/5)-1</f>
        <v>0.108796923061832</v>
      </c>
      <c r="D22" s="46" t="n">
        <f aca="false">('Fund Economics'!D14/(1+'PME, DPI &amp; Sensitivity'!$B$6)^5)^(1/5)-1</f>
        <v>-0.261330967469715</v>
      </c>
      <c r="E22" s="71" t="n">
        <f aca="false">('Fund Economics'!E14/(1+'PME, DPI &amp; Sensitivity'!$B$6)^5)^(1/5)-1</f>
        <v>0.11132367169775</v>
      </c>
      <c r="F22" s="71" t="n">
        <f aca="false">('Fund Economics'!F14/(1+'PME, DPI &amp; Sensitivity'!$B$6)^5)^(1/5)-1</f>
        <v>0.0364157679146964</v>
      </c>
    </row>
    <row r="23" customFormat="false" ht="15" hidden="false" customHeight="true" outlineLevel="0" collapsed="false">
      <c r="A23" s="55" t="s">
        <v>640</v>
      </c>
      <c r="B23" s="68" t="n">
        <f aca="false">('Fund Economics'!B6/Assumptions!$B$5)/(1+'PME, DPI &amp; Sensitivity'!$B$5)^5</f>
        <v>1.47100473238643</v>
      </c>
      <c r="C23" s="68" t="n">
        <f aca="false">('Fund Economics'!C6/Assumptions!$B$5)/(1+'PME, DPI &amp; Sensitivity'!$B$5)^5</f>
        <v>2.35109147603914</v>
      </c>
      <c r="D23" s="68" t="n">
        <f aca="false">('Fund Economics'!D6/Assumptions!$B$5)/(1+'PME, DPI &amp; Sensitivity'!$B$5)^5</f>
        <v>0.328328504926457</v>
      </c>
      <c r="E23" s="69" t="n">
        <f aca="false">('Fund Economics'!E6/Assumptions!$B$5)/(1+'PME, DPI &amp; Sensitivity'!$B$5)^5</f>
        <v>2.37980517808774</v>
      </c>
      <c r="F23" s="69" t="n">
        <f aca="false">('Fund Economics'!F6/Assumptions!$B$5)/(1+'PME, DPI &amp; Sensitivity'!$B$5)^5</f>
        <v>1.65594505103581</v>
      </c>
    </row>
    <row r="24" customFormat="false" ht="15" hidden="false" customHeight="true" outlineLevel="0" collapsed="false">
      <c r="A24" s="55" t="s">
        <v>641</v>
      </c>
      <c r="B24" s="68" t="n">
        <f aca="false">('Fund Economics'!B6/Assumptions!$B$5)/(1+'PME, DPI &amp; Sensitivity'!$B$6)^5</f>
        <v>1.22844111122592</v>
      </c>
      <c r="C24" s="68" t="n">
        <f aca="false">('Fund Economics'!C6/Assumptions!$B$5)/(1+'PME, DPI &amp; Sensitivity'!$B$6)^5</f>
        <v>1.96340457772273</v>
      </c>
      <c r="D24" s="68" t="n">
        <f aca="false">('Fund Economics'!D6/Assumptions!$B$5)/(1+'PME, DPI &amp; Sensitivity'!$B$6)^5</f>
        <v>0.274188263680615</v>
      </c>
      <c r="E24" s="69" t="n">
        <f aca="false">('Fund Economics'!E6/Assumptions!$B$5)/(1+'PME, DPI &amp; Sensitivity'!$B$6)^5</f>
        <v>1.98738348905823</v>
      </c>
      <c r="F24" s="69" t="n">
        <f aca="false">('Fund Economics'!F6/Assumptions!$B$5)/(1+'PME, DPI &amp; Sensitivity'!$B$6)^5</f>
        <v>1.38288540739317</v>
      </c>
    </row>
    <row r="25" customFormat="false" ht="15" hidden="false" customHeight="true" outlineLevel="0" collapsed="false">
      <c r="A25" s="1"/>
      <c r="B25" s="1"/>
      <c r="C25" s="1"/>
      <c r="D25" s="1"/>
      <c r="E25" s="1"/>
      <c r="F25" s="1"/>
    </row>
    <row r="26" customFormat="false" ht="15" hidden="false" customHeight="true" outlineLevel="0" collapsed="false">
      <c r="A26" s="1"/>
      <c r="B26" s="1"/>
      <c r="C26" s="1"/>
      <c r="D26" s="1"/>
      <c r="E26" s="1"/>
      <c r="F26" s="1"/>
    </row>
    <row r="27" customFormat="false" ht="15" hidden="false" customHeight="true" outlineLevel="0" collapsed="false">
      <c r="A27" s="60" t="s">
        <v>642</v>
      </c>
      <c r="B27" s="1"/>
      <c r="C27" s="1"/>
      <c r="D27" s="1"/>
      <c r="E27" s="1"/>
      <c r="F27" s="1"/>
    </row>
    <row r="28" customFormat="false" ht="15" hidden="false" customHeight="true" outlineLevel="0" collapsed="false">
      <c r="A28" s="43" t="s">
        <v>27</v>
      </c>
      <c r="B28" s="43" t="s">
        <v>36</v>
      </c>
      <c r="C28" s="43" t="s">
        <v>37</v>
      </c>
      <c r="D28" s="43" t="s">
        <v>38</v>
      </c>
      <c r="E28" s="53" t="s">
        <v>39</v>
      </c>
      <c r="F28" s="53" t="s">
        <v>40</v>
      </c>
    </row>
    <row r="29" customFormat="false" ht="15" hidden="false" customHeight="true" outlineLevel="0" collapsed="false">
      <c r="A29" s="44" t="s">
        <v>29</v>
      </c>
      <c r="B29" s="68" t="n">
        <f aca="false">'Fund Economics'!B30</f>
        <v>2.69278332248033</v>
      </c>
      <c r="C29" s="68" t="n">
        <f aca="false">'Fund Economics'!C30</f>
        <v>4.9931818028609</v>
      </c>
      <c r="D29" s="68" t="n">
        <f aca="false">'Fund Economics'!D30</f>
        <v>0.260134752774432</v>
      </c>
      <c r="E29" s="69" t="n">
        <f aca="false">'Fund Economics'!E30</f>
        <v>5.13859693163052</v>
      </c>
      <c r="F29" s="69" t="n">
        <f aca="false">'Fund Economics'!F30</f>
        <v>3.26985769849212</v>
      </c>
    </row>
    <row r="30" customFormat="false" ht="15" hidden="false" customHeight="true" outlineLevel="0" collapsed="false">
      <c r="A30" s="44" t="s">
        <v>632</v>
      </c>
      <c r="B30" s="68" t="n">
        <f aca="false">'Fund Economics'!B28/Assumptions!$B$5</f>
        <v>2.69278332248033</v>
      </c>
      <c r="C30" s="68" t="n">
        <f aca="false">'Fund Economics'!C28/Assumptions!$B$5</f>
        <v>4.9931818028609</v>
      </c>
      <c r="D30" s="68" t="n">
        <f aca="false">'Fund Economics'!D28/Assumptions!$B$5</f>
        <v>0.260134752774432</v>
      </c>
      <c r="E30" s="69" t="n">
        <f aca="false">'Fund Economics'!E28/Assumptions!$B$5</f>
        <v>5.13859693163052</v>
      </c>
      <c r="F30" s="69" t="n">
        <f aca="false">'Fund Economics'!F28/Assumptions!$B$5</f>
        <v>3.26985769849212</v>
      </c>
    </row>
    <row r="31" customFormat="false" ht="15" hidden="false" customHeight="true" outlineLevel="0" collapsed="false">
      <c r="A31" s="44" t="s">
        <v>633</v>
      </c>
      <c r="B31" s="68" t="n">
        <f aca="false">'Fund Economics'!B22/Assumptions!$B$5</f>
        <v>3.11252308590553</v>
      </c>
      <c r="C31" s="68" t="n">
        <f aca="false">'Fund Economics'!C22/Assumptions!$B$5</f>
        <v>5.98802118638125</v>
      </c>
      <c r="D31" s="68" t="n">
        <f aca="false">'Fund Economics'!D22/Assumptions!$B$5</f>
        <v>0.400134752774432</v>
      </c>
      <c r="E31" s="69" t="n">
        <f aca="false">'Fund Economics'!E22/Assumptions!$B$5</f>
        <v>6.16979009734327</v>
      </c>
      <c r="F31" s="69" t="n">
        <f aca="false">'Fund Economics'!F22/Assumptions!$B$5</f>
        <v>3.88312941277046</v>
      </c>
    </row>
    <row r="32" customFormat="false" ht="15" hidden="false" customHeight="true" outlineLevel="0" collapsed="false">
      <c r="A32" s="44" t="s">
        <v>28</v>
      </c>
      <c r="B32" s="46" t="n">
        <f aca="false">'Fund Economics'!B32</f>
        <v>0.152012904964638</v>
      </c>
      <c r="C32" s="46" t="n">
        <f aca="false">'Fund Economics'!C32</f>
        <v>0.258253644559407</v>
      </c>
      <c r="D32" s="46" t="n">
        <f aca="false">'Fund Economics'!D32</f>
        <v>-0.174994372749316</v>
      </c>
      <c r="E32" s="71" t="n">
        <f aca="false">'Fund Economics'!E32</f>
        <v>0.263424289157445</v>
      </c>
      <c r="F32" s="71" t="n">
        <f aca="false">'Fund Economics'!F32</f>
        <v>0.184415608120029</v>
      </c>
    </row>
    <row r="33" customFormat="false" ht="15" hidden="false" customHeight="true" outlineLevel="0" collapsed="false">
      <c r="A33" s="44" t="s">
        <v>634</v>
      </c>
      <c r="B33" s="68" t="n">
        <f aca="false">(1+'PME, DPI &amp; Sensitivity'!$B$5)^7</f>
        <v>1.82803912081669</v>
      </c>
      <c r="C33" s="68" t="n">
        <f aca="false">(1+'PME, DPI &amp; Sensitivity'!$B$5)^7</f>
        <v>1.82803912081669</v>
      </c>
      <c r="D33" s="68" t="n">
        <f aca="false">(1+'PME, DPI &amp; Sensitivity'!$B$5)^7</f>
        <v>1.82803912081669</v>
      </c>
      <c r="E33" s="69" t="n">
        <f aca="false">(1+'PME, DPI &amp; Sensitivity'!$B$5)^7</f>
        <v>1.82803912081669</v>
      </c>
      <c r="F33" s="69" t="n">
        <f aca="false">(1+'PME, DPI &amp; Sensitivity'!$B$5)^7</f>
        <v>1.82803912081669</v>
      </c>
    </row>
    <row r="34" customFormat="false" ht="15" hidden="false" customHeight="true" outlineLevel="0" collapsed="false">
      <c r="A34" s="65" t="s">
        <v>635</v>
      </c>
      <c r="B34" s="67" t="n">
        <f aca="false">'Fund Economics'!B30/(1+'PME, DPI &amp; Sensitivity'!$B$5)^7</f>
        <v>1.4730446913397</v>
      </c>
      <c r="C34" s="67" t="n">
        <f aca="false">'Fund Economics'!C30/(1+'PME, DPI &amp; Sensitivity'!$B$5)^7</f>
        <v>2.73144143689341</v>
      </c>
      <c r="D34" s="67" t="n">
        <f aca="false">'Fund Economics'!D30/(1+'PME, DPI &amp; Sensitivity'!$B$5)^7</f>
        <v>0.142302618041464</v>
      </c>
      <c r="E34" s="67" t="n">
        <f aca="false">'Fund Economics'!E30/(1+'PME, DPI &amp; Sensitivity'!$B$5)^7</f>
        <v>2.81098849204869</v>
      </c>
      <c r="F34" s="67" t="n">
        <f aca="false">'Fund Economics'!F30/(1+'PME, DPI &amp; Sensitivity'!$B$5)^7</f>
        <v>1.78872413683974</v>
      </c>
    </row>
    <row r="35" customFormat="false" ht="15" hidden="false" customHeight="true" outlineLevel="0" collapsed="false">
      <c r="A35" s="44" t="s">
        <v>636</v>
      </c>
      <c r="B35" s="46" t="n">
        <f aca="false">('Fund Economics'!B30/(1+'PME, DPI &amp; Sensitivity'!$B$5)^7)^(1/7)-1</f>
        <v>0.0568925733620529</v>
      </c>
      <c r="C35" s="46" t="n">
        <f aca="false">('Fund Economics'!C30/(1+'PME, DPI &amp; Sensitivity'!$B$5)^7)^(1/7)-1</f>
        <v>0.154361141797621</v>
      </c>
      <c r="D35" s="46" t="n">
        <f aca="false">('Fund Economics'!D30/(1+'PME, DPI &amp; Sensitivity'!$B$5)^7)^(1/7)-1</f>
        <v>-0.24311410343974</v>
      </c>
      <c r="E35" s="71" t="n">
        <f aca="false">('Fund Economics'!E30/(1+'PME, DPI &amp; Sensitivity'!$B$5)^7)^(1/7)-1</f>
        <v>0.159104852438023</v>
      </c>
      <c r="F35" s="71" t="n">
        <f aca="false">('Fund Economics'!F30/(1+'PME, DPI &amp; Sensitivity'!$B$5)^7)^(1/7)-1</f>
        <v>0.0866198239633294</v>
      </c>
    </row>
    <row r="36" customFormat="false" ht="15" hidden="false" customHeight="true" outlineLevel="0" collapsed="false">
      <c r="A36" s="44" t="s">
        <v>637</v>
      </c>
      <c r="B36" s="68" t="n">
        <f aca="false">(1+'PME, DPI &amp; Sensitivity'!$B$6)^7</f>
        <v>2.35260548044817</v>
      </c>
      <c r="C36" s="68" t="n">
        <f aca="false">(1+'PME, DPI &amp; Sensitivity'!$B$6)^7</f>
        <v>2.35260548044817</v>
      </c>
      <c r="D36" s="68" t="n">
        <f aca="false">(1+'PME, DPI &amp; Sensitivity'!$B$6)^7</f>
        <v>2.35260548044817</v>
      </c>
      <c r="E36" s="69" t="n">
        <f aca="false">(1+'PME, DPI &amp; Sensitivity'!$B$6)^7</f>
        <v>2.35260548044817</v>
      </c>
      <c r="F36" s="69" t="n">
        <f aca="false">(1+'PME, DPI &amp; Sensitivity'!$B$6)^7</f>
        <v>2.35260548044817</v>
      </c>
    </row>
    <row r="37" customFormat="false" ht="15" hidden="false" customHeight="true" outlineLevel="0" collapsed="false">
      <c r="A37" s="65" t="s">
        <v>638</v>
      </c>
      <c r="B37" s="67" t="n">
        <f aca="false">'Fund Economics'!B30/(1+'PME, DPI &amp; Sensitivity'!$B$6)^7</f>
        <v>1.14459621252236</v>
      </c>
      <c r="C37" s="67" t="n">
        <f aca="false">'Fund Economics'!C30/(1+'PME, DPI &amp; Sensitivity'!$B$6)^7</f>
        <v>2.12240507146558</v>
      </c>
      <c r="D37" s="67" t="n">
        <f aca="false">'Fund Economics'!D30/(1+'PME, DPI &amp; Sensitivity'!$B$6)^7</f>
        <v>0.110573045475043</v>
      </c>
      <c r="E37" s="67" t="n">
        <f aca="false">'Fund Economics'!E30/(1+'PME, DPI &amp; Sensitivity'!$B$6)^7</f>
        <v>2.18421531971082</v>
      </c>
      <c r="F37" s="67" t="n">
        <f aca="false">'Fund Economics'!F30/(1+'PME, DPI &amp; Sensitivity'!$B$6)^7</f>
        <v>1.38988781827934</v>
      </c>
    </row>
    <row r="38" customFormat="false" ht="15" hidden="false" customHeight="true" outlineLevel="0" collapsed="false">
      <c r="A38" s="44" t="s">
        <v>639</v>
      </c>
      <c r="B38" s="46" t="n">
        <f aca="false">('Fund Economics'!B30/(1+'PME, DPI &amp; Sensitivity'!$B$6)^7)^(1/7)-1</f>
        <v>0.019480446871361</v>
      </c>
      <c r="C38" s="46" t="n">
        <f aca="false">('Fund Economics'!C30/(1+'PME, DPI &amp; Sensitivity'!$B$6)^7)^(1/7)-1</f>
        <v>0.113498800495051</v>
      </c>
      <c r="D38" s="46" t="n">
        <f aca="false">('Fund Economics'!D30/(1+'PME, DPI &amp; Sensitivity'!$B$6)^7)^(1/7)-1</f>
        <v>-0.269906524556917</v>
      </c>
      <c r="E38" s="71" t="n">
        <f aca="false">('Fund Economics'!E30/(1+'PME, DPI &amp; Sensitivity'!$B$6)^7)^(1/7)-1</f>
        <v>0.11807459217473</v>
      </c>
      <c r="F38" s="71" t="n">
        <f aca="false">('Fund Economics'!F30/(1+'PME, DPI &amp; Sensitivity'!$B$6)^7)^(1/7)-1</f>
        <v>0.048155405415955</v>
      </c>
    </row>
    <row r="39" customFormat="false" ht="15" hidden="false" customHeight="true" outlineLevel="0" collapsed="false">
      <c r="A39" s="55" t="s">
        <v>640</v>
      </c>
      <c r="B39" s="68" t="n">
        <f aca="false">('Fund Economics'!B22/Assumptions!$B$5)/(1+'PME, DPI &amp; Sensitivity'!$B$5)^7</f>
        <v>1.70265671585572</v>
      </c>
      <c r="C39" s="68" t="n">
        <f aca="false">('Fund Economics'!C22/Assumptions!$B$5)/(1+'PME, DPI &amp; Sensitivity'!$B$5)^7</f>
        <v>3.27565264779785</v>
      </c>
      <c r="D39" s="68" t="n">
        <f aca="false">('Fund Economics'!D22/Assumptions!$B$5)/(1+'PME, DPI &amp; Sensitivity'!$B$5)^7</f>
        <v>0.218887412319529</v>
      </c>
      <c r="E39" s="69" t="n">
        <f aca="false">('Fund Economics'!E22/Assumptions!$B$5)/(1+'PME, DPI &amp; Sensitivity'!$B$5)^7</f>
        <v>3.37508646674195</v>
      </c>
      <c r="F39" s="69" t="n">
        <f aca="false">('Fund Economics'!F22/Assumptions!$B$5)/(1+'PME, DPI &amp; Sensitivity'!$B$5)^7</f>
        <v>2.12420476594376</v>
      </c>
    </row>
    <row r="40" customFormat="false" ht="15" hidden="false" customHeight="true" outlineLevel="0" collapsed="false">
      <c r="A40" s="55" t="s">
        <v>641</v>
      </c>
      <c r="B40" s="68" t="n">
        <f aca="false">('Fund Economics'!B22/Assumptions!$B$5)/(1+'PME, DPI &amp; Sensitivity'!$B$6)^7</f>
        <v>1.32301106656973</v>
      </c>
      <c r="C40" s="68" t="n">
        <f aca="false">('Fund Economics'!C22/Assumptions!$B$5)/(1+'PME, DPI &amp; Sensitivity'!$B$6)^7</f>
        <v>2.54527214024875</v>
      </c>
      <c r="D40" s="68" t="n">
        <f aca="false">('Fund Economics'!D22/Assumptions!$B$5)/(1+'PME, DPI &amp; Sensitivity'!$B$6)^7</f>
        <v>0.170081535599503</v>
      </c>
      <c r="E40" s="69" t="n">
        <f aca="false">('Fund Economics'!E22/Assumptions!$B$5)/(1+'PME, DPI &amp; Sensitivity'!$B$6)^7</f>
        <v>2.6225349505553</v>
      </c>
      <c r="F40" s="69" t="n">
        <f aca="false">('Fund Economics'!F22/Assumptions!$B$5)/(1+'PME, DPI &amp; Sensitivity'!$B$6)^7</f>
        <v>1.65056548794179</v>
      </c>
    </row>
    <row r="41" customFormat="false" ht="15" hidden="false" customHeight="true" outlineLevel="0" collapsed="false">
      <c r="A41" s="1"/>
      <c r="B41" s="1"/>
      <c r="C41" s="1"/>
      <c r="D41" s="1"/>
      <c r="E41" s="1"/>
      <c r="F41" s="1"/>
    </row>
    <row r="42" customFormat="false" ht="15" hidden="false" customHeight="true" outlineLevel="0" collapsed="false">
      <c r="A42" s="1"/>
      <c r="B42" s="1"/>
      <c r="C42" s="1"/>
      <c r="D42" s="1"/>
      <c r="E42" s="1"/>
      <c r="F42" s="1"/>
    </row>
    <row r="43" customFormat="false" ht="15" hidden="false" customHeight="true" outlineLevel="0" collapsed="false">
      <c r="A43" s="60" t="s">
        <v>643</v>
      </c>
      <c r="B43" s="1"/>
      <c r="C43" s="1"/>
      <c r="D43" s="1"/>
      <c r="E43" s="1"/>
      <c r="F43" s="1"/>
    </row>
    <row r="44" customFormat="false" ht="15" hidden="false" customHeight="true" outlineLevel="0" collapsed="false">
      <c r="A44" s="43" t="s">
        <v>27</v>
      </c>
      <c r="B44" s="43" t="s">
        <v>36</v>
      </c>
      <c r="C44" s="43" t="s">
        <v>37</v>
      </c>
      <c r="D44" s="43" t="s">
        <v>38</v>
      </c>
      <c r="E44" s="53" t="s">
        <v>39</v>
      </c>
      <c r="F44" s="53" t="s">
        <v>40</v>
      </c>
    </row>
    <row r="45" customFormat="false" ht="15" hidden="false" customHeight="true" outlineLevel="0" collapsed="false">
      <c r="A45" s="44" t="s">
        <v>29</v>
      </c>
      <c r="B45" s="68" t="n">
        <f aca="false">'Fund Economics'!B46</f>
        <v>4.26844399452942</v>
      </c>
      <c r="C45" s="68" t="n">
        <f aca="false">'Fund Economics'!C46</f>
        <v>10.464416004235</v>
      </c>
      <c r="D45" s="68" t="n">
        <f aca="false">'Fund Economics'!D46</f>
        <v>0.0958534157652151</v>
      </c>
      <c r="E45" s="69" t="n">
        <f aca="false">'Fund Economics'!E46</f>
        <v>11.1697096590366</v>
      </c>
      <c r="F45" s="69" t="n">
        <f aca="false">'Fund Economics'!F46</f>
        <v>6.22673825981728</v>
      </c>
    </row>
    <row r="46" customFormat="false" ht="15" hidden="false" customHeight="true" outlineLevel="0" collapsed="false">
      <c r="A46" s="44" t="s">
        <v>632</v>
      </c>
      <c r="B46" s="68" t="n">
        <f aca="false">'Fund Economics'!B44/Assumptions!$B$5</f>
        <v>4.26844399452942</v>
      </c>
      <c r="C46" s="68" t="n">
        <f aca="false">'Fund Economics'!C44/Assumptions!$B$5</f>
        <v>10.464416004235</v>
      </c>
      <c r="D46" s="68" t="n">
        <f aca="false">'Fund Economics'!D44/Assumptions!$B$5</f>
        <v>0.0958534157652151</v>
      </c>
      <c r="E46" s="69" t="n">
        <f aca="false">'Fund Economics'!E44/Assumptions!$B$5</f>
        <v>11.1697096590366</v>
      </c>
      <c r="F46" s="69" t="n">
        <f aca="false">'Fund Economics'!F44/Assumptions!$B$5</f>
        <v>6.22673825981728</v>
      </c>
    </row>
    <row r="47" customFormat="false" ht="15" hidden="false" customHeight="true" outlineLevel="0" collapsed="false">
      <c r="A47" s="44" t="s">
        <v>633</v>
      </c>
      <c r="B47" s="68" t="n">
        <f aca="false">'Fund Economics'!B38/Assumptions!$B$5</f>
        <v>5.04582374384358</v>
      </c>
      <c r="C47" s="68" t="n">
        <f aca="false">'Fund Economics'!C38/Assumptions!$B$5</f>
        <v>12.7907887559756</v>
      </c>
      <c r="D47" s="68" t="n">
        <f aca="false">'Fund Economics'!D38/Assumptions!$B$5</f>
        <v>0.295853415765215</v>
      </c>
      <c r="E47" s="69" t="n">
        <f aca="false">'Fund Economics'!E38/Assumptions!$B$5</f>
        <v>13.6724058244776</v>
      </c>
      <c r="F47" s="69" t="n">
        <f aca="false">'Fund Economics'!F38/Assumptions!$B$5</f>
        <v>7.56355675975994</v>
      </c>
    </row>
    <row r="48" customFormat="false" ht="15" hidden="false" customHeight="true" outlineLevel="0" collapsed="false">
      <c r="A48" s="44" t="s">
        <v>28</v>
      </c>
      <c r="B48" s="46" t="n">
        <f aca="false">'Fund Economics'!B48</f>
        <v>0.156184009873286</v>
      </c>
      <c r="C48" s="46" t="n">
        <f aca="false">'Fund Economics'!C48</f>
        <v>0.26465335248213</v>
      </c>
      <c r="D48" s="46" t="n">
        <f aca="false">'Fund Economics'!D48</f>
        <v>-0.209028638539147</v>
      </c>
      <c r="E48" s="71" t="n">
        <f aca="false">'Fund Economics'!E48</f>
        <v>0.272929022562435</v>
      </c>
      <c r="F48" s="71" t="n">
        <f aca="false">'Fund Economics'!F48</f>
        <v>0.200676639570199</v>
      </c>
    </row>
    <row r="49" customFormat="false" ht="15" hidden="false" customHeight="true" outlineLevel="0" collapsed="false">
      <c r="A49" s="44" t="s">
        <v>634</v>
      </c>
      <c r="B49" s="68" t="n">
        <f aca="false">(1+'PME, DPI &amp; Sensitivity'!$B$5)^10</f>
        <v>2.36736367459212</v>
      </c>
      <c r="C49" s="68" t="n">
        <f aca="false">(1+'PME, DPI &amp; Sensitivity'!$B$5)^10</f>
        <v>2.36736367459212</v>
      </c>
      <c r="D49" s="68" t="n">
        <f aca="false">(1+'PME, DPI &amp; Sensitivity'!$B$5)^10</f>
        <v>2.36736367459212</v>
      </c>
      <c r="E49" s="69" t="n">
        <f aca="false">(1+'PME, DPI &amp; Sensitivity'!$B$5)^10</f>
        <v>2.36736367459212</v>
      </c>
      <c r="F49" s="69" t="n">
        <f aca="false">(1+'PME, DPI &amp; Sensitivity'!$B$5)^10</f>
        <v>2.36736367459212</v>
      </c>
    </row>
    <row r="50" customFormat="false" ht="15" hidden="false" customHeight="true" outlineLevel="0" collapsed="false">
      <c r="A50" s="65" t="s">
        <v>635</v>
      </c>
      <c r="B50" s="67" t="n">
        <f aca="false">'Fund Economics'!B46/(1+'PME, DPI &amp; Sensitivity'!$B$5)^10</f>
        <v>1.80303687191823</v>
      </c>
      <c r="C50" s="67" t="n">
        <f aca="false">'Fund Economics'!C46/(1+'PME, DPI &amp; Sensitivity'!$B$5)^10</f>
        <v>4.42028240804109</v>
      </c>
      <c r="D50" s="67" t="n">
        <f aca="false">'Fund Economics'!D46/(1+'PME, DPI &amp; Sensitivity'!$B$5)^10</f>
        <v>0.0404895186970924</v>
      </c>
      <c r="E50" s="67" t="n">
        <f aca="false">'Fund Economics'!E46/(1+'PME, DPI &amp; Sensitivity'!$B$5)^10</f>
        <v>4.71820606986423</v>
      </c>
      <c r="F50" s="67" t="n">
        <f aca="false">'Fund Economics'!F46/(1+'PME, DPI &amp; Sensitivity'!$B$5)^10</f>
        <v>2.63024153265767</v>
      </c>
    </row>
    <row r="51" customFormat="false" ht="15" hidden="false" customHeight="true" outlineLevel="0" collapsed="false">
      <c r="A51" s="44" t="s">
        <v>636</v>
      </c>
      <c r="B51" s="46" t="n">
        <f aca="false">('Fund Economics'!B46/(1+'PME, DPI &amp; Sensitivity'!$B$5)^10)^(1/10)-1</f>
        <v>0.0607192751131067</v>
      </c>
      <c r="C51" s="46" t="n">
        <f aca="false">('Fund Economics'!C46/(1+'PME, DPI &amp; Sensitivity'!$B$5)^10)^(1/10)-1</f>
        <v>0.160232433469844</v>
      </c>
      <c r="D51" s="46" t="n">
        <f aca="false">('Fund Economics'!D46/(1+'PME, DPI &amp; Sensitivity'!$B$5)^10)^(1/10)-1</f>
        <v>-0.274338200494631</v>
      </c>
      <c r="E51" s="71" t="n">
        <f aca="false">('Fund Economics'!E46/(1+'PME, DPI &amp; Sensitivity'!$B$5)^10)^(1/10)-1</f>
        <v>0.167824791341684</v>
      </c>
      <c r="F51" s="71" t="n">
        <f aca="false">('Fund Economics'!F46/(1+'PME, DPI &amp; Sensitivity'!$B$5)^10)^(1/10)-1</f>
        <v>0.10153820144055</v>
      </c>
    </row>
    <row r="52" customFormat="false" ht="15" hidden="false" customHeight="true" outlineLevel="0" collapsed="false">
      <c r="A52" s="44" t="s">
        <v>637</v>
      </c>
      <c r="B52" s="68" t="n">
        <f aca="false">(1+'PME, DPI &amp; Sensitivity'!$B$6)^10</f>
        <v>3.39456738992222</v>
      </c>
      <c r="C52" s="68" t="n">
        <f aca="false">(1+'PME, DPI &amp; Sensitivity'!$B$6)^10</f>
        <v>3.39456738992222</v>
      </c>
      <c r="D52" s="68" t="n">
        <f aca="false">(1+'PME, DPI &amp; Sensitivity'!$B$6)^10</f>
        <v>3.39456738992222</v>
      </c>
      <c r="E52" s="69" t="n">
        <f aca="false">(1+'PME, DPI &amp; Sensitivity'!$B$6)^10</f>
        <v>3.39456738992222</v>
      </c>
      <c r="F52" s="69" t="n">
        <f aca="false">(1+'PME, DPI &amp; Sensitivity'!$B$6)^10</f>
        <v>3.39456738992222</v>
      </c>
    </row>
    <row r="53" customFormat="false" ht="15" hidden="false" customHeight="true" outlineLevel="0" collapsed="false">
      <c r="A53" s="65" t="s">
        <v>638</v>
      </c>
      <c r="B53" s="67" t="n">
        <f aca="false">'Fund Economics'!B46/(1+'PME, DPI &amp; Sensitivity'!$B$6)^10</f>
        <v>1.2574338654173</v>
      </c>
      <c r="C53" s="67" t="n">
        <f aca="false">'Fund Economics'!C46/(1+'PME, DPI &amp; Sensitivity'!$B$6)^10</f>
        <v>3.08269502479219</v>
      </c>
      <c r="D53" s="67" t="n">
        <f aca="false">'Fund Economics'!D46/(1+'PME, DPI &amp; Sensitivity'!$B$6)^10</f>
        <v>0.0282372994125214</v>
      </c>
      <c r="E53" s="67" t="n">
        <f aca="false">'Fund Economics'!E46/(1+'PME, DPI &amp; Sensitivity'!$B$6)^10</f>
        <v>3.29046631750403</v>
      </c>
      <c r="F53" s="67" t="n">
        <f aca="false">'Fund Economics'!F46/(1+'PME, DPI &amp; Sensitivity'!$B$6)^10</f>
        <v>1.83432453817332</v>
      </c>
    </row>
    <row r="54" customFormat="false" ht="15" hidden="false" customHeight="true" outlineLevel="0" collapsed="false">
      <c r="A54" s="44" t="s">
        <v>639</v>
      </c>
      <c r="B54" s="46" t="n">
        <f aca="false">('Fund Economics'!B46/(1+'PME, DPI &amp; Sensitivity'!$B$6)^10)^(1/10)-1</f>
        <v>0.023171690153351</v>
      </c>
      <c r="C54" s="46" t="n">
        <f aca="false">('Fund Economics'!C46/(1+'PME, DPI &amp; Sensitivity'!$B$6)^10)^(1/10)-1</f>
        <v>0.119162258833744</v>
      </c>
      <c r="D54" s="46" t="n">
        <f aca="false">('Fund Economics'!D46/(1+'PME, DPI &amp; Sensitivity'!$B$6)^10)^(1/10)-1</f>
        <v>-0.300025343839953</v>
      </c>
      <c r="E54" s="71" t="n">
        <f aca="false">('Fund Economics'!E46/(1+'PME, DPI &amp; Sensitivity'!$B$6)^10)^(1/10)-1</f>
        <v>0.126485860674721</v>
      </c>
      <c r="F54" s="71" t="n">
        <f aca="false">('Fund Economics'!F46/(1+'PME, DPI &amp; Sensitivity'!$B$6)^10)^(1/10)-1</f>
        <v>0.0625456987346897</v>
      </c>
    </row>
    <row r="55" customFormat="false" ht="15" hidden="false" customHeight="true" outlineLevel="0" collapsed="false">
      <c r="A55" s="55" t="s">
        <v>640</v>
      </c>
      <c r="B55" s="68" t="n">
        <f aca="false">('Fund Economics'!B38/Assumptions!$B$5)/(1+'PME, DPI &amp; Sensitivity'!$B$5)^10</f>
        <v>2.13141047909039</v>
      </c>
      <c r="C55" s="68" t="n">
        <f aca="false">('Fund Economics'!C38/Assumptions!$B$5)/(1+'PME, DPI &amp; Sensitivity'!$B$5)^10</f>
        <v>5.40296739924396</v>
      </c>
      <c r="D55" s="68" t="n">
        <f aca="false">('Fund Economics'!D38/Assumptions!$B$5)/(1+'PME, DPI &amp; Sensitivity'!$B$5)^10</f>
        <v>0.12497168007623</v>
      </c>
      <c r="E55" s="69" t="n">
        <f aca="false">('Fund Economics'!E38/Assumptions!$B$5)/(1+'PME, DPI &amp; Sensitivity'!$B$5)^10</f>
        <v>5.77537197652289</v>
      </c>
      <c r="F55" s="69" t="n">
        <f aca="false">('Fund Economics'!F38/Assumptions!$B$5)/(1+'PME, DPI &amp; Sensitivity'!$B$5)^10</f>
        <v>3.19492811389154</v>
      </c>
    </row>
    <row r="56" customFormat="false" ht="15" hidden="false" customHeight="true" outlineLevel="0" collapsed="false">
      <c r="A56" s="55" t="s">
        <v>641</v>
      </c>
      <c r="B56" s="68" t="n">
        <f aca="false">('Fund Economics'!B38/Assumptions!$B$5)/(1+'PME, DPI &amp; Sensitivity'!$B$6)^10</f>
        <v>1.48644088163446</v>
      </c>
      <c r="C56" s="68" t="n">
        <f aca="false">('Fund Economics'!C38/Assumptions!$B$5)/(1+'PME, DPI &amp; Sensitivity'!$B$6)^10</f>
        <v>3.76801733085307</v>
      </c>
      <c r="D56" s="68" t="n">
        <f aca="false">('Fund Economics'!D38/Assumptions!$B$5)/(1+'PME, DPI &amp; Sensitivity'!$B$6)^10</f>
        <v>0.0871549690377465</v>
      </c>
      <c r="E56" s="69" t="n">
        <f aca="false">('Fund Economics'!E38/Assumptions!$B$5)/(1+'PME, DPI &amp; Sensitivity'!$B$6)^10</f>
        <v>4.02773144674287</v>
      </c>
      <c r="F56" s="69" t="n">
        <f aca="false">('Fund Economics'!F38/Assumptions!$B$5)/(1+'PME, DPI &amp; Sensitivity'!$B$6)^10</f>
        <v>2.22813569181587</v>
      </c>
    </row>
    <row r="57" customFormat="false" ht="15" hidden="false" customHeight="true" outlineLevel="0" collapsed="false">
      <c r="A57" s="1"/>
      <c r="B57" s="1"/>
      <c r="C57" s="1"/>
      <c r="D57" s="1"/>
      <c r="E57" s="1"/>
      <c r="F57" s="1"/>
    </row>
    <row r="58" customFormat="false" ht="15" hidden="false" customHeight="true" outlineLevel="0" collapsed="false">
      <c r="A58" s="1"/>
      <c r="B58" s="1"/>
      <c r="C58" s="1"/>
      <c r="D58" s="1"/>
      <c r="E58" s="1"/>
      <c r="F58" s="1"/>
    </row>
    <row r="59" customFormat="false" ht="15" hidden="false" customHeight="true" outlineLevel="0" collapsed="false">
      <c r="A59" s="162" t="s">
        <v>644</v>
      </c>
      <c r="B59" s="1"/>
      <c r="C59" s="1"/>
      <c r="D59" s="1"/>
      <c r="E59" s="1"/>
      <c r="F59" s="1"/>
    </row>
    <row r="60" customFormat="false" ht="25.5" hidden="false" customHeight="true" outlineLevel="0" collapsed="false">
      <c r="A60" s="11" t="s">
        <v>645</v>
      </c>
      <c r="B60" s="11"/>
      <c r="C60" s="11"/>
      <c r="D60" s="11"/>
      <c r="E60" s="11"/>
      <c r="F60" s="11"/>
    </row>
    <row r="61" customFormat="false" ht="27.75" hidden="false" customHeight="true" outlineLevel="0" collapsed="false">
      <c r="A61" s="53" t="s">
        <v>646</v>
      </c>
      <c r="B61" s="43" t="s">
        <v>647</v>
      </c>
      <c r="C61" s="43" t="s">
        <v>648</v>
      </c>
      <c r="D61" s="43" t="s">
        <v>649</v>
      </c>
      <c r="E61" s="43" t="s">
        <v>650</v>
      </c>
      <c r="F61" s="54"/>
    </row>
    <row r="62" customFormat="false" ht="15" hidden="false" customHeight="true" outlineLevel="0" collapsed="false">
      <c r="A62" s="59" t="n">
        <v>0</v>
      </c>
      <c r="B62" s="46" t="n">
        <f aca="false">(((1-$A62)*('Defense Supercycle'!$B$17*'Fund Economics'!B12+'Defense Supercycle'!$B$18*'Fund Economics'!C12+'Defense Supercycle'!$B$19*'Fund Economics'!D12)/('Defense Supercycle'!$B$17+'Defense Supercycle'!$B$18+'Defense Supercycle'!$B$19)+$A62*'Fund Economics'!E12)/Assumptions!$B$5)^(1/5)-1</f>
        <v>0.15335889778712</v>
      </c>
      <c r="C62" s="46" t="n">
        <f aca="false">(((1-$A62)*('Defense Supercycle'!$B$17*'Fund Economics'!B28+'Defense Supercycle'!$B$18*'Fund Economics'!C28+'Defense Supercycle'!$B$19*'Fund Economics'!D28)/('Defense Supercycle'!$B$17+'Defense Supercycle'!$B$18+'Defense Supercycle'!$B$19)+$A62*'Fund Economics'!E28)/Assumptions!$B$5)^(1/7)-1</f>
        <v>0.166563687311263</v>
      </c>
      <c r="D62" s="46" t="n">
        <f aca="false">(((1-$A62)*('Defense Supercycle'!$B$17*'Fund Economics'!B44+'Defense Supercycle'!$B$18*'Fund Economics'!C44+'Defense Supercycle'!$B$19*'Fund Economics'!D44)/('Defense Supercycle'!$B$17+'Defense Supercycle'!$B$18+'Defense Supercycle'!$B$19)+$A62*'Fund Economics'!E44)/Assumptions!$B$5)^(1/10)-1</f>
        <v>0.182691512588688</v>
      </c>
      <c r="E62" s="75" t="s">
        <v>651</v>
      </c>
      <c r="F62" s="163"/>
    </row>
    <row r="63" customFormat="false" ht="15" hidden="false" customHeight="true" outlineLevel="0" collapsed="false">
      <c r="A63" s="59" t="n">
        <v>0.05</v>
      </c>
      <c r="B63" s="46" t="n">
        <f aca="false">(((1-$A63)*('Defense Supercycle'!$B$17*'Fund Economics'!B12+'Defense Supercycle'!$B$18*'Fund Economics'!C12+'Defense Supercycle'!$B$19*'Fund Economics'!D12)/('Defense Supercycle'!$B$17+'Defense Supercycle'!$B$18+'Defense Supercycle'!$B$19)+$A63*'Fund Economics'!E12)/Assumptions!$B$5)^(1/5)-1</f>
        <v>0.159411149462446</v>
      </c>
      <c r="C63" s="46" t="n">
        <f aca="false">(((1-$A63)*('Defense Supercycle'!$B$17*'Fund Economics'!B28+'Defense Supercycle'!$B$18*'Fund Economics'!C28+'Defense Supercycle'!$B$19*'Fund Economics'!D28)/('Defense Supercycle'!$B$17+'Defense Supercycle'!$B$18+'Defense Supercycle'!$B$19)+$A63*'Fund Economics'!E28)/Assumptions!$B$5)^(1/7)-1</f>
        <v>0.172696999283479</v>
      </c>
      <c r="D63" s="46" t="n">
        <f aca="false">(((1-$A63)*('Defense Supercycle'!$B$17*'Fund Economics'!B44+'Defense Supercycle'!$B$18*'Fund Economics'!C44+'Defense Supercycle'!$B$19*'Fund Economics'!D44)/('Defense Supercycle'!$B$17+'Defense Supercycle'!$B$18+'Defense Supercycle'!$B$19)+$A63*'Fund Economics'!E44)/Assumptions!$B$5)^(1/10)-1</f>
        <v>0.188962144373274</v>
      </c>
      <c r="E63" s="75" t="str">
        <f aca="false">IF(ABS($A63-'Defense Supercycle'!$B$20)&lt;0.0001,"current base case","")</f>
        <v/>
      </c>
      <c r="F63" s="163"/>
    </row>
    <row r="64" customFormat="false" ht="15" hidden="false" customHeight="true" outlineLevel="0" collapsed="false">
      <c r="A64" s="59" t="n">
        <v>0.1</v>
      </c>
      <c r="B64" s="46" t="n">
        <f aca="false">(((1-$A64)*('Defense Supercycle'!$B$17*'Fund Economics'!B12+'Defense Supercycle'!$B$18*'Fund Economics'!C12+'Defense Supercycle'!$B$19*'Fund Economics'!D12)/('Defense Supercycle'!$B$17+'Defense Supercycle'!$B$18+'Defense Supercycle'!$B$19)+$A64*'Fund Economics'!E12)/Assumptions!$B$5)^(1/5)-1</f>
        <v>0.165339604175802</v>
      </c>
      <c r="C64" s="46" t="n">
        <f aca="false">(((1-$A64)*('Defense Supercycle'!$B$17*'Fund Economics'!B28+'Defense Supercycle'!$B$18*'Fund Economics'!C28+'Defense Supercycle'!$B$19*'Fund Economics'!D28)/('Defense Supercycle'!$B$17+'Defense Supercycle'!$B$18+'Defense Supercycle'!$B$19)+$A64*'Fund Economics'!E28)/Assumptions!$B$5)^(1/7)-1</f>
        <v>0.178643678128928</v>
      </c>
      <c r="D64" s="46" t="n">
        <f aca="false">(((1-$A64)*('Defense Supercycle'!$B$17*'Fund Economics'!B44+'Defense Supercycle'!$B$18*'Fund Economics'!C44+'Defense Supercycle'!$B$19*'Fund Economics'!D44)/('Defense Supercycle'!$B$17+'Defense Supercycle'!$B$18+'Defense Supercycle'!$B$19)+$A64*'Fund Economics'!E44)/Assumptions!$B$5)^(1/10)-1</f>
        <v>0.19494855399671</v>
      </c>
      <c r="E64" s="75" t="str">
        <f aca="false">IF(ABS($A64-'Defense Supercycle'!$B$20)&lt;0.0001,"current base case","")</f>
        <v/>
      </c>
      <c r="F64" s="163"/>
    </row>
    <row r="65" customFormat="false" ht="15" hidden="false" customHeight="true" outlineLevel="0" collapsed="false">
      <c r="A65" s="164" t="n">
        <v>0.15</v>
      </c>
      <c r="B65" s="165" t="n">
        <f aca="false">(((1-$A65)*('Defense Supercycle'!$B$17*'Fund Economics'!B12+'Defense Supercycle'!$B$18*'Fund Economics'!C12+'Defense Supercycle'!$B$19*'Fund Economics'!D12)/('Defense Supercycle'!$B$17+'Defense Supercycle'!$B$18+'Defense Supercycle'!$B$19)+$A65*'Fund Economics'!E12)/Assumptions!$B$5)^(1/5)-1</f>
        <v>0.171149817743607</v>
      </c>
      <c r="C65" s="165" t="n">
        <f aca="false">(((1-$A65)*('Defense Supercycle'!$B$17*'Fund Economics'!B28+'Defense Supercycle'!$B$18*'Fund Economics'!C28+'Defense Supercycle'!$B$19*'Fund Economics'!D28)/('Defense Supercycle'!$B$17+'Defense Supercycle'!$B$18+'Defense Supercycle'!$B$19)+$A65*'Fund Economics'!E28)/Assumptions!$B$5)^(1/7)-1</f>
        <v>0.184415608120029</v>
      </c>
      <c r="D65" s="165" t="n">
        <f aca="false">(((1-$A65)*('Defense Supercycle'!$B$17*'Fund Economics'!B44+'Defense Supercycle'!$B$18*'Fund Economics'!C44+'Defense Supercycle'!$B$19*'Fund Economics'!D44)/('Defense Supercycle'!$B$17+'Defense Supercycle'!$B$18+'Defense Supercycle'!$B$19)+$A65*'Fund Economics'!E44)/Assumptions!$B$5)^(1/10)-1</f>
        <v>0.200676639570199</v>
      </c>
      <c r="E65" s="75" t="str">
        <f aca="false">IF(ABS($A65-'Defense Supercycle'!$B$20)&lt;0.0001,"current base case","")</f>
        <v>current base case</v>
      </c>
      <c r="F65" s="163"/>
    </row>
    <row r="66" customFormat="false" ht="15" hidden="false" customHeight="true" outlineLevel="0" collapsed="false">
      <c r="A66" s="59" t="n">
        <v>0.2</v>
      </c>
      <c r="B66" s="46" t="n">
        <f aca="false">(((1-$A66)*('Defense Supercycle'!$B$17*'Fund Economics'!B12+'Defense Supercycle'!$B$18*'Fund Economics'!C12+'Defense Supercycle'!$B$19*'Fund Economics'!D12)/('Defense Supercycle'!$B$17+'Defense Supercycle'!$B$18+'Defense Supercycle'!$B$19)+$A66*'Fund Economics'!E12)/Assumptions!$B$5)^(1/5)-1</f>
        <v>0.17684696753817</v>
      </c>
      <c r="C66" s="46" t="n">
        <f aca="false">(((1-$A66)*('Defense Supercycle'!$B$17*'Fund Economics'!B28+'Defense Supercycle'!$B$18*'Fund Economics'!C28+'Defense Supercycle'!$B$19*'Fund Economics'!D28)/('Defense Supercycle'!$B$17+'Defense Supercycle'!$B$18+'Defense Supercycle'!$B$19)+$A66*'Fund Economics'!E28)/Assumptions!$B$5)^(1/7)-1</f>
        <v>0.190023547765682</v>
      </c>
      <c r="D66" s="46" t="n">
        <f aca="false">(((1-$A66)*('Defense Supercycle'!$B$17*'Fund Economics'!B44+'Defense Supercycle'!$B$18*'Fund Economics'!C44+'Defense Supercycle'!$B$19*'Fund Economics'!D44)/('Defense Supercycle'!$B$17+'Defense Supercycle'!$B$18+'Defense Supercycle'!$B$19)+$A66*'Fund Economics'!E44)/Assumptions!$B$5)^(1/10)-1</f>
        <v>0.20616886155028</v>
      </c>
      <c r="E66" s="75" t="str">
        <f aca="false">IF(ABS($A66-'Defense Supercycle'!$B$20)&lt;0.0001,"current base case","")</f>
        <v/>
      </c>
      <c r="F66" s="163"/>
    </row>
    <row r="67" customFormat="false" ht="15" hidden="false" customHeight="true" outlineLevel="0" collapsed="false">
      <c r="A67" s="59" t="n">
        <v>0.25</v>
      </c>
      <c r="B67" s="46" t="n">
        <f aca="false">(((1-$A67)*('Defense Supercycle'!$B$17*'Fund Economics'!B12+'Defense Supercycle'!$B$18*'Fund Economics'!C12+'Defense Supercycle'!$B$19*'Fund Economics'!D12)/('Defense Supercycle'!$B$17+'Defense Supercycle'!$B$18+'Defense Supercycle'!$B$19)+$A67*'Fund Economics'!E12)/Assumptions!$B$5)^(1/5)-1</f>
        <v>0.182435886643679</v>
      </c>
      <c r="C67" s="46" t="n">
        <f aca="false">(((1-$A67)*('Defense Supercycle'!$B$17*'Fund Economics'!B28+'Defense Supercycle'!$B$18*'Fund Economics'!C28+'Defense Supercycle'!$B$19*'Fund Economics'!D28)/('Defense Supercycle'!$B$17+'Defense Supercycle'!$B$18+'Defense Supercycle'!$B$19)+$A67*'Fund Economics'!E28)/Assumptions!$B$5)^(1/7)-1</f>
        <v>0.195477269169543</v>
      </c>
      <c r="D67" s="46" t="n">
        <f aca="false">(((1-$A67)*('Defense Supercycle'!$B$17*'Fund Economics'!B44+'Defense Supercycle'!$B$18*'Fund Economics'!C44+'Defense Supercycle'!$B$19*'Fund Economics'!D44)/('Defense Supercycle'!$B$17+'Defense Supercycle'!$B$18+'Defense Supercycle'!$B$19)+$A67*'Fund Economics'!E44)/Assumptions!$B$5)^(1/10)-1</f>
        <v>0.211444829636337</v>
      </c>
      <c r="E67" s="75" t="str">
        <f aca="false">IF(ABS($A67-'Defense Supercycle'!$B$20)&lt;0.0001,"current base case","")</f>
        <v/>
      </c>
      <c r="F67" s="163"/>
    </row>
    <row r="68" customFormat="false" ht="15" hidden="false" customHeight="true" outlineLevel="0" collapsed="false">
      <c r="A68" s="59" t="n">
        <v>0.3</v>
      </c>
      <c r="B68" s="46" t="n">
        <f aca="false">(((1-$A68)*('Defense Supercycle'!$B$17*'Fund Economics'!B12+'Defense Supercycle'!$B$18*'Fund Economics'!C12+'Defense Supercycle'!$B$19*'Fund Economics'!D12)/('Defense Supercycle'!$B$17+'Defense Supercycle'!$B$18+'Defense Supercycle'!$B$19)+$A68*'Fund Economics'!E12)/Assumptions!$B$5)^(1/5)-1</f>
        <v>0.18792109420838</v>
      </c>
      <c r="C68" s="46" t="n">
        <f aca="false">(((1-$A68)*('Defense Supercycle'!$B$17*'Fund Economics'!B28+'Defense Supercycle'!$B$18*'Fund Economics'!C28+'Defense Supercycle'!$B$19*'Fund Economics'!D28)/('Defense Supercycle'!$B$17+'Defense Supercycle'!$B$18+'Defense Supercycle'!$B$19)+$A68*'Fund Economics'!E28)/Assumptions!$B$5)^(1/7)-1</f>
        <v>0.200785676338205</v>
      </c>
      <c r="D68" s="46" t="n">
        <f aca="false">(((1-$A68)*('Defense Supercycle'!$B$17*'Fund Economics'!B44+'Defense Supercycle'!$B$18*'Fund Economics'!C44+'Defense Supercycle'!$B$19*'Fund Economics'!D44)/('Defense Supercycle'!$B$17+'Defense Supercycle'!$B$18+'Defense Supercycle'!$B$19)+$A68*'Fund Economics'!E44)/Assumptions!$B$5)^(1/10)-1</f>
        <v>0.216521769037856</v>
      </c>
      <c r="E68" s="75" t="str">
        <f aca="false">IF(ABS($A68-'Defense Supercycle'!$B$20)&lt;0.0001,"current base case","")</f>
        <v/>
      </c>
      <c r="F68" s="163"/>
    </row>
    <row r="69" customFormat="false" ht="15" hidden="false" customHeight="true" outlineLevel="0" collapsed="false">
      <c r="A69" s="59" t="n">
        <v>0.4</v>
      </c>
      <c r="B69" s="46" t="n">
        <f aca="false">(((1-$A69)*('Defense Supercycle'!$B$17*'Fund Economics'!B12+'Defense Supercycle'!$B$18*'Fund Economics'!C12+'Defense Supercycle'!$B$19*'Fund Economics'!D12)/('Defense Supercycle'!$B$17+'Defense Supercycle'!$B$18+'Defense Supercycle'!$B$19)+$A69*'Fund Economics'!E12)/Assumptions!$B$5)^(1/5)-1</f>
        <v>0.198597041041913</v>
      </c>
      <c r="C69" s="46" t="n">
        <f aca="false">(((1-$A69)*('Defense Supercycle'!$B$17*'Fund Economics'!B28+'Defense Supercycle'!$B$18*'Fund Economics'!C28+'Defense Supercycle'!$B$19*'Fund Economics'!D28)/('Defense Supercycle'!$B$17+'Defense Supercycle'!$B$18+'Defense Supercycle'!$B$19)+$A69*'Fund Economics'!E28)/Assumptions!$B$5)^(1/7)-1</f>
        <v>0.210998415013975</v>
      </c>
      <c r="D69" s="46" t="n">
        <f aca="false">(((1-$A69)*('Defense Supercycle'!$B$17*'Fund Economics'!B44+'Defense Supercycle'!$B$18*'Fund Economics'!C44+'Defense Supercycle'!$B$19*'Fund Economics'!D44)/('Defense Supercycle'!$B$17+'Defense Supercycle'!$B$18+'Defense Supercycle'!$B$19)+$A69*'Fund Economics'!E44)/Assumptions!$B$5)^(1/10)-1</f>
        <v>0.226137714965968</v>
      </c>
      <c r="E69" s="75" t="str">
        <f aca="false">IF(ABS($A69-'Defense Supercycle'!$B$20)&lt;0.0001,"current base case","")</f>
        <v/>
      </c>
      <c r="F69" s="163"/>
    </row>
    <row r="72" customFormat="false" ht="15" hidden="false" customHeight="false" outlineLevel="0" collapsed="false">
      <c r="A72" s="166" t="s">
        <v>652</v>
      </c>
      <c r="B72" s="166"/>
      <c r="C72" s="166"/>
      <c r="D72" s="166"/>
      <c r="E72" s="166"/>
      <c r="F72" s="166"/>
    </row>
    <row r="73" customFormat="false" ht="15" hidden="false" customHeight="false" outlineLevel="0" collapsed="false">
      <c r="A73" s="167" t="s">
        <v>27</v>
      </c>
      <c r="B73" s="167" t="s">
        <v>653</v>
      </c>
      <c r="C73" s="167" t="s">
        <v>654</v>
      </c>
      <c r="D73" s="167" t="s">
        <v>655</v>
      </c>
    </row>
    <row r="74" customFormat="false" ht="15" hidden="false" customHeight="false" outlineLevel="0" collapsed="false">
      <c r="A74" s="168" t="s">
        <v>29</v>
      </c>
      <c r="B74" s="169" t="n">
        <f aca="false">'Holdco Summary'!F38</f>
        <v>2.2851127678349</v>
      </c>
      <c r="C74" s="169" t="n">
        <f aca="false">'Holdco Summary'!F59</f>
        <v>3.47289565262861</v>
      </c>
      <c r="D74" s="169" t="n">
        <f aca="false">'Holdco Summary'!F80</f>
        <v>6.97658087254771</v>
      </c>
    </row>
    <row r="75" customFormat="false" ht="15" hidden="false" customHeight="false" outlineLevel="0" collapsed="false">
      <c r="A75" s="168" t="s">
        <v>124</v>
      </c>
      <c r="B75" s="169" t="n">
        <f aca="false">'Holdco Summary'!F39</f>
        <v>2.2851127678349</v>
      </c>
      <c r="C75" s="169" t="n">
        <f aca="false">'Holdco Summary'!F60</f>
        <v>3.47289565262861</v>
      </c>
      <c r="D75" s="169" t="n">
        <f aca="false">'Holdco Summary'!F81</f>
        <v>6.97658087254771</v>
      </c>
    </row>
    <row r="76" customFormat="false" ht="15" hidden="false" customHeight="false" outlineLevel="0" collapsed="false">
      <c r="A76" s="168" t="s">
        <v>28</v>
      </c>
      <c r="B76" s="170" t="n">
        <f aca="false">'Holdco Summary'!F40</f>
        <v>0.179727022553126</v>
      </c>
      <c r="C76" s="170" t="n">
        <f aca="false">'Holdco Summary'!F61</f>
        <v>0.194652720360569</v>
      </c>
      <c r="D76" s="170" t="n">
        <f aca="false">'Holdco Summary'!F82</f>
        <v>0.214407003929896</v>
      </c>
    </row>
    <row r="77" customFormat="false" ht="15" hidden="false" customHeight="false" outlineLevel="0" collapsed="false">
      <c r="A77" s="171" t="s">
        <v>635</v>
      </c>
      <c r="B77" s="172" t="n">
        <f aca="false">'Holdco Summary'!F41</f>
        <v>1.48516650904698</v>
      </c>
      <c r="C77" s="172" t="n">
        <f aca="false">'Holdco Summary'!F62</f>
        <v>1.89979285075533</v>
      </c>
      <c r="D77" s="172" t="n">
        <f aca="false">'Holdco Summary'!F83</f>
        <v>2.94698315574591</v>
      </c>
    </row>
    <row r="78" customFormat="false" ht="15" hidden="false" customHeight="false" outlineLevel="0" collapsed="false">
      <c r="A78" s="171" t="s">
        <v>638</v>
      </c>
      <c r="B78" s="172" t="n">
        <f aca="false">'Holdco Summary'!F42</f>
        <v>1.24026765962159</v>
      </c>
      <c r="C78" s="172" t="n">
        <f aca="false">'Holdco Summary'!F63</f>
        <v>1.47619126176949</v>
      </c>
      <c r="D78" s="172" t="n">
        <f aca="false">'Holdco Summary'!F84</f>
        <v>2.05521943481215</v>
      </c>
    </row>
    <row r="79" customFormat="false" ht="15" hidden="false" customHeight="false" outlineLevel="0" collapsed="false">
      <c r="A79" s="171" t="s">
        <v>656</v>
      </c>
      <c r="B79" s="172" t="n">
        <f aca="false">'Holdco Summary'!F43</f>
        <v>1.13610490570059</v>
      </c>
      <c r="C79" s="172" t="n">
        <f aca="false">'Holdco Summary'!F64</f>
        <v>1.30559011161098</v>
      </c>
      <c r="D79" s="172" t="n">
        <f aca="false">'Holdco Summary'!F85</f>
        <v>1.72450409271614</v>
      </c>
    </row>
    <row r="80" customFormat="false" ht="15" hidden="false" customHeight="false" outlineLevel="0" collapsed="false">
      <c r="A80" s="168" t="s">
        <v>128</v>
      </c>
      <c r="B80" s="173" t="n">
        <f aca="false">'Holdco Summary'!F44</f>
        <v>0.0258495848288052</v>
      </c>
      <c r="C80" s="173" t="n">
        <f aca="false">'Holdco Summary'!F65</f>
        <v>0.0388284524874518</v>
      </c>
      <c r="D80" s="173" t="n">
        <f aca="false">'Holdco Summary'!F86</f>
        <v>0.0560060903738222</v>
      </c>
    </row>
    <row r="81" customFormat="false" ht="15" hidden="false" customHeight="false" outlineLevel="0" collapsed="false">
      <c r="A81" s="174" t="s">
        <v>636</v>
      </c>
      <c r="B81" s="175" t="n">
        <f aca="false">B77^(1/5)-1</f>
        <v>0.0823183693147944</v>
      </c>
      <c r="C81" s="175" t="n">
        <f aca="false">C77^(1/7)-1</f>
        <v>0.0960116700555682</v>
      </c>
      <c r="D81" s="175" t="n">
        <f aca="false">D77^(1/10)-1</f>
        <v>0.11413486599073</v>
      </c>
    </row>
    <row r="82" customFormat="false" ht="15" hidden="false" customHeight="false" outlineLevel="0" collapsed="false">
      <c r="A82" s="176" t="s">
        <v>657</v>
      </c>
    </row>
    <row r="84" customFormat="false" ht="15" hidden="false" customHeight="false" outlineLevel="0" collapsed="false">
      <c r="A84" s="177" t="s">
        <v>658</v>
      </c>
      <c r="B84" s="177"/>
      <c r="C84" s="177"/>
      <c r="D84" s="177"/>
      <c r="E84" s="177"/>
      <c r="F84" s="177"/>
    </row>
    <row r="85" customFormat="false" ht="15" hidden="false" customHeight="false" outlineLevel="0" collapsed="false">
      <c r="A85" s="176" t="s">
        <v>659</v>
      </c>
    </row>
    <row r="86" customFormat="false" ht="15" hidden="false" customHeight="false" outlineLevel="0" collapsed="false">
      <c r="A86" s="167" t="s">
        <v>646</v>
      </c>
      <c r="B86" s="167" t="s">
        <v>647</v>
      </c>
      <c r="C86" s="167" t="s">
        <v>648</v>
      </c>
      <c r="D86" s="167" t="s">
        <v>649</v>
      </c>
      <c r="E86" s="167" t="s">
        <v>650</v>
      </c>
    </row>
    <row r="87" customFormat="false" ht="15" hidden="false" customHeight="false" outlineLevel="0" collapsed="false">
      <c r="A87" s="178" t="n">
        <v>0</v>
      </c>
      <c r="B87" s="179" t="n">
        <f aca="false">(((1-$A87)*('Defense Supercycle'!$B$17*'Holdco Summary'!B37+'Defense Supercycle'!$B$18*'Holdco Summary'!C37+'Defense Supercycle'!$B$19*'Holdco Summary'!D37)/('Defense Supercycle'!$B$17+'Defense Supercycle'!$B$18+'Defense Supercycle'!$B$19)+$A87*'Holdco Summary'!E37)/'Holdco Summary'!$B$9)^(1/5)-1</f>
        <v>0.173174224896486</v>
      </c>
      <c r="C87" s="179" t="n">
        <f aca="false">(((1-$A87)*('Defense Supercycle'!$B$17*'Holdco Summary'!B58+'Defense Supercycle'!$B$18*'Holdco Summary'!C58+'Defense Supercycle'!$B$19*'Holdco Summary'!D58)/('Defense Supercycle'!$B$17+'Defense Supercycle'!$B$18+'Defense Supercycle'!$B$19)+$A87*'Holdco Summary'!E58)/'Holdco Summary'!$B$9)^(1/7)-1</f>
        <v>0.186754003689585</v>
      </c>
      <c r="D87" s="179" t="n">
        <f aca="false">(((1-$A87)*('Defense Supercycle'!$B$17*'Holdco Summary'!B79+'Defense Supercycle'!$B$18*'Holdco Summary'!C79+'Defense Supercycle'!$B$19*'Holdco Summary'!D79)/('Defense Supercycle'!$B$17+'Defense Supercycle'!$B$18+'Defense Supercycle'!$B$19)+$A87*'Holdco Summary'!E79)/'Holdco Summary'!$B$9)^(1/10)-1</f>
        <v>0.205206892364696</v>
      </c>
      <c r="E87" s="180" t="s">
        <v>651</v>
      </c>
    </row>
    <row r="88" customFormat="false" ht="15" hidden="false" customHeight="false" outlineLevel="0" collapsed="false">
      <c r="A88" s="178" t="n">
        <v>0.05</v>
      </c>
      <c r="B88" s="179" t="n">
        <f aca="false">(((1-$A88)*('Defense Supercycle'!$B$17*'Holdco Summary'!B37+'Defense Supercycle'!$B$18*'Holdco Summary'!C37+'Defense Supercycle'!$B$19*'Holdco Summary'!D37)/('Defense Supercycle'!$B$17+'Defense Supercycle'!$B$18+'Defense Supercycle'!$B$19)+$A88*'Holdco Summary'!E37)/'Holdco Summary'!$B$9)^(1/5)-1</f>
        <v>0.175374757397879</v>
      </c>
      <c r="C88" s="179" t="n">
        <f aca="false">(((1-$A88)*('Defense Supercycle'!$B$17*'Holdco Summary'!B58+'Defense Supercycle'!$B$18*'Holdco Summary'!C58+'Defense Supercycle'!$B$19*'Holdco Summary'!D58)/('Defense Supercycle'!$B$17+'Defense Supercycle'!$B$18+'Defense Supercycle'!$B$19)+$A88*'Holdco Summary'!E58)/'Holdco Summary'!$B$9)^(1/7)-1</f>
        <v>0.189422006262584</v>
      </c>
      <c r="D88" s="179" t="n">
        <f aca="false">(((1-$A88)*('Defense Supercycle'!$B$17*'Holdco Summary'!B79+'Defense Supercycle'!$B$18*'Holdco Summary'!C79+'Defense Supercycle'!$B$19*'Holdco Summary'!D79)/('Defense Supercycle'!$B$17+'Defense Supercycle'!$B$18+'Defense Supercycle'!$B$19)+$A88*'Holdco Summary'!E79)/'Holdco Summary'!$B$9)^(1/10)-1</f>
        <v>0.208344110235947</v>
      </c>
      <c r="E88" s="180" t="str">
        <f aca="false">IF(ABS($A88-'Defense Supercycle'!$B$20)&lt;0.0001,"current base case","")</f>
        <v/>
      </c>
    </row>
    <row r="89" customFormat="false" ht="15" hidden="false" customHeight="false" outlineLevel="0" collapsed="false">
      <c r="A89" s="178" t="n">
        <v>0.1</v>
      </c>
      <c r="B89" s="179" t="n">
        <f aca="false">(((1-$A89)*('Defense Supercycle'!$B$17*'Holdco Summary'!B37+'Defense Supercycle'!$B$18*'Holdco Summary'!C37+'Defense Supercycle'!$B$19*'Holdco Summary'!D37)/('Defense Supercycle'!$B$17+'Defense Supercycle'!$B$18+'Defense Supercycle'!$B$19)+$A89*'Holdco Summary'!E37)/'Holdco Summary'!$B$9)^(1/5)-1</f>
        <v>0.17755893293387</v>
      </c>
      <c r="C89" s="179" t="n">
        <f aca="false">(((1-$A89)*('Defense Supercycle'!$B$17*'Holdco Summary'!B58+'Defense Supercycle'!$B$18*'Holdco Summary'!C58+'Defense Supercycle'!$B$19*'Holdco Summary'!D58)/('Defense Supercycle'!$B$17+'Defense Supercycle'!$B$18+'Defense Supercycle'!$B$19)+$A89*'Holdco Summary'!E58)/'Holdco Summary'!$B$9)^(1/7)-1</f>
        <v>0.192054577162227</v>
      </c>
      <c r="D89" s="179" t="n">
        <f aca="false">(((1-$A89)*('Defense Supercycle'!$B$17*'Holdco Summary'!B79+'Defense Supercycle'!$B$18*'Holdco Summary'!C79+'Defense Supercycle'!$B$19*'Holdco Summary'!D79)/('Defense Supercycle'!$B$17+'Defense Supercycle'!$B$18+'Defense Supercycle'!$B$19)+$A89*'Holdco Summary'!E79)/'Holdco Summary'!$B$9)^(1/10)-1</f>
        <v>0.211409691402099</v>
      </c>
      <c r="E89" s="180" t="str">
        <f aca="false">IF(ABS($A89-'Defense Supercycle'!$B$20)&lt;0.0001,"current base case","")</f>
        <v/>
      </c>
    </row>
    <row r="90" customFormat="false" ht="15" hidden="false" customHeight="false" outlineLevel="0" collapsed="false">
      <c r="A90" s="178" t="n">
        <v>0.15</v>
      </c>
      <c r="B90" s="179" t="n">
        <f aca="false">(((1-$A90)*('Defense Supercycle'!$B$17*'Holdco Summary'!B37+'Defense Supercycle'!$B$18*'Holdco Summary'!C37+'Defense Supercycle'!$B$19*'Holdco Summary'!D37)/('Defense Supercycle'!$B$17+'Defense Supercycle'!$B$18+'Defense Supercycle'!$B$19)+$A90*'Holdco Summary'!E37)/'Holdco Summary'!$B$9)^(1/5)-1</f>
        <v>0.179727022553126</v>
      </c>
      <c r="C90" s="179" t="n">
        <f aca="false">(((1-$A90)*('Defense Supercycle'!$B$17*'Holdco Summary'!B58+'Defense Supercycle'!$B$18*'Holdco Summary'!C58+'Defense Supercycle'!$B$19*'Holdco Summary'!D58)/('Defense Supercycle'!$B$17+'Defense Supercycle'!$B$18+'Defense Supercycle'!$B$19)+$A90*'Holdco Summary'!E58)/'Holdco Summary'!$B$9)^(1/7)-1</f>
        <v>0.194652720360569</v>
      </c>
      <c r="D90" s="179" t="n">
        <f aca="false">(((1-$A90)*('Defense Supercycle'!$B$17*'Holdco Summary'!B79+'Defense Supercycle'!$B$18*'Holdco Summary'!C79+'Defense Supercycle'!$B$19*'Holdco Summary'!D79)/('Defense Supercycle'!$B$17+'Defense Supercycle'!$B$18+'Defense Supercycle'!$B$19)+$A90*'Holdco Summary'!E79)/'Holdco Summary'!$B$9)^(1/10)-1</f>
        <v>0.214407003929896</v>
      </c>
      <c r="E90" s="180" t="str">
        <f aca="false">IF(ABS($A90-'Defense Supercycle'!$B$20)&lt;0.0001,"current base case","")</f>
        <v>current base case</v>
      </c>
    </row>
    <row r="91" customFormat="false" ht="15" hidden="false" customHeight="false" outlineLevel="0" collapsed="false">
      <c r="A91" s="178" t="n">
        <v>0.2</v>
      </c>
      <c r="B91" s="179" t="n">
        <f aca="false">(((1-$A91)*('Defense Supercycle'!$B$17*'Holdco Summary'!B37+'Defense Supercycle'!$B$18*'Holdco Summary'!C37+'Defense Supercycle'!$B$19*'Holdco Summary'!D37)/('Defense Supercycle'!$B$17+'Defense Supercycle'!$B$18+'Defense Supercycle'!$B$19)+$A91*'Holdco Summary'!E37)/'Holdco Summary'!$B$9)^(1/5)-1</f>
        <v>0.181879290381203</v>
      </c>
      <c r="C91" s="179" t="n">
        <f aca="false">(((1-$A91)*('Defense Supercycle'!$B$17*'Holdco Summary'!B58+'Defense Supercycle'!$B$18*'Holdco Summary'!C58+'Defense Supercycle'!$B$19*'Holdco Summary'!D58)/('Defense Supercycle'!$B$17+'Defense Supercycle'!$B$18+'Defense Supercycle'!$B$19)+$A91*'Holdco Summary'!E58)/'Holdco Summary'!$B$9)^(1/7)-1</f>
        <v>0.197217396720327</v>
      </c>
      <c r="D91" s="179" t="n">
        <f aca="false">(((1-$A91)*('Defense Supercycle'!$B$17*'Holdco Summary'!B79+'Defense Supercycle'!$B$18*'Holdco Summary'!C79+'Defense Supercycle'!$B$19*'Holdco Summary'!D79)/('Defense Supercycle'!$B$17+'Defense Supercycle'!$B$18+'Defense Supercycle'!$B$19)+$A91*'Holdco Summary'!E79)/'Holdco Summary'!$B$9)^(1/10)-1</f>
        <v>0.217339180013493</v>
      </c>
      <c r="E91" s="180" t="str">
        <f aca="false">IF(ABS($A91-'Defense Supercycle'!$B$20)&lt;0.0001,"current base case","")</f>
        <v/>
      </c>
    </row>
    <row r="92" customFormat="false" ht="15" hidden="false" customHeight="false" outlineLevel="0" collapsed="false">
      <c r="A92" s="178" t="n">
        <v>0.25</v>
      </c>
      <c r="B92" s="179" t="n">
        <f aca="false">(((1-$A92)*('Defense Supercycle'!$B$17*'Holdco Summary'!B37+'Defense Supercycle'!$B$18*'Holdco Summary'!C37+'Defense Supercycle'!$B$19*'Holdco Summary'!D37)/('Defense Supercycle'!$B$17+'Defense Supercycle'!$B$18+'Defense Supercycle'!$B$19)+$A92*'Holdco Summary'!E37)/'Holdco Summary'!$B$9)^(1/5)-1</f>
        <v>0.184015993858367</v>
      </c>
      <c r="C92" s="179" t="n">
        <f aca="false">(((1-$A92)*('Defense Supercycle'!$B$17*'Holdco Summary'!B58+'Defense Supercycle'!$B$18*'Holdco Summary'!C58+'Defense Supercycle'!$B$19*'Holdco Summary'!D58)/('Defense Supercycle'!$B$17+'Defense Supercycle'!$B$18+'Defense Supercycle'!$B$19)+$A92*'Holdco Summary'!E58)/'Holdco Summary'!$B$9)^(1/7)-1</f>
        <v>0.199749526456868</v>
      </c>
      <c r="D92" s="179" t="n">
        <f aca="false">(((1-$A92)*('Defense Supercycle'!$B$17*'Holdco Summary'!B79+'Defense Supercycle'!$B$18*'Holdco Summary'!C79+'Defense Supercycle'!$B$19*'Holdco Summary'!D79)/('Defense Supercycle'!$B$17+'Defense Supercycle'!$B$18+'Defense Supercycle'!$B$19)+$A92*'Holdco Summary'!E79)/'Holdco Summary'!$B$9)^(1/10)-1</f>
        <v>0.220209137666471</v>
      </c>
      <c r="E92" s="180" t="str">
        <f aca="false">IF(ABS($A92-'Defense Supercycle'!$B$20)&lt;0.0001,"current base case","")</f>
        <v/>
      </c>
    </row>
    <row r="93" customFormat="false" ht="15" hidden="false" customHeight="false" outlineLevel="0" collapsed="false">
      <c r="A93" s="178" t="n">
        <v>0.3</v>
      </c>
      <c r="B93" s="179" t="n">
        <f aca="false">(((1-$A93)*('Defense Supercycle'!$B$17*'Holdco Summary'!B37+'Defense Supercycle'!$B$18*'Holdco Summary'!C37+'Defense Supercycle'!$B$19*'Holdco Summary'!D37)/('Defense Supercycle'!$B$17+'Defense Supercycle'!$B$18+'Defense Supercycle'!$B$19)+$A93*'Holdco Summary'!E37)/'Holdco Summary'!$B$9)^(1/5)-1</f>
        <v>0.186137383967178</v>
      </c>
      <c r="C93" s="179" t="n">
        <f aca="false">(((1-$A93)*('Defense Supercycle'!$B$17*'Holdco Summary'!B58+'Defense Supercycle'!$B$18*'Holdco Summary'!C58+'Defense Supercycle'!$B$19*'Holdco Summary'!D58)/('Defense Supercycle'!$B$17+'Defense Supercycle'!$B$18+'Defense Supercycle'!$B$19)+$A93*'Holdco Summary'!E58)/'Holdco Summary'!$B$9)^(1/7)-1</f>
        <v>0.202249991425713</v>
      </c>
      <c r="D93" s="179" t="n">
        <f aca="false">(((1-$A93)*('Defense Supercycle'!$B$17*'Holdco Summary'!B79+'Defense Supercycle'!$B$18*'Holdco Summary'!C79+'Defense Supercycle'!$B$19*'Holdco Summary'!D79)/('Defense Supercycle'!$B$17+'Defense Supercycle'!$B$18+'Defense Supercycle'!$B$19)+$A93*'Holdco Summary'!E79)/'Holdco Summary'!$B$9)^(1/10)-1</f>
        <v>0.223019599965047</v>
      </c>
      <c r="E93" s="180" t="str">
        <f aca="false">IF(ABS($A93-'Defense Supercycle'!$B$20)&lt;0.0001,"current base case","")</f>
        <v/>
      </c>
    </row>
    <row r="94" customFormat="false" ht="15" hidden="false" customHeight="false" outlineLevel="0" collapsed="false">
      <c r="A94" s="181" t="n">
        <v>0.4</v>
      </c>
      <c r="B94" s="182" t="n">
        <f aca="false">(((1-$A94)*('Defense Supercycle'!$B$17*'Holdco Summary'!B37+'Defense Supercycle'!$B$18*'Holdco Summary'!C37+'Defense Supercycle'!$B$19*'Holdco Summary'!D37)/('Defense Supercycle'!$B$17+'Defense Supercycle'!$B$18+'Defense Supercycle'!$B$19)+$A94*'Holdco Summary'!E37)/'Holdco Summary'!$B$9)^(1/5)-1</f>
        <v>0.190335197019601</v>
      </c>
      <c r="C94" s="182" t="n">
        <f aca="false">(((1-$A94)*('Defense Supercycle'!$B$17*'Holdco Summary'!B58+'Defense Supercycle'!$B$18*'Holdco Summary'!C58+'Defense Supercycle'!$B$19*'Holdco Summary'!D58)/('Defense Supercycle'!$B$17+'Defense Supercycle'!$B$18+'Defense Supercycle'!$B$19)+$A94*'Holdco Summary'!E58)/'Holdco Summary'!$B$9)^(1/7)-1</f>
        <v>0.207159275303053</v>
      </c>
      <c r="D94" s="182" t="n">
        <f aca="false">(((1-$A94)*('Defense Supercycle'!$B$17*'Holdco Summary'!B79+'Defense Supercycle'!$B$18*'Holdco Summary'!C79+'Defense Supercycle'!$B$19*'Holdco Summary'!D79)/('Defense Supercycle'!$B$17+'Defense Supercycle'!$B$18+'Defense Supercycle'!$B$19)+$A94*'Holdco Summary'!E79)/'Holdco Summary'!$B$9)^(1/10)-1</f>
        <v>0.228472056988375</v>
      </c>
      <c r="E94" s="183" t="str">
        <f aca="false">IF(ABS($A94-'Defense Supercycle'!$B$20)&lt;0.0001,"current base case","")</f>
        <v/>
      </c>
    </row>
    <row r="97" customFormat="false" ht="15" hidden="false" customHeight="false" outlineLevel="0" collapsed="false">
      <c r="A97" s="184" t="s">
        <v>660</v>
      </c>
      <c r="B97" s="184"/>
      <c r="C97" s="184"/>
      <c r="D97" s="184"/>
      <c r="E97" s="184"/>
      <c r="F97" s="184"/>
    </row>
    <row r="98" customFormat="false" ht="15" hidden="false" customHeight="false" outlineLevel="0" collapsed="false">
      <c r="A98" s="185" t="s">
        <v>661</v>
      </c>
    </row>
    <row r="99" customFormat="false" ht="15" hidden="false" customHeight="false" outlineLevel="0" collapsed="false">
      <c r="A99" s="186" t="s">
        <v>27</v>
      </c>
      <c r="B99" s="186" t="s">
        <v>653</v>
      </c>
      <c r="C99" s="186" t="s">
        <v>654</v>
      </c>
      <c r="D99" s="186" t="s">
        <v>655</v>
      </c>
    </row>
    <row r="100" customFormat="false" ht="15" hidden="false" customHeight="false" outlineLevel="0" collapsed="false">
      <c r="A100" s="0" t="s">
        <v>662</v>
      </c>
      <c r="B100" s="187" t="n">
        <v>5</v>
      </c>
      <c r="C100" s="187" t="n">
        <v>7</v>
      </c>
      <c r="D100" s="187" t="n">
        <v>10</v>
      </c>
    </row>
    <row r="101" customFormat="false" ht="15" hidden="false" customHeight="false" outlineLevel="0" collapsed="false">
      <c r="A101" s="0" t="s">
        <v>663</v>
      </c>
      <c r="B101" s="188" t="n">
        <f aca="false">'Holdco Summary'!$B$7</f>
        <v>390</v>
      </c>
      <c r="C101" s="188" t="n">
        <f aca="false">'Holdco Summary'!$B$7</f>
        <v>390</v>
      </c>
      <c r="D101" s="188" t="n">
        <f aca="false">'Holdco Summary'!$B$7</f>
        <v>390</v>
      </c>
    </row>
    <row r="102" customFormat="false" ht="15" hidden="false" customHeight="false" outlineLevel="0" collapsed="false">
      <c r="A102" s="0" t="s">
        <v>664</v>
      </c>
      <c r="B102" s="188" t="n">
        <f aca="false">'Holdco Summary'!F29</f>
        <v>1110.26687131566</v>
      </c>
      <c r="C102" s="188" t="n">
        <f aca="false">'Holdco Summary'!F50</f>
        <v>1773.39288814722</v>
      </c>
      <c r="D102" s="188" t="n">
        <f aca="false">'Holdco Summary'!F71</f>
        <v>3778.61762464484</v>
      </c>
    </row>
    <row r="103" customFormat="false" ht="15" hidden="false" customHeight="false" outlineLevel="0" collapsed="false">
      <c r="A103" s="0" t="s">
        <v>381</v>
      </c>
      <c r="B103" s="189" t="n">
        <f aca="false">B102/B101</f>
        <v>2.84683813157862</v>
      </c>
      <c r="C103" s="189" t="n">
        <f aca="false">C102/C101</f>
        <v>4.54716125165954</v>
      </c>
      <c r="D103" s="189" t="n">
        <f aca="false">D102/D101</f>
        <v>9.68876314011498</v>
      </c>
    </row>
    <row r="104" customFormat="false" ht="15" hidden="false" customHeight="false" outlineLevel="0" collapsed="false">
      <c r="A104" s="0" t="s">
        <v>383</v>
      </c>
      <c r="B104" s="190" t="n">
        <f aca="false">B103^(1/B$100)-1</f>
        <v>0.232743027655623</v>
      </c>
      <c r="C104" s="190" t="n">
        <f aca="false">C103^(1/C$100)-1</f>
        <v>0.241546265494162</v>
      </c>
      <c r="D104" s="190" t="n">
        <f aca="false">D103^(1/D$100)-1</f>
        <v>0.254951187598683</v>
      </c>
    </row>
    <row r="105" customFormat="false" ht="15" hidden="false" customHeight="false" outlineLevel="0" collapsed="false">
      <c r="A105" s="0" t="s">
        <v>665</v>
      </c>
      <c r="B105" s="191" t="n">
        <f aca="false">'Holdco Summary'!F37/'Holdco Summary'!F31</f>
        <v>0.866640436189444</v>
      </c>
      <c r="C105" s="191" t="n">
        <f aca="false">'Holdco Summary'!F58/'Holdco Summary'!F52</f>
        <v>0.842855927273608</v>
      </c>
      <c r="D105" s="191" t="n">
        <f aca="false">'Holdco Summary'!F79/'Holdco Summary'!F73</f>
        <v>0.822634926456576</v>
      </c>
    </row>
    <row r="106" customFormat="false" ht="15" hidden="false" customHeight="false" outlineLevel="0" collapsed="false">
      <c r="A106" s="0" t="s">
        <v>666</v>
      </c>
      <c r="B106" s="192" t="n">
        <f aca="false">B102*B105</f>
        <v>962.202165643694</v>
      </c>
      <c r="C106" s="192" t="n">
        <f aca="false">C102*C105</f>
        <v>1494.71470715975</v>
      </c>
      <c r="D106" s="192" t="n">
        <f aca="false">D102*D105</f>
        <v>3108.42283175723</v>
      </c>
    </row>
    <row r="107" customFormat="false" ht="15" hidden="false" customHeight="false" outlineLevel="0" collapsed="false">
      <c r="A107" s="0" t="s">
        <v>667</v>
      </c>
      <c r="B107" s="189" t="n">
        <f aca="false">B106/B101</f>
        <v>2.46718504011204</v>
      </c>
      <c r="C107" s="189" t="n">
        <f aca="false">C106/C101</f>
        <v>3.83260181323012</v>
      </c>
      <c r="D107" s="189" t="n">
        <f aca="false">D106/D101</f>
        <v>7.97031495322367</v>
      </c>
    </row>
    <row r="108" customFormat="false" ht="15" hidden="false" customHeight="false" outlineLevel="0" collapsed="false">
      <c r="A108" s="0" t="s">
        <v>28</v>
      </c>
      <c r="B108" s="190" t="n">
        <f aca="false">B107^(1/B$100)-1</f>
        <v>0.197954558899382</v>
      </c>
      <c r="C108" s="190" t="n">
        <f aca="false">C107^(1/C$100)-1</f>
        <v>0.211591570056223</v>
      </c>
      <c r="D108" s="190" t="n">
        <f aca="false">D107^(1/D$100)-1</f>
        <v>0.230686816492574</v>
      </c>
    </row>
    <row r="109" customFormat="false" ht="15" hidden="false" customHeight="false" outlineLevel="0" collapsed="false">
      <c r="A109" s="193" t="s">
        <v>635</v>
      </c>
      <c r="B109" s="194" t="n">
        <f aca="false">B107/(1+'Holdco Summary'!$B$21)^B$100</f>
        <v>1.60350099337455</v>
      </c>
      <c r="C109" s="194" t="n">
        <f aca="false">C107/(1+'Holdco Summary'!$B$21)^C$100</f>
        <v>2.09656443868547</v>
      </c>
      <c r="D109" s="194" t="n">
        <f aca="false">D107/(1+'Holdco Summary'!$B$21)^D$100</f>
        <v>3.36674717060399</v>
      </c>
    </row>
    <row r="110" customFormat="false" ht="15" hidden="false" customHeight="false" outlineLevel="0" collapsed="false">
      <c r="A110" s="193" t="s">
        <v>638</v>
      </c>
      <c r="B110" s="194" t="n">
        <f aca="false">B107/(1+'Holdco Summary'!$B$22)^B$100</f>
        <v>1.33908919447001</v>
      </c>
      <c r="C110" s="194" t="n">
        <f aca="false">C107/(1+'Holdco Summary'!$B$22)^C$100</f>
        <v>1.62908819395423</v>
      </c>
      <c r="D110" s="194" t="n">
        <f aca="false">D107/(1+'Holdco Summary'!$B$22)^D$100</f>
        <v>2.34796191611512</v>
      </c>
    </row>
    <row r="111" customFormat="false" ht="15" hidden="false" customHeight="false" outlineLevel="0" collapsed="false">
      <c r="A111" s="193" t="s">
        <v>656</v>
      </c>
      <c r="B111" s="194" t="n">
        <f aca="false">B107/(1+'Holdco Summary'!$B$23)^B$100</f>
        <v>1.22662700361968</v>
      </c>
      <c r="C111" s="194" t="n">
        <f aca="false">C107/(1+'Holdco Summary'!$B$23)^C$100</f>
        <v>1.44081698086961</v>
      </c>
      <c r="D111" s="194" t="n">
        <f aca="false">D107/(1+'Holdco Summary'!$B$23)^D$100</f>
        <v>1.97013995941131</v>
      </c>
    </row>
    <row r="112" customFormat="false" ht="15" hidden="false" customHeight="false" outlineLevel="0" collapsed="false">
      <c r="A112" s="0" t="s">
        <v>128</v>
      </c>
      <c r="B112" s="195" t="n">
        <f aca="false">B111^(1/B$100)-1</f>
        <v>0.0416996164342449</v>
      </c>
      <c r="C112" s="195" t="n">
        <f aca="false">C111^(1/C$100)-1</f>
        <v>0.0535578870054112</v>
      </c>
      <c r="D112" s="195" t="n">
        <f aca="false">D111^(1/D$100)-1</f>
        <v>0.0701624491239776</v>
      </c>
    </row>
    <row r="113" customFormat="false" ht="15" hidden="false" customHeight="false" outlineLevel="0" collapsed="false">
      <c r="A113" s="0" t="s">
        <v>636</v>
      </c>
      <c r="B113" s="195" t="n">
        <f aca="false">B109^(1/B$100)-1</f>
        <v>0.0990408797242033</v>
      </c>
      <c r="C113" s="195" t="n">
        <f aca="false">C109^(1/C$100)-1</f>
        <v>0.111551899134149</v>
      </c>
      <c r="D113" s="195" t="n">
        <f aca="false">D109^(1/D$100)-1</f>
        <v>0.129070473846398</v>
      </c>
    </row>
    <row r="115" customFormat="false" ht="15" hidden="false" customHeight="false" outlineLevel="0" collapsed="false">
      <c r="A115" s="184" t="s">
        <v>668</v>
      </c>
      <c r="B115" s="184"/>
      <c r="C115" s="184"/>
      <c r="D115" s="184"/>
      <c r="E115" s="184"/>
      <c r="F115" s="184"/>
    </row>
    <row r="116" customFormat="false" ht="15" hidden="false" customHeight="false" outlineLevel="0" collapsed="false">
      <c r="A116" s="186" t="s">
        <v>27</v>
      </c>
      <c r="B116" s="186" t="s">
        <v>36</v>
      </c>
      <c r="C116" s="186" t="s">
        <v>37</v>
      </c>
      <c r="D116" s="186" t="s">
        <v>38</v>
      </c>
      <c r="E116" s="196" t="s">
        <v>39</v>
      </c>
      <c r="F116" s="196" t="s">
        <v>40</v>
      </c>
    </row>
    <row r="117" customFormat="false" ht="15" hidden="false" customHeight="false" outlineLevel="0" collapsed="false">
      <c r="A117" s="0" t="s">
        <v>669</v>
      </c>
      <c r="B117" s="197" t="n">
        <f aca="false">'Defense Supercycle'!B17</f>
        <v>0.45</v>
      </c>
      <c r="C117" s="197" t="n">
        <f aca="false">'Defense Supercycle'!B18</f>
        <v>0.25</v>
      </c>
      <c r="D117" s="197" t="n">
        <f aca="false">'Defense Supercycle'!B19</f>
        <v>0.15</v>
      </c>
      <c r="E117" s="198" t="n">
        <f aca="false">'Defense Supercycle'!B20</f>
        <v>0.15</v>
      </c>
      <c r="F117" s="199" t="n">
        <f aca="false">SUM(B117:E117)</f>
        <v>1</v>
      </c>
    </row>
    <row r="118" customFormat="false" ht="15" hidden="false" customHeight="false" outlineLevel="0" collapsed="false">
      <c r="A118" s="0" t="s">
        <v>670</v>
      </c>
      <c r="B118" s="188" t="n">
        <f aca="false">'Weapons Sleeve'!C51</f>
        <v>1337.95191295883</v>
      </c>
      <c r="C118" s="188" t="n">
        <f aca="false">'Weapons Sleeve'!F51</f>
        <v>2755.74233174324</v>
      </c>
      <c r="D118" s="188" t="n">
        <f aca="false">'Weapons Sleeve'!I51</f>
        <v>457.254041178369</v>
      </c>
      <c r="E118" s="200" t="n">
        <f aca="false">'Weapons Sleeve'!L51</f>
        <v>2758.60558802122</v>
      </c>
      <c r="F118" s="201" t="n">
        <f aca="false">SUMPRODUCT(B117:E117,B118:E118)</f>
        <v>1773.39288814722</v>
      </c>
    </row>
    <row r="119" customFormat="false" ht="15" hidden="false" customHeight="false" outlineLevel="0" collapsed="false">
      <c r="A119" s="0" t="s">
        <v>381</v>
      </c>
      <c r="B119" s="202" t="n">
        <f aca="false">'Weapons Sleeve'!D51</f>
        <v>3.43064593066365</v>
      </c>
      <c r="C119" s="202" t="n">
        <f aca="false">'Weapons Sleeve'!G51</f>
        <v>7.06600597882881</v>
      </c>
      <c r="D119" s="202" t="n">
        <f aca="false">'Weapons Sleeve'!J51</f>
        <v>1.17244625943172</v>
      </c>
      <c r="E119" s="203" t="n">
        <f aca="false">'Weapons Sleeve'!M51</f>
        <v>7.07334766159288</v>
      </c>
      <c r="F119" s="204" t="n">
        <f aca="false">F118/'Weapons Sleeve'!B51</f>
        <v>4.54716125165954</v>
      </c>
    </row>
    <row r="120" customFormat="false" ht="15" hidden="false" customHeight="false" outlineLevel="0" collapsed="false">
      <c r="A120" s="0" t="s">
        <v>383</v>
      </c>
      <c r="B120" s="197" t="n">
        <f aca="false">'Weapons Sleeve'!E51</f>
        <v>0.192565581630973</v>
      </c>
      <c r="C120" s="197" t="n">
        <f aca="false">'Weapons Sleeve'!H51</f>
        <v>0.322240853523934</v>
      </c>
      <c r="D120" s="197" t="n">
        <f aca="false">'Weapons Sleeve'!K51</f>
        <v>0.0229877207603559</v>
      </c>
      <c r="E120" s="198" t="n">
        <f aca="false">'Weapons Sleeve'!N51</f>
        <v>0.322437027249076</v>
      </c>
      <c r="F120" s="199" t="n">
        <f aca="false">F119^(1/$C$100)-1</f>
        <v>0.241546265494162</v>
      </c>
    </row>
    <row r="121" customFormat="false" ht="15" hidden="false" customHeight="false" outlineLevel="0" collapsed="false">
      <c r="A121" s="193" t="s">
        <v>671</v>
      </c>
      <c r="B121" s="194" t="n">
        <f aca="false">B119/(1+'Holdco Summary'!$B$23)^$C$100</f>
        <v>1.2897068761979</v>
      </c>
      <c r="C121" s="194" t="n">
        <f aca="false">C119/(1+'Holdco Summary'!$B$23)^$C$100</f>
        <v>2.65637337175978</v>
      </c>
      <c r="D121" s="194" t="n">
        <f aca="false">D119/(1+'Holdco Summary'!$B$23)^$C$100</f>
        <v>0.440765976239662</v>
      </c>
      <c r="E121" s="194" t="n">
        <f aca="false">E119/(1+'Holdco Summary'!$B$23)^$C$100</f>
        <v>2.65913338224616</v>
      </c>
      <c r="F121" s="194" t="n">
        <f aca="false">F119/(1+'Holdco Summary'!$B$23)^$C$100</f>
        <v>1.70944634100187</v>
      </c>
    </row>
  </sheetData>
  <mergeCells count="2">
    <mergeCell ref="A9:F9"/>
    <mergeCell ref="A60:F60"/>
  </mergeCells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4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6" min="5" style="0" width="13"/>
    <col collapsed="false" customWidth="true" hidden="false" outlineLevel="0" max="7" min="7" style="0" width="2"/>
  </cols>
  <sheetData>
    <row r="1" customFormat="false" ht="18" hidden="false" customHeight="true" outlineLevel="0" collapsed="false">
      <c r="A1" s="10" t="s">
        <v>672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41" t="s">
        <v>673</v>
      </c>
      <c r="B2" s="1"/>
      <c r="C2" s="1"/>
      <c r="D2" s="1"/>
      <c r="E2" s="1"/>
      <c r="F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</row>
    <row r="4" customFormat="false" ht="15" hidden="false" customHeight="true" outlineLevel="0" collapsed="false">
      <c r="A4" s="60" t="s">
        <v>674</v>
      </c>
      <c r="B4" s="1"/>
      <c r="C4" s="1"/>
      <c r="D4" s="1"/>
      <c r="E4" s="1"/>
      <c r="F4" s="1"/>
    </row>
    <row r="5" customFormat="false" ht="15" hidden="false" customHeight="true" outlineLevel="0" collapsed="false">
      <c r="A5" s="43" t="s">
        <v>35</v>
      </c>
      <c r="B5" s="43" t="s">
        <v>36</v>
      </c>
      <c r="C5" s="43" t="s">
        <v>37</v>
      </c>
      <c r="D5" s="43" t="s">
        <v>38</v>
      </c>
      <c r="E5" s="53" t="s">
        <v>39</v>
      </c>
      <c r="F5" s="61" t="s">
        <v>40</v>
      </c>
    </row>
    <row r="6" customFormat="false" ht="15" hidden="false" customHeight="true" outlineLevel="0" collapsed="false">
      <c r="A6" s="205" t="s">
        <v>41</v>
      </c>
      <c r="B6" s="58" t="n">
        <f aca="false">'Fund Economics'!B16</f>
        <v>0.149217569250538</v>
      </c>
      <c r="C6" s="58" t="n">
        <f aca="false">'Fund Economics'!C16</f>
        <v>0.25294052305987</v>
      </c>
      <c r="D6" s="58" t="n">
        <f aca="false">'Fund Economics'!D16</f>
        <v>-0.165303993240778</v>
      </c>
      <c r="E6" s="106" t="n">
        <f aca="false">'Fund Economics'!E16</f>
        <v>0.255795749018457</v>
      </c>
      <c r="F6" s="206" t="n">
        <f aca="false">'Fund Economics'!F16</f>
        <v>0.171149817743607</v>
      </c>
    </row>
    <row r="7" customFormat="false" ht="15" hidden="false" customHeight="true" outlineLevel="0" collapsed="false">
      <c r="A7" s="205" t="s">
        <v>42</v>
      </c>
      <c r="B7" s="58" t="n">
        <f aca="false">'Fund Economics'!B32</f>
        <v>0.152012904964638</v>
      </c>
      <c r="C7" s="58" t="n">
        <f aca="false">'Fund Economics'!C32</f>
        <v>0.258253644559407</v>
      </c>
      <c r="D7" s="58" t="n">
        <f aca="false">'Fund Economics'!D32</f>
        <v>-0.174994372749316</v>
      </c>
      <c r="E7" s="106" t="n">
        <f aca="false">'Fund Economics'!E32</f>
        <v>0.263424289157445</v>
      </c>
      <c r="F7" s="206" t="n">
        <f aca="false">'Fund Economics'!F32</f>
        <v>0.184415608120029</v>
      </c>
    </row>
    <row r="8" customFormat="false" ht="15" hidden="false" customHeight="true" outlineLevel="0" collapsed="false">
      <c r="A8" s="205" t="s">
        <v>43</v>
      </c>
      <c r="B8" s="58" t="n">
        <f aca="false">'Fund Economics'!B48</f>
        <v>0.156184009873286</v>
      </c>
      <c r="C8" s="58" t="n">
        <f aca="false">'Fund Economics'!C48</f>
        <v>0.26465335248213</v>
      </c>
      <c r="D8" s="58" t="n">
        <f aca="false">'Fund Economics'!D48</f>
        <v>-0.209028638539147</v>
      </c>
      <c r="E8" s="106" t="n">
        <f aca="false">'Fund Economics'!E48</f>
        <v>0.272929022562435</v>
      </c>
      <c r="F8" s="206" t="n">
        <f aca="false">'Fund Economics'!F48</f>
        <v>0.200676639570199</v>
      </c>
    </row>
    <row r="9" customFormat="false" ht="15" hidden="false" customHeight="true" outlineLevel="0" collapsed="false">
      <c r="A9" s="1"/>
      <c r="B9" s="1"/>
      <c r="C9" s="1"/>
      <c r="D9" s="1"/>
      <c r="E9" s="1"/>
      <c r="F9" s="1"/>
    </row>
    <row r="10" customFormat="false" ht="15" hidden="false" customHeight="true" outlineLevel="0" collapsed="false">
      <c r="A10" s="1"/>
      <c r="B10" s="1"/>
      <c r="C10" s="1"/>
      <c r="D10" s="1"/>
      <c r="E10" s="1"/>
      <c r="F10" s="1"/>
    </row>
    <row r="11" customFormat="false" ht="15" hidden="false" customHeight="true" outlineLevel="0" collapsed="false">
      <c r="A11" s="60" t="s">
        <v>675</v>
      </c>
      <c r="B11" s="1"/>
      <c r="C11" s="1"/>
      <c r="D11" s="1"/>
      <c r="E11" s="1"/>
      <c r="F11" s="1"/>
    </row>
    <row r="12" customFormat="false" ht="15" hidden="false" customHeight="true" outlineLevel="0" collapsed="false">
      <c r="A12" s="43" t="s">
        <v>35</v>
      </c>
      <c r="B12" s="43" t="s">
        <v>36</v>
      </c>
      <c r="C12" s="43" t="s">
        <v>37</v>
      </c>
      <c r="D12" s="43" t="s">
        <v>38</v>
      </c>
      <c r="E12" s="53" t="s">
        <v>39</v>
      </c>
      <c r="F12" s="61" t="s">
        <v>40</v>
      </c>
    </row>
    <row r="13" customFormat="false" ht="15" hidden="false" customHeight="true" outlineLevel="0" collapsed="false">
      <c r="A13" s="205" t="s">
        <v>41</v>
      </c>
      <c r="B13" s="207" t="n">
        <f aca="false">'Fund Economics'!B14</f>
        <v>2.00452411057682</v>
      </c>
      <c r="C13" s="207" t="n">
        <f aca="false">'Fund Economics'!C14</f>
        <v>3.08782214751602</v>
      </c>
      <c r="D13" s="207" t="n">
        <f aca="false">'Fund Economics'!D14</f>
        <v>0.40517410275635</v>
      </c>
      <c r="E13" s="208" t="n">
        <f aca="false">'Fund Economics'!E14</f>
        <v>3.12316581936069</v>
      </c>
      <c r="F13" s="208" t="n">
        <f aca="false">'Fund Economics'!F14</f>
        <v>2.20324237495613</v>
      </c>
    </row>
    <row r="14" customFormat="false" ht="15" hidden="false" customHeight="true" outlineLevel="0" collapsed="false">
      <c r="A14" s="205" t="s">
        <v>42</v>
      </c>
      <c r="B14" s="207" t="n">
        <f aca="false">'Fund Economics'!B30</f>
        <v>2.69278332248033</v>
      </c>
      <c r="C14" s="207" t="n">
        <f aca="false">'Fund Economics'!C30</f>
        <v>4.9931818028609</v>
      </c>
      <c r="D14" s="207" t="n">
        <f aca="false">'Fund Economics'!D30</f>
        <v>0.260134752774432</v>
      </c>
      <c r="E14" s="208" t="n">
        <f aca="false">'Fund Economics'!E30</f>
        <v>5.13859693163052</v>
      </c>
      <c r="F14" s="208" t="n">
        <f aca="false">'Fund Economics'!F30</f>
        <v>3.26985769849212</v>
      </c>
    </row>
    <row r="15" customFormat="false" ht="15" hidden="false" customHeight="true" outlineLevel="0" collapsed="false">
      <c r="A15" s="205" t="s">
        <v>43</v>
      </c>
      <c r="B15" s="207" t="n">
        <f aca="false">'Fund Economics'!B46</f>
        <v>4.26844399452942</v>
      </c>
      <c r="C15" s="207" t="n">
        <f aca="false">'Fund Economics'!C46</f>
        <v>10.464416004235</v>
      </c>
      <c r="D15" s="207" t="n">
        <f aca="false">'Fund Economics'!D46</f>
        <v>0.0958534157652151</v>
      </c>
      <c r="E15" s="208" t="n">
        <f aca="false">'Fund Economics'!E46</f>
        <v>11.1697096590366</v>
      </c>
      <c r="F15" s="208" t="n">
        <f aca="false">'Fund Economics'!F46</f>
        <v>6.22673825981728</v>
      </c>
    </row>
    <row r="16" customFormat="false" ht="15" hidden="false" customHeight="true" outlineLevel="0" collapsed="false">
      <c r="A16" s="1"/>
      <c r="B16" s="1"/>
      <c r="C16" s="1"/>
      <c r="D16" s="1"/>
      <c r="E16" s="1"/>
      <c r="F16" s="1"/>
    </row>
    <row r="17" customFormat="false" ht="15" hidden="false" customHeight="true" outlineLevel="0" collapsed="false">
      <c r="A17" s="1"/>
      <c r="B17" s="1"/>
      <c r="C17" s="1"/>
      <c r="D17" s="1"/>
      <c r="E17" s="1"/>
      <c r="F17" s="1"/>
    </row>
    <row r="18" customFormat="false" ht="15" hidden="false" customHeight="true" outlineLevel="0" collapsed="false">
      <c r="A18" s="60" t="s">
        <v>676</v>
      </c>
      <c r="B18" s="1"/>
      <c r="C18" s="1"/>
      <c r="D18" s="1"/>
      <c r="E18" s="1"/>
      <c r="F18" s="1"/>
    </row>
    <row r="19" customFormat="false" ht="15" hidden="false" customHeight="true" outlineLevel="0" collapsed="false">
      <c r="A19" s="43" t="s">
        <v>35</v>
      </c>
      <c r="B19" s="43" t="s">
        <v>36</v>
      </c>
      <c r="C19" s="43" t="s">
        <v>37</v>
      </c>
      <c r="D19" s="43" t="s">
        <v>38</v>
      </c>
      <c r="E19" s="53" t="s">
        <v>39</v>
      </c>
      <c r="F19" s="61" t="s">
        <v>40</v>
      </c>
    </row>
    <row r="20" customFormat="false" ht="15" hidden="false" customHeight="true" outlineLevel="0" collapsed="false">
      <c r="A20" s="205" t="s">
        <v>41</v>
      </c>
      <c r="B20" s="209" t="n">
        <f aca="false">'Fund Economics'!B12</f>
        <v>501.131027644204</v>
      </c>
      <c r="C20" s="209" t="n">
        <f aca="false">'Fund Economics'!C12</f>
        <v>771.955536879004</v>
      </c>
      <c r="D20" s="209" t="n">
        <f aca="false">'Fund Economics'!D12</f>
        <v>101.293525689088</v>
      </c>
      <c r="E20" s="210" t="n">
        <f aca="false">'Fund Economics'!E12</f>
        <v>780.791454840172</v>
      </c>
      <c r="F20" s="210" t="n">
        <f aca="false">'Fund Economics'!F12</f>
        <v>550.810593739032</v>
      </c>
    </row>
    <row r="21" customFormat="false" ht="15" hidden="false" customHeight="true" outlineLevel="0" collapsed="false">
      <c r="A21" s="205" t="s">
        <v>42</v>
      </c>
      <c r="B21" s="209" t="n">
        <f aca="false">'Fund Economics'!B28</f>
        <v>673.195830620082</v>
      </c>
      <c r="C21" s="209" t="n">
        <f aca="false">'Fund Economics'!C28</f>
        <v>1248.29545071523</v>
      </c>
      <c r="D21" s="209" t="n">
        <f aca="false">'Fund Economics'!D28</f>
        <v>65.0336881936079</v>
      </c>
      <c r="E21" s="210" t="n">
        <f aca="false">'Fund Economics'!E28</f>
        <v>1284.64923290763</v>
      </c>
      <c r="F21" s="210" t="n">
        <f aca="false">'Fund Economics'!F28</f>
        <v>817.464424623029</v>
      </c>
    </row>
    <row r="22" customFormat="false" ht="15" hidden="false" customHeight="true" outlineLevel="0" collapsed="false">
      <c r="A22" s="205" t="s">
        <v>43</v>
      </c>
      <c r="B22" s="209" t="n">
        <f aca="false">'Fund Economics'!B44</f>
        <v>1067.11099863236</v>
      </c>
      <c r="C22" s="209" t="n">
        <f aca="false">'Fund Economics'!C44</f>
        <v>2616.10400105876</v>
      </c>
      <c r="D22" s="209" t="n">
        <f aca="false">'Fund Economics'!D44</f>
        <v>23.9633539413038</v>
      </c>
      <c r="E22" s="210" t="n">
        <f aca="false">'Fund Economics'!E44</f>
        <v>2792.42741475916</v>
      </c>
      <c r="F22" s="210" t="n">
        <f aca="false">'Fund Economics'!F44</f>
        <v>1556.68456495432</v>
      </c>
    </row>
    <row r="23" customFormat="false" ht="15" hidden="false" customHeight="true" outlineLevel="0" collapsed="false">
      <c r="A23" s="1"/>
      <c r="B23" s="1"/>
      <c r="C23" s="1"/>
      <c r="D23" s="1"/>
      <c r="E23" s="1"/>
      <c r="F23" s="1"/>
    </row>
    <row r="24" customFormat="false" ht="15" hidden="false" customHeight="true" outlineLevel="0" collapsed="false">
      <c r="A24" s="1"/>
      <c r="B24" s="1"/>
      <c r="C24" s="1"/>
      <c r="D24" s="1"/>
      <c r="E24" s="1"/>
      <c r="F24" s="1"/>
    </row>
    <row r="25" customFormat="false" ht="15" hidden="false" customHeight="true" outlineLevel="0" collapsed="false">
      <c r="A25" s="42" t="s">
        <v>78</v>
      </c>
      <c r="B25" s="1"/>
      <c r="C25" s="1"/>
      <c r="D25" s="1"/>
      <c r="E25" s="1"/>
      <c r="F25" s="1"/>
    </row>
    <row r="26" customFormat="false" ht="27.75" hidden="false" customHeight="true" outlineLevel="0" collapsed="false">
      <c r="A26" s="73" t="s">
        <v>677</v>
      </c>
      <c r="B26" s="73"/>
      <c r="C26" s="73"/>
      <c r="D26" s="73"/>
      <c r="E26" s="73"/>
      <c r="F26" s="73"/>
    </row>
    <row r="27" customFormat="false" ht="40.5" hidden="false" customHeight="true" outlineLevel="0" collapsed="false">
      <c r="A27" s="73" t="s">
        <v>678</v>
      </c>
      <c r="B27" s="73"/>
      <c r="C27" s="73"/>
      <c r="D27" s="73"/>
      <c r="E27" s="73"/>
      <c r="F27" s="73"/>
    </row>
    <row r="28" customFormat="false" ht="27.75" hidden="false" customHeight="true" outlineLevel="0" collapsed="false">
      <c r="A28" s="73" t="s">
        <v>679</v>
      </c>
      <c r="B28" s="73"/>
      <c r="C28" s="73"/>
      <c r="D28" s="73"/>
      <c r="E28" s="73"/>
      <c r="F28" s="73"/>
    </row>
    <row r="29" customFormat="false" ht="27.75" hidden="false" customHeight="true" outlineLevel="0" collapsed="false">
      <c r="A29" s="211" t="str">
        <f aca="false">"• Recommended: 7-year vehicle, base sizing, "&amp;TEXT(Assumptions!B7,"$#,##0")&amp;"M reserve steered to Substrate + EUV Tech + EdgeCortix pro-rata."</f>
        <v>• Recommended: 7-year vehicle, base sizing, $25M reserve steered to Substrate + EUV Tech + EdgeCortix pro-rata.</v>
      </c>
      <c r="B29" s="211"/>
      <c r="C29" s="211"/>
      <c r="D29" s="211"/>
      <c r="E29" s="211"/>
      <c r="F29" s="211"/>
    </row>
  </sheetData>
  <mergeCells count="4">
    <mergeCell ref="A26:F26"/>
    <mergeCell ref="A27:F27"/>
    <mergeCell ref="A28:F28"/>
    <mergeCell ref="A29:F29"/>
  </mergeCells>
  <printOptions headings="false" gridLines="false" gridLinesSet="true" horizontalCentered="true" verticalCentered="false"/>
  <pageMargins left="0.4" right="0.4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&amp;LLeviathan Core PE Holdco — Internal / Confidential&amp;R&amp;A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2026-09-22T13:41:58Z</dcterms:created>
  <dc:creator>openpyxl</dc:creator>
  <dc:description/>
  <dc:language>en-US</dc:language>
  <cp:lastModifiedBy>Donald Ritts</cp:lastModifiedBy>
  <dcterms:modified xsi:type="dcterms:W3CDTF">2026-09-24T05:52:45Z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