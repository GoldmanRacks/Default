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660" windowWidth="21400" windowHeight="18040" tabRatio="500" firstSheet="8" activeTab="0" autoFilterDateGrouping="1"/>
  </bookViews>
  <sheets>
    <sheet name="Cover" sheetId="1" state="visible" r:id="rId1"/>
    <sheet name="Read Me" sheetId="2" state="visible" r:id="rId2"/>
    <sheet name="Change Log" sheetId="3" state="visible" r:id="rId3"/>
    <sheet name="Checks" sheetId="4" state="visible" r:id="rId4"/>
    <sheet name="IC Summary" sheetId="5" state="visible" r:id="rId5"/>
    <sheet name="Holdco Summary" sheetId="6" state="visible" r:id="rId6"/>
    <sheet name="Macro Overlay" sheetId="7" state="visible" r:id="rId7"/>
    <sheet name="Assumptions" sheetId="8" state="visible" r:id="rId8"/>
    <sheet name="Defense Supercycle" sheetId="9" state="visible" r:id="rId9"/>
    <sheet name="Allocation" sheetId="10" state="visible" r:id="rId10"/>
    <sheet name="Portfolio Returns" sheetId="11" state="visible" r:id="rId11"/>
    <sheet name="Fund Economics" sheetId="12" state="visible" r:id="rId12"/>
    <sheet name="IQT Clusters" sheetId="13" state="visible" r:id="rId13"/>
    <sheet name="Weapons Sleeve" sheetId="14" state="visible" r:id="rId14"/>
    <sheet name="Consumer Sleeve" sheetId="15" state="visible" r:id="rId15"/>
    <sheet name="Sleeve Economics" sheetId="16" state="visible" r:id="rId16"/>
    <sheet name="PME, DPI &amp; Sensitivity" sheetId="17" state="visible" r:id="rId17"/>
    <sheet name="Scenario Summary" sheetId="18" state="visible" r:id="rId18"/>
    <sheet name="Fact Sheet Data" sheetId="19" state="visible" r:id="rId19"/>
  </sheets>
  <definedNames>
    <definedName name="Hold_Short">Assumptions!$F$5</definedName>
    <definedName name="Hold_Mid">Assumptions!$F$6</definedName>
    <definedName name="Hold_Long">Assumptions!$F$7</definedName>
    <definedName name="IQT_Committed">Assumptions!$B$5</definedName>
    <definedName name="Mgmt_Fee">Assumptions!$B$8</definedName>
    <definedName name="Carry">Assumptions!$B$9</definedName>
    <definedName name="Pref">Assumptions!$B$10</definedName>
    <definedName name="Ret_IQT_Short">Assumptions!$B$11</definedName>
    <definedName name="Ret_IQT_Mid">Assumptions!$B$12</definedName>
    <definedName name="Ret_IQT_Long">Assumptions!$B$13</definedName>
    <definedName name="Ret_Wpn_Short">'Weapons Sleeve'!$B$6</definedName>
    <definedName name="Ret_Wpn_Mid">'Weapons Sleeve'!$B$7</definedName>
    <definedName name="Ret_Wpn_Long">'Weapons Sleeve'!$B$8</definedName>
    <definedName name="Ret_Con_Short">'Consumer Sleeve'!$B$6</definedName>
    <definedName name="Ret_Con_Mid">'Consumer Sleeve'!$B$7</definedName>
    <definedName name="Ret_Con_Long">'Consumer Sleeve'!$B$8</definedName>
    <definedName name="P_Base">'Defense Supercycle'!$B$17</definedName>
    <definedName name="P_Bull">'Defense Supercycle'!$B$18</definedName>
    <definedName name="P_Bear">'Defense Supercycle'!$B$19</definedName>
    <definedName name="P_Shock">'Defense Supercycle'!$B$20</definedName>
    <definedName name="Holdco_Size">'Holdco Summary'!$B$9</definedName>
    <definedName name="IQT_Size">'Holdco Summary'!$B$6</definedName>
    <definedName name="Wpn_Size">'Holdco Summary'!$B$7</definedName>
    <definedName name="Con_Size">'Holdco Summary'!$B$8</definedName>
    <definedName name="SPX_CAGR">'PME, DPI &amp; Sensitivity'!$B$5</definedName>
    <definedName name="NDX_CAGR">'PME, DPI &amp; Sensitivity'!$B$6</definedName>
    <definedName name="Basket_CAGR">'Holdco Summary'!$B$23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1">
    <numFmt numFmtId="164" formatCode="\$#,##0;&quot;($&quot;#,##0\);\-"/>
    <numFmt numFmtId="165" formatCode="0.0%"/>
    <numFmt numFmtId="166" formatCode="\$#,##0.0;&quot;($&quot;#,##0.0\);\-"/>
    <numFmt numFmtId="167" formatCode="0.00\x"/>
    <numFmt numFmtId="168" formatCode="0.0%;\(0.0%\);\-"/>
    <numFmt numFmtId="169" formatCode="\$#,##0.0;\(\$#,##0.0\);\-"/>
    <numFmt numFmtId="170" formatCode="\$#,##0;\(\$#,##0\);\-"/>
    <numFmt numFmtId="171" formatCode="\$#,##0.0"/>
    <numFmt numFmtId="172" formatCode="0.0"/>
    <numFmt numFmtId="173" formatCode="&quot;$&quot;#,##0.0"/>
    <numFmt numFmtId="174" formatCode="0.000"/>
  </numFmts>
  <fonts count="61">
    <font>
      <name val="Calibri"/>
      <charset val="1"/>
      <family val="2"/>
      <color theme="1"/>
      <sz val="11"/>
    </font>
    <font>
      <name val="Arial"/>
      <charset val="1"/>
      <family val="2"/>
      <color theme="1"/>
      <sz val="10"/>
    </font>
    <font>
      <name val="Arial"/>
      <family val="2"/>
      <b val="1"/>
      <color rgb="FF1F2A44"/>
      <sz val="15"/>
    </font>
    <font>
      <name val="Arial"/>
      <family val="2"/>
      <b val="1"/>
      <color rgb="FF1F2A44"/>
      <sz val="11"/>
    </font>
    <font>
      <name val="Arial"/>
      <family val="2"/>
      <i val="1"/>
      <color rgb="FF555555"/>
      <sz val="9"/>
    </font>
    <font>
      <name val="Arial"/>
      <family val="2"/>
      <b val="1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color rgb="FF008000"/>
      <sz val="10"/>
    </font>
    <font>
      <name val="Arial"/>
      <family val="2"/>
      <color rgb="FF0000FF"/>
      <sz val="10"/>
    </font>
    <font>
      <name val="Arial"/>
      <family val="2"/>
      <sz val="10"/>
    </font>
    <font>
      <name val="Arial"/>
      <family val="2"/>
      <b val="1"/>
      <color rgb="FF1F2A44"/>
      <sz val="15"/>
    </font>
    <font>
      <name val="Arial"/>
      <family val="2"/>
      <i val="1"/>
      <color rgb="FF555555"/>
      <sz val="9"/>
    </font>
    <font>
      <name val="Arial"/>
      <family val="2"/>
      <b val="1"/>
      <color rgb="FF1F2A44"/>
      <sz val="11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b val="1"/>
      <color rgb="FF008000"/>
      <sz val="10"/>
    </font>
    <font>
      <name val="Arial"/>
      <family val="2"/>
      <sz val="10"/>
    </font>
    <font>
      <name val="Arial"/>
      <family val="2"/>
      <color rgb="FF008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FF"/>
      <sz val="10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Arial"/>
      <family val="2"/>
      <color rgb="FF0000FF"/>
      <sz val="10"/>
    </font>
    <font>
      <name val="Arial"/>
      <family val="2"/>
      <b val="1"/>
      <color rgb="FF0000FF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0000FF"/>
      <sz val="11"/>
    </font>
    <font>
      <name val="Calibri"/>
      <charset val="1"/>
      <family val="2"/>
      <color rgb="FF000000"/>
      <sz val="11"/>
    </font>
    <font>
      <name val="Arial"/>
      <family val="2"/>
      <b val="1"/>
      <color rgb="FF1F2A44"/>
      <sz val="15"/>
    </font>
    <font>
      <name val="Calibri"/>
      <charset val="1"/>
      <family val="2"/>
      <b val="1"/>
      <color rgb="FF1F2A44"/>
      <sz val="11"/>
    </font>
    <font>
      <name val="Arial"/>
      <family val="2"/>
      <b val="1"/>
      <color rgb="FF1F2A44"/>
      <sz val="10"/>
    </font>
    <font>
      <name val="Calibri"/>
      <charset val="1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008000"/>
      <sz val="10"/>
    </font>
    <font>
      <name val="Arial"/>
      <family val="2"/>
      <color rgb="FF000000"/>
      <sz val="10"/>
    </font>
    <font>
      <name val="Arial"/>
      <family val="2"/>
      <i val="1"/>
      <color rgb="FF555555"/>
      <sz val="10"/>
    </font>
    <font>
      <name val="Arial"/>
      <family val="2"/>
      <i val="1"/>
      <color rgb="FF555555"/>
      <sz val="9"/>
    </font>
    <font>
      <name val="Calibri"/>
      <charset val="1"/>
      <family val="2"/>
      <color rgb="FF008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8000"/>
      <sz val="10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i val="1"/>
      <color rgb="FF555555"/>
      <sz val="11"/>
    </font>
    <font>
      <name val="Arial"/>
      <b val="1"/>
      <color rgb="FF1F2A44"/>
      <sz val="11"/>
    </font>
    <font>
      <name val="Arial"/>
      <color rgb="FF000000"/>
      <sz val="10"/>
    </font>
    <font>
      <name val="Arial"/>
      <b val="1"/>
      <color rgb="FF0000FF"/>
      <sz val="10"/>
    </font>
    <font>
      <name val="Arial"/>
      <color rgb="FF555555"/>
      <sz val="9"/>
    </font>
    <font>
      <name val="Arial"/>
      <color rgb="FF008000"/>
      <sz val="10"/>
    </font>
    <font>
      <name val="Arial"/>
      <b val="1"/>
      <color rgb="FF2E7D32"/>
      <sz val="10"/>
    </font>
    <font>
      <name val="Arial"/>
      <b val="1"/>
      <color rgb="FF000000"/>
      <sz val="10"/>
    </font>
    <font>
      <name val="Arial"/>
      <b val="1"/>
      <color rgb="FFFFFFFF"/>
      <sz val="10"/>
    </font>
    <font>
      <name val="Arial"/>
      <b val="1"/>
      <color rgb="FF1F2A44"/>
      <sz val="15"/>
    </font>
    <font>
      <name val="Arial"/>
      <b val="1"/>
      <color rgb="FF1F2A44"/>
      <sz val="10"/>
    </font>
    <font>
      <name val="Arial"/>
      <b val="1"/>
      <color rgb="FF008000"/>
      <sz val="10"/>
    </font>
    <font>
      <name val="Arial"/>
      <b val="1"/>
      <color rgb="FF2E7D32"/>
      <sz val="11"/>
    </font>
    <font>
      <name val="Arial"/>
      <b val="1"/>
      <color rgb="FFC00000"/>
      <sz val="10"/>
    </font>
    <font>
      <name val="Arial"/>
      <b val="1"/>
      <color rgb="FF1F2A44"/>
      <sz val="16"/>
    </font>
    <font>
      <name val="Arial"/>
      <color rgb="FF555555"/>
      <sz val="10"/>
    </font>
    <font>
      <name val="Arial"/>
      <color rgb="FF555555"/>
      <sz val="8"/>
    </font>
    <font>
      <name val="Arial"/>
      <color rgb="FF0000FF"/>
      <sz val="10"/>
      <u val="single"/>
    </font>
  </fonts>
  <fills count="28">
    <fill>
      <patternFill/>
    </fill>
    <fill>
      <patternFill patternType="gray125"/>
    </fill>
    <fill>
      <patternFill patternType="solid">
        <fgColor rgb="FFEAEEF5"/>
        <bgColor rgb="FFF2F2F2"/>
      </patternFill>
    </fill>
    <fill>
      <patternFill patternType="solid">
        <fgColor rgb="FFFCE9DD"/>
        <bgColor rgb="FFFCE4E4"/>
      </patternFill>
    </fill>
    <fill>
      <patternFill patternType="solid">
        <fgColor rgb="FFFFF2CC"/>
        <bgColor rgb="FFFCE9DD"/>
      </patternFill>
    </fill>
    <fill>
      <patternFill patternType="solid">
        <fgColor rgb="FF2E4374"/>
        <bgColor rgb="FF1F2A44"/>
      </patternFill>
    </fill>
    <fill>
      <patternFill patternType="solid">
        <fgColor rgb="FFE2EFDA"/>
        <bgColor rgb="FFEAF2E6"/>
      </patternFill>
    </fill>
    <fill>
      <patternFill patternType="solid">
        <fgColor rgb="FF7A3B2E"/>
        <bgColor rgb="FF993366"/>
      </patternFill>
    </fill>
    <fill>
      <patternFill patternType="solid">
        <fgColor rgb="FFF2F2F2"/>
        <bgColor rgb="FFEAEEF5"/>
      </patternFill>
    </fill>
    <fill>
      <patternFill patternType="solid">
        <fgColor rgb="FF3E5C3A"/>
        <bgColor rgb="FF3E5E3A"/>
      </patternFill>
    </fill>
    <fill>
      <patternFill patternType="solid">
        <fgColor rgb="FFEAF2E6"/>
        <bgColor rgb="FFEAEEF5"/>
      </patternFill>
    </fill>
    <fill>
      <patternFill patternType="solid">
        <fgColor rgb="FFFCE4E4"/>
        <bgColor rgb="FFFCE9DD"/>
      </patternFill>
    </fill>
    <fill>
      <patternFill patternType="solid">
        <fgColor rgb="FFD9E8D4"/>
        <bgColor rgb="FFE2EFDA"/>
      </patternFill>
    </fill>
    <fill>
      <patternFill patternType="solid">
        <fgColor rgb="FF2E437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EEF5"/>
        <bgColor indexed="64"/>
      </patternFill>
    </fill>
    <fill>
      <patternFill patternType="solid">
        <fgColor rgb="FFFCE9DD"/>
        <bgColor indexed="64"/>
      </patternFill>
    </fill>
    <fill>
      <patternFill patternType="solid">
        <fgColor rgb="FF2E437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A3B2E"/>
        <bgColor indexed="64"/>
      </patternFill>
    </fill>
    <fill>
      <patternFill patternType="solid">
        <fgColor rgb="FFFCE9DD"/>
      </patternFill>
    </fill>
    <fill>
      <patternFill patternType="solid">
        <fgColor rgb="FFEAEEF5"/>
      </patternFill>
    </fill>
    <fill>
      <patternFill patternType="solid">
        <fgColor rgb="FF7A3B2E"/>
      </patternFill>
    </fill>
    <fill>
      <patternFill patternType="solid">
        <fgColor rgb="FF3E5C3A"/>
      </patternFill>
    </fill>
    <fill>
      <patternFill patternType="solid">
        <fgColor rgb="FFEAF2E6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1F2A44"/>
      </top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25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4" fontId="8" fillId="4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5" fillId="0" borderId="0" pivotButton="0" quotePrefix="0" xfId="0"/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5" fontId="4" fillId="8" borderId="1" applyAlignment="1" pivotButton="0" quotePrefix="0" xfId="0">
      <alignment horizontal="right" vertical="center"/>
    </xf>
    <xf numFmtId="0" fontId="6" fillId="0" borderId="0" pivotButton="0" quotePrefix="0" xfId="0"/>
    <xf numFmtId="165" fontId="9" fillId="0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0" fontId="3" fillId="2" borderId="0" pivotButton="0" quotePrefix="0" xfId="0"/>
    <xf numFmtId="0" fontId="7" fillId="9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166" fontId="6" fillId="10" borderId="1" applyAlignment="1" pivotButton="0" quotePrefix="0" xfId="0">
      <alignment horizontal="right" vertical="center"/>
    </xf>
    <xf numFmtId="0" fontId="5" fillId="6" borderId="1" applyAlignment="1" pivotButton="0" quotePrefix="0" xfId="0">
      <alignment vertical="center"/>
    </xf>
    <xf numFmtId="166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7" fontId="6" fillId="3" borderId="1" applyAlignment="1" pivotButton="0" quotePrefix="0" xfId="0">
      <alignment horizontal="right" vertical="center"/>
    </xf>
    <xf numFmtId="167" fontId="6" fillId="10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5" fontId="6" fillId="1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2" fontId="8" fillId="4" borderId="1" applyAlignment="1" pivotButton="0" quotePrefix="0" xfId="0">
      <alignment horizontal="right" vertical="center"/>
    </xf>
    <xf numFmtId="2" fontId="10" fillId="4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right" vertical="center"/>
    </xf>
    <xf numFmtId="0" fontId="5" fillId="8" borderId="0" pivotButton="0" quotePrefix="0" xfId="0"/>
    <xf numFmtId="2" fontId="5" fillId="8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center"/>
    </xf>
    <xf numFmtId="164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wrapText="1"/>
    </xf>
    <xf numFmtId="165" fontId="5" fillId="6" borderId="0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5" fillId="8" borderId="0" applyAlignment="1" pivotButton="0" quotePrefix="0" xfId="0">
      <alignment horizontal="right" vertical="center"/>
    </xf>
    <xf numFmtId="167" fontId="5" fillId="8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5" fillId="12" borderId="1" applyAlignment="1" pivotButton="0" quotePrefix="0" xfId="0">
      <alignment horizontal="right" vertical="center"/>
    </xf>
    <xf numFmtId="167" fontId="5" fillId="12" borderId="1" applyAlignment="1" pivotButton="0" quotePrefix="0" xfId="0">
      <alignment horizontal="right" vertical="center"/>
    </xf>
    <xf numFmtId="165" fontId="5" fillId="12" borderId="1" applyAlignment="1" pivotButton="0" quotePrefix="0" xfId="0">
      <alignment horizontal="right" vertical="center"/>
    </xf>
    <xf numFmtId="165" fontId="9" fillId="3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5" fontId="10" fillId="3" borderId="1" applyAlignment="1" pivotButton="0" quotePrefix="0" xfId="0">
      <alignment horizontal="right" vertical="center"/>
    </xf>
    <xf numFmtId="0" fontId="11" fillId="0" borderId="1" applyAlignment="1" pivotButton="0" quotePrefix="0" xfId="0">
      <alignment vertical="center"/>
    </xf>
    <xf numFmtId="164" fontId="11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0" fontId="3" fillId="3" borderId="0" pivotButton="0" quotePrefix="0" xfId="0"/>
    <xf numFmtId="0" fontId="4" fillId="0" borderId="0" applyAlignment="1" pivotButton="0" quotePrefix="0" xfId="0">
      <alignment horizontal="left" vertical="center" wrapText="1"/>
    </xf>
    <xf numFmtId="165" fontId="8" fillId="12" borderId="1" applyAlignment="1" pivotButton="0" quotePrefix="0" xfId="0">
      <alignment horizontal="right" vertical="center"/>
    </xf>
    <xf numFmtId="165" fontId="6" fillId="12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165" fontId="9" fillId="12" borderId="1" applyAlignment="1" pivotButton="0" quotePrefix="0" xfId="0">
      <alignment horizontal="right" vertical="center"/>
    </xf>
    <xf numFmtId="167" fontId="9" fillId="0" borderId="1" applyAlignment="1" pivotButton="0" quotePrefix="0" xfId="0">
      <alignment horizontal="right" vertical="center"/>
    </xf>
    <xf numFmtId="167" fontId="9" fillId="3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66" fontId="9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  <xf numFmtId="0" fontId="12" fillId="0" borderId="0" pivotButton="0" quotePrefix="0" xfId="0"/>
    <xf numFmtId="0" fontId="14" fillId="0" borderId="5" pivotButton="0" quotePrefix="0" xfId="0"/>
    <xf numFmtId="0" fontId="1" fillId="0" borderId="5" pivotButton="0" quotePrefix="0" xfId="0"/>
    <xf numFmtId="0" fontId="15" fillId="13" borderId="0" applyAlignment="1" pivotButton="0" quotePrefix="0" xfId="0">
      <alignment horizontal="left"/>
    </xf>
    <xf numFmtId="0" fontId="15" fillId="13" borderId="0" applyAlignment="1" pivotButton="0" quotePrefix="0" xfId="0">
      <alignment horizontal="center"/>
    </xf>
    <xf numFmtId="0" fontId="16" fillId="0" borderId="0" pivotButton="0" quotePrefix="0" xfId="0"/>
    <xf numFmtId="168" fontId="17" fillId="14" borderId="0" applyAlignment="1" pivotButton="0" quotePrefix="0" xfId="0">
      <alignment horizontal="center"/>
    </xf>
    <xf numFmtId="167" fontId="17" fillId="14" borderId="0" applyAlignment="1" pivotButton="0" quotePrefix="0" xfId="0">
      <alignment horizontal="center"/>
    </xf>
    <xf numFmtId="169" fontId="17" fillId="14" borderId="0" applyAlignment="1" pivotButton="0" quotePrefix="0" xfId="0">
      <alignment horizontal="center"/>
    </xf>
    <xf numFmtId="0" fontId="18" fillId="0" borderId="0" pivotButton="0" quotePrefix="0" xfId="0"/>
    <xf numFmtId="168" fontId="19" fillId="0" borderId="0" applyAlignment="1" pivotButton="0" quotePrefix="0" xfId="0">
      <alignment horizontal="center"/>
    </xf>
    <xf numFmtId="167" fontId="19" fillId="0" borderId="0" applyAlignment="1" pivotButton="0" quotePrefix="0" xfId="0">
      <alignment horizontal="center"/>
    </xf>
    <xf numFmtId="169" fontId="19" fillId="0" borderId="0" applyAlignment="1" pivotButton="0" quotePrefix="0" xfId="0">
      <alignment horizontal="center"/>
    </xf>
    <xf numFmtId="0" fontId="19" fillId="0" borderId="0" pivotButton="0" quotePrefix="0" xfId="0"/>
    <xf numFmtId="170" fontId="19" fillId="0" borderId="0" applyAlignment="1" pivotButton="0" quotePrefix="0" xfId="0">
      <alignment horizontal="center"/>
    </xf>
    <xf numFmtId="1" fontId="20" fillId="0" borderId="0" applyAlignment="1" pivotButton="0" quotePrefix="0" xfId="0">
      <alignment horizontal="center"/>
    </xf>
    <xf numFmtId="0" fontId="16" fillId="0" borderId="6" pivotButton="0" quotePrefix="0" xfId="0"/>
    <xf numFmtId="170" fontId="21" fillId="0" borderId="6" applyAlignment="1" pivotButton="0" quotePrefix="0" xfId="0">
      <alignment horizontal="center"/>
    </xf>
    <xf numFmtId="168" fontId="21" fillId="0" borderId="6" applyAlignment="1" pivotButton="0" quotePrefix="0" xfId="0">
      <alignment horizontal="center"/>
    </xf>
    <xf numFmtId="1" fontId="21" fillId="0" borderId="6" applyAlignment="1" pivotButton="0" quotePrefix="0" xfId="0">
      <alignment horizontal="center"/>
    </xf>
    <xf numFmtId="167" fontId="20" fillId="0" borderId="0" applyAlignment="1" pivotButton="0" quotePrefix="0" xfId="0">
      <alignment horizontal="center"/>
    </xf>
    <xf numFmtId="167" fontId="21" fillId="0" borderId="6" applyAlignment="1" pivotButton="0" quotePrefix="0" xfId="0">
      <alignment horizontal="center"/>
    </xf>
    <xf numFmtId="168" fontId="21" fillId="0" borderId="0" applyAlignment="1" pivotButton="0" quotePrefix="0" xfId="0">
      <alignment horizontal="center"/>
    </xf>
    <xf numFmtId="171" fontId="19" fillId="0" borderId="0" applyAlignment="1" pivotButton="0" quotePrefix="0" xfId="0">
      <alignment horizontal="center"/>
    </xf>
    <xf numFmtId="171" fontId="22" fillId="15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168" fontId="22" fillId="15" borderId="0" applyAlignment="1" pivotButton="0" quotePrefix="0" xfId="0">
      <alignment horizontal="center"/>
    </xf>
    <xf numFmtId="0" fontId="1" fillId="0" borderId="6" pivotButton="0" quotePrefix="0" xfId="0"/>
    <xf numFmtId="0" fontId="21" fillId="14" borderId="6" applyAlignment="1" pivotButton="0" quotePrefix="0" xfId="0">
      <alignment horizontal="center"/>
    </xf>
    <xf numFmtId="164" fontId="25" fillId="4" borderId="1" applyAlignment="1" pivotButton="0" quotePrefix="0" xfId="0">
      <alignment horizontal="right" vertical="center"/>
    </xf>
    <xf numFmtId="165" fontId="25" fillId="4" borderId="1" applyAlignment="1" pivotButton="0" quotePrefix="0" xfId="0">
      <alignment horizontal="right" vertical="center"/>
    </xf>
    <xf numFmtId="165" fontId="25" fillId="3" borderId="1" applyAlignment="1" pivotButton="0" quotePrefix="0" xfId="0">
      <alignment horizontal="right" vertical="center"/>
    </xf>
    <xf numFmtId="164" fontId="25" fillId="16" borderId="1" applyAlignment="1" pivotButton="0" quotePrefix="0" xfId="0">
      <alignment horizontal="right" vertical="center"/>
    </xf>
    <xf numFmtId="0" fontId="4" fillId="16" borderId="1" applyAlignment="1" pivotButton="0" quotePrefix="0" xfId="0">
      <alignment horizontal="left" vertical="center" wrapText="1"/>
    </xf>
    <xf numFmtId="164" fontId="26" fillId="4" borderId="1" applyAlignment="1" pivotButton="0" quotePrefix="0" xfId="0">
      <alignment horizontal="right" vertical="center"/>
    </xf>
    <xf numFmtId="0" fontId="27" fillId="0" borderId="0" pivotButton="0" quotePrefix="0" xfId="0"/>
    <xf numFmtId="165" fontId="29" fillId="0" borderId="0" pivotButton="0" quotePrefix="0" xfId="0"/>
    <xf numFmtId="172" fontId="29" fillId="0" borderId="0" applyAlignment="1" pivotButton="0" quotePrefix="0" xfId="0">
      <alignment horizontal="center"/>
    </xf>
    <xf numFmtId="165" fontId="28" fillId="17" borderId="0" pivotButton="0" quotePrefix="0" xfId="0"/>
    <xf numFmtId="1" fontId="28" fillId="17" borderId="0" applyAlignment="1" pivotButton="0" quotePrefix="0" xfId="0">
      <alignment horizontal="center"/>
    </xf>
    <xf numFmtId="0" fontId="30" fillId="0" borderId="0" pivotButton="0" quotePrefix="0" xfId="0"/>
    <xf numFmtId="0" fontId="31" fillId="18" borderId="0" pivotButton="0" quotePrefix="0" xfId="0"/>
    <xf numFmtId="0" fontId="32" fillId="18" borderId="0" pivotButton="0" quotePrefix="0" xfId="0"/>
    <xf numFmtId="0" fontId="32" fillId="19" borderId="0" pivotButton="0" quotePrefix="0" xfId="0"/>
    <xf numFmtId="0" fontId="38" fillId="0" borderId="0" pivotButton="0" quotePrefix="0" xfId="0"/>
    <xf numFmtId="0" fontId="36" fillId="0" borderId="4" pivotButton="0" quotePrefix="0" xfId="0"/>
    <xf numFmtId="0" fontId="36" fillId="0" borderId="2" pivotButton="0" quotePrefix="0" xfId="0"/>
    <xf numFmtId="9" fontId="25" fillId="17" borderId="4" pivotButton="0" quotePrefix="0" xfId="0"/>
    <xf numFmtId="0" fontId="37" fillId="0" borderId="4" pivotButton="0" quotePrefix="0" xfId="0"/>
    <xf numFmtId="9" fontId="25" fillId="17" borderId="2" pivotButton="0" quotePrefix="0" xfId="0"/>
    <xf numFmtId="0" fontId="37" fillId="0" borderId="2" pivotButton="0" quotePrefix="0" xfId="0"/>
    <xf numFmtId="0" fontId="34" fillId="20" borderId="7" applyAlignment="1" pivotButton="0" quotePrefix="0" xfId="0">
      <alignment horizontal="center"/>
    </xf>
    <xf numFmtId="0" fontId="33" fillId="20" borderId="0" applyAlignment="1" pivotButton="0" quotePrefix="0" xfId="0">
      <alignment horizontal="center"/>
    </xf>
    <xf numFmtId="165" fontId="35" fillId="0" borderId="4" applyAlignment="1" pivotButton="0" quotePrefix="0" xfId="0">
      <alignment horizontal="right"/>
    </xf>
    <xf numFmtId="168" fontId="35" fillId="0" borderId="4" applyAlignment="1" pivotButton="0" quotePrefix="0" xfId="0">
      <alignment horizontal="right"/>
    </xf>
    <xf numFmtId="168" fontId="36" fillId="0" borderId="2" applyAlignment="1" pivotButton="0" quotePrefix="0" xfId="0">
      <alignment horizontal="right"/>
    </xf>
    <xf numFmtId="165" fontId="36" fillId="0" borderId="4" applyAlignment="1" pivotButton="0" quotePrefix="0" xfId="0">
      <alignment horizontal="right"/>
    </xf>
    <xf numFmtId="165" fontId="36" fillId="0" borderId="2" applyAlignment="1" pivotButton="0" quotePrefix="0" xfId="0">
      <alignment horizontal="right"/>
    </xf>
    <xf numFmtId="173" fontId="39" fillId="0" borderId="0" applyAlignment="1" pivotButton="0" quotePrefix="0" xfId="0">
      <alignment horizontal="right"/>
    </xf>
    <xf numFmtId="167" fontId="29" fillId="0" borderId="0" applyAlignment="1" pivotButton="0" quotePrefix="0" xfId="0">
      <alignment horizontal="right"/>
    </xf>
    <xf numFmtId="165" fontId="29" fillId="0" borderId="0" applyAlignment="1" pivotButton="0" quotePrefix="0" xfId="0">
      <alignment horizontal="right"/>
    </xf>
    <xf numFmtId="174" fontId="29" fillId="0" borderId="0" applyAlignment="1" pivotButton="0" quotePrefix="0" xfId="0">
      <alignment horizontal="right"/>
    </xf>
    <xf numFmtId="173" fontId="29" fillId="0" borderId="0" applyAlignment="1" pivotButton="0" quotePrefix="0" xfId="0">
      <alignment horizontal="right"/>
    </xf>
    <xf numFmtId="165" fontId="39" fillId="0" borderId="0" applyAlignment="1" pivotButton="0" quotePrefix="0" xfId="0">
      <alignment horizontal="right"/>
    </xf>
    <xf numFmtId="167" fontId="39" fillId="0" borderId="0" applyAlignment="1" pivotButton="0" quotePrefix="0" xfId="0">
      <alignment horizontal="right"/>
    </xf>
    <xf numFmtId="167" fontId="35" fillId="0" borderId="4" applyAlignment="1" pivotButton="0" quotePrefix="0" xfId="0">
      <alignment horizontal="right"/>
    </xf>
    <xf numFmtId="168" fontId="29" fillId="0" borderId="0" applyAlignment="1" pivotButton="0" quotePrefix="0" xfId="0">
      <alignment horizontal="right"/>
    </xf>
    <xf numFmtId="0" fontId="40" fillId="21" borderId="4" pivotButton="0" quotePrefix="0" xfId="0"/>
    <xf numFmtId="167" fontId="41" fillId="21" borderId="4" applyAlignment="1" pivotButton="0" quotePrefix="0" xfId="0">
      <alignment horizontal="right"/>
    </xf>
    <xf numFmtId="0" fontId="27" fillId="21" borderId="0" pivotButton="0" quotePrefix="0" xfId="0"/>
    <xf numFmtId="167" fontId="42" fillId="21" borderId="0" applyAlignment="1" pivotButton="0" quotePrefix="0" xfId="0">
      <alignment horizontal="right"/>
    </xf>
    <xf numFmtId="0" fontId="33" fillId="22" borderId="0" applyAlignment="1" pivotButton="0" quotePrefix="0" xfId="0">
      <alignment horizontal="center"/>
    </xf>
    <xf numFmtId="165" fontId="39" fillId="19" borderId="0" applyAlignment="1" pivotButton="0" quotePrefix="0" xfId="0">
      <alignment horizontal="right"/>
    </xf>
    <xf numFmtId="165" fontId="29" fillId="19" borderId="0" applyAlignment="1" pivotButton="0" quotePrefix="0" xfId="0">
      <alignment horizontal="right"/>
    </xf>
    <xf numFmtId="173" fontId="39" fillId="19" borderId="0" applyAlignment="1" pivotButton="0" quotePrefix="0" xfId="0">
      <alignment horizontal="right"/>
    </xf>
    <xf numFmtId="173" fontId="29" fillId="19" borderId="0" applyAlignment="1" pivotButton="0" quotePrefix="0" xfId="0">
      <alignment horizontal="right"/>
    </xf>
    <xf numFmtId="167" fontId="39" fillId="19" borderId="0" applyAlignment="1" pivotButton="0" quotePrefix="0" xfId="0">
      <alignment horizontal="right"/>
    </xf>
    <xf numFmtId="167" fontId="29" fillId="19" borderId="0" applyAlignment="1" pivotButton="0" quotePrefix="0" xfId="0">
      <alignment horizontal="right"/>
    </xf>
    <xf numFmtId="1" fontId="28" fillId="17" borderId="0" applyAlignment="1" pivotButton="0" quotePrefix="0" xfId="0">
      <alignment horizontal="right"/>
    </xf>
    <xf numFmtId="0" fontId="43" fillId="0" borderId="0" pivotButton="0" quotePrefix="0" xfId="0"/>
    <xf numFmtId="0" fontId="18" fillId="0" borderId="0" applyAlignment="1" pivotButton="0" quotePrefix="0" xfId="0">
      <alignment vertical="top" wrapText="1"/>
    </xf>
    <xf numFmtId="0" fontId="1" fillId="0" borderId="0" pivotButton="0" quotePrefix="0" xfId="0"/>
    <xf numFmtId="0" fontId="1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1" fillId="0" borderId="4" pivotButton="0" quotePrefix="0" xfId="0"/>
    <xf numFmtId="0" fontId="1" fillId="0" borderId="3" pivotButton="0" quotePrefix="0" xfId="0"/>
    <xf numFmtId="0" fontId="7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horizontal="center"/>
    </xf>
    <xf numFmtId="0" fontId="58" fillId="0" borderId="0" applyAlignment="1" pivotButton="0" quotePrefix="0" xfId="0">
      <alignment horizontal="center"/>
    </xf>
    <xf numFmtId="0" fontId="49" fillId="0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0" fontId="53" fillId="0" borderId="0" pivotButton="0" quotePrefix="0" xfId="0"/>
    <xf numFmtId="0" fontId="60" fillId="0" borderId="0" pivotButton="0" quotePrefix="0" xfId="0"/>
    <xf numFmtId="0" fontId="47" fillId="0" borderId="0" pivotButton="0" quotePrefix="0" xfId="0"/>
    <xf numFmtId="0" fontId="50" fillId="24" borderId="0" applyAlignment="1" pivotButton="0" quotePrefix="0" xfId="0">
      <alignment vertical="center"/>
    </xf>
    <xf numFmtId="0" fontId="45" fillId="0" borderId="0" applyAlignment="1" pivotButton="0" quotePrefix="0" xfId="0">
      <alignment vertical="top" wrapText="1"/>
    </xf>
    <xf numFmtId="0" fontId="52" fillId="0" borderId="0" pivotButton="0" quotePrefix="0" xfId="0"/>
    <xf numFmtId="0" fontId="51" fillId="13" borderId="9" applyAlignment="1" pivotButton="0" quotePrefix="0" xfId="0">
      <alignment horizontal="center" vertical="center" wrapText="1"/>
    </xf>
    <xf numFmtId="1" fontId="45" fillId="0" borderId="9" applyAlignment="1" pivotButton="0" quotePrefix="0" xfId="0">
      <alignment horizontal="center"/>
    </xf>
    <xf numFmtId="0" fontId="45" fillId="0" borderId="9" pivotButton="0" quotePrefix="0" xfId="0"/>
    <xf numFmtId="0" fontId="45" fillId="0" borderId="9" applyAlignment="1" pivotButton="0" quotePrefix="0" xfId="0">
      <alignment vertical="top" wrapText="1"/>
    </xf>
    <xf numFmtId="0" fontId="56" fillId="0" borderId="9" applyAlignment="1" pivotButton="0" quotePrefix="0" xfId="0">
      <alignment vertical="top" wrapText="1"/>
    </xf>
    <xf numFmtId="0" fontId="44" fillId="0" borderId="0" pivotButton="0" quotePrefix="0" xfId="0"/>
    <xf numFmtId="0" fontId="55" fillId="0" borderId="0" pivotButton="0" quotePrefix="0" xfId="0"/>
    <xf numFmtId="164" fontId="46" fillId="15" borderId="9" applyAlignment="1" pivotButton="0" quotePrefix="0" xfId="0">
      <alignment horizontal="right"/>
    </xf>
    <xf numFmtId="166" fontId="45" fillId="0" borderId="9" applyAlignment="1" pivotButton="0" quotePrefix="0" xfId="0">
      <alignment horizontal="right"/>
    </xf>
    <xf numFmtId="0" fontId="50" fillId="0" borderId="9" applyAlignment="1" pivotButton="0" quotePrefix="0" xfId="0">
      <alignment horizontal="center"/>
    </xf>
    <xf numFmtId="165" fontId="45" fillId="0" borderId="9" applyAlignment="1" pivotButton="0" quotePrefix="0" xfId="0">
      <alignment horizontal="right"/>
    </xf>
    <xf numFmtId="0" fontId="45" fillId="0" borderId="9" applyAlignment="1" pivotButton="0" quotePrefix="0" xfId="0">
      <alignment horizontal="right"/>
    </xf>
    <xf numFmtId="1" fontId="45" fillId="0" borderId="9" applyAlignment="1" pivotButton="0" quotePrefix="0" xfId="0">
      <alignment horizontal="right"/>
    </xf>
    <xf numFmtId="171" fontId="48" fillId="15" borderId="9" applyAlignment="1" pivotButton="0" quotePrefix="0" xfId="0">
      <alignment horizontal="right"/>
    </xf>
    <xf numFmtId="0" fontId="49" fillId="0" borderId="0" pivotButton="0" quotePrefix="0" xfId="0"/>
    <xf numFmtId="0" fontId="45" fillId="0" borderId="9" applyAlignment="1" pivotButton="0" quotePrefix="0" xfId="0">
      <alignment vertical="center"/>
    </xf>
    <xf numFmtId="165" fontId="48" fillId="8" borderId="9" applyAlignment="1" pivotButton="0" quotePrefix="0" xfId="0">
      <alignment horizontal="right"/>
    </xf>
    <xf numFmtId="165" fontId="48" fillId="23" borderId="9" applyAlignment="1" pivotButton="0" quotePrefix="0" xfId="0">
      <alignment horizontal="right"/>
    </xf>
    <xf numFmtId="165" fontId="48" fillId="0" borderId="9" applyAlignment="1" pivotButton="0" quotePrefix="0" xfId="0">
      <alignment horizontal="right"/>
    </xf>
    <xf numFmtId="0" fontId="47" fillId="0" borderId="0" applyAlignment="1" pivotButton="0" quotePrefix="0" xfId="0">
      <alignment/>
    </xf>
    <xf numFmtId="1" fontId="46" fillId="15" borderId="9" applyAlignment="1" pivotButton="0" quotePrefix="0" xfId="0">
      <alignment horizontal="right"/>
    </xf>
    <xf numFmtId="0" fontId="0" fillId="0" borderId="3" pivotButton="0" quotePrefix="0" xfId="0"/>
    <xf numFmtId="0" fontId="0" fillId="0" borderId="4" pivotButton="0" quotePrefix="0" xfId="0"/>
    <xf numFmtId="165" fontId="46" fillId="15" borderId="9" applyAlignment="1" pivotButton="0" quotePrefix="0" xfId="0">
      <alignment horizontal="right"/>
    </xf>
    <xf numFmtId="0" fontId="50" fillId="0" borderId="9" pivotButton="0" quotePrefix="0" xfId="0"/>
    <xf numFmtId="165" fontId="50" fillId="0" borderId="9" applyAlignment="1" pivotButton="0" quotePrefix="0" xfId="0">
      <alignment horizontal="right"/>
    </xf>
    <xf numFmtId="172" fontId="45" fillId="0" borderId="9" applyAlignment="1" pivotButton="0" quotePrefix="0" xfId="0">
      <alignment horizontal="right"/>
    </xf>
    <xf numFmtId="0" fontId="44" fillId="24" borderId="0" pivotButton="0" quotePrefix="0" xfId="0"/>
    <xf numFmtId="0" fontId="51" fillId="25" borderId="9" applyAlignment="1" pivotButton="0" quotePrefix="0" xfId="0">
      <alignment horizontal="center" vertical="center" wrapText="1"/>
    </xf>
    <xf numFmtId="0" fontId="51" fillId="26" borderId="9" applyAlignment="1" pivotButton="0" quotePrefix="0" xfId="0">
      <alignment horizontal="center" vertical="center" wrapText="1"/>
    </xf>
    <xf numFmtId="166" fontId="48" fillId="0" borderId="9" applyAlignment="1" pivotButton="0" quotePrefix="0" xfId="0">
      <alignment horizontal="right"/>
    </xf>
    <xf numFmtId="166" fontId="48" fillId="23" borderId="9" applyAlignment="1" pivotButton="0" quotePrefix="0" xfId="0">
      <alignment horizontal="right"/>
    </xf>
    <xf numFmtId="0" fontId="0" fillId="27" borderId="0" pivotButton="0" quotePrefix="0" xfId="0"/>
    <xf numFmtId="166" fontId="45" fillId="23" borderId="9" applyAlignment="1" pivotButton="0" quotePrefix="0" xfId="0">
      <alignment horizontal="right"/>
    </xf>
    <xf numFmtId="166" fontId="45" fillId="27" borderId="9" applyAlignment="1" pivotButton="0" quotePrefix="0" xfId="0">
      <alignment horizontal="right"/>
    </xf>
    <xf numFmtId="166" fontId="50" fillId="14" borderId="9" applyAlignment="1" pivotButton="0" quotePrefix="0" xfId="0">
      <alignment horizontal="right"/>
    </xf>
    <xf numFmtId="167" fontId="45" fillId="0" borderId="9" applyAlignment="1" pivotButton="0" quotePrefix="0" xfId="0">
      <alignment horizontal="right"/>
    </xf>
    <xf numFmtId="167" fontId="45" fillId="23" borderId="9" applyAlignment="1" pivotButton="0" quotePrefix="0" xfId="0">
      <alignment horizontal="right"/>
    </xf>
    <xf numFmtId="167" fontId="45" fillId="27" borderId="9" applyAlignment="1" pivotButton="0" quotePrefix="0" xfId="0">
      <alignment horizontal="right"/>
    </xf>
    <xf numFmtId="167" fontId="50" fillId="14" borderId="9" applyAlignment="1" pivotButton="0" quotePrefix="0" xfId="0">
      <alignment horizontal="right"/>
    </xf>
    <xf numFmtId="165" fontId="45" fillId="23" borderId="9" applyAlignment="1" pivotButton="0" quotePrefix="0" xfId="0">
      <alignment horizontal="right"/>
    </xf>
    <xf numFmtId="165" fontId="45" fillId="27" borderId="9" applyAlignment="1" pivotButton="0" quotePrefix="0" xfId="0">
      <alignment horizontal="right"/>
    </xf>
    <xf numFmtId="165" fontId="50" fillId="14" borderId="9" applyAlignment="1" pivotButton="0" quotePrefix="0" xfId="0">
      <alignment horizontal="right"/>
    </xf>
    <xf numFmtId="1" fontId="48" fillId="17" borderId="9" applyAlignment="1" pivotButton="0" quotePrefix="0" xfId="0">
      <alignment horizontal="right"/>
    </xf>
    <xf numFmtId="0" fontId="46" fillId="15" borderId="9" applyAlignment="1" pivotButton="0" quotePrefix="0" xfId="0">
      <alignment horizontal="left"/>
    </xf>
    <xf numFmtId="164" fontId="48" fillId="0" borderId="9" applyAlignment="1" pivotButton="0" quotePrefix="0" xfId="0">
      <alignment horizontal="right"/>
    </xf>
    <xf numFmtId="1" fontId="48" fillId="0" borderId="9" applyAlignment="1" pivotButton="0" quotePrefix="0" xfId="0">
      <alignment horizontal="right"/>
    </xf>
    <xf numFmtId="167" fontId="48" fillId="0" borderId="9" applyAlignment="1" pivotButton="0" quotePrefix="0" xfId="0">
      <alignment horizontal="right"/>
    </xf>
    <xf numFmtId="165" fontId="48" fillId="27" borderId="9" applyAlignment="1" pivotButton="0" quotePrefix="0" xfId="0">
      <alignment horizontal="right"/>
    </xf>
    <xf numFmtId="167" fontId="48" fillId="27" borderId="9" applyAlignment="1" pivotButton="0" quotePrefix="0" xfId="0">
      <alignment horizontal="right"/>
    </xf>
    <xf numFmtId="0" fontId="48" fillId="0" borderId="9" applyAlignment="1" pivotButton="0" quotePrefix="0" xfId="0">
      <alignment horizontal="left"/>
    </xf>
    <xf numFmtId="0" fontId="50" fillId="14" borderId="9" applyAlignment="1" pivotButton="0" quotePrefix="0" xfId="0">
      <alignment horizontal="left"/>
    </xf>
    <xf numFmtId="164" fontId="54" fillId="14" borderId="9" applyAlignment="1" pivotButton="0" quotePrefix="0" xfId="0">
      <alignment horizontal="right"/>
    </xf>
    <xf numFmtId="1" fontId="50" fillId="14" borderId="9" applyAlignment="1" pivotButton="0" quotePrefix="0" xfId="0">
      <alignment horizontal="right"/>
    </xf>
    <xf numFmtId="167" fontId="54" fillId="14" borderId="9" applyAlignment="1" pivotButton="0" quotePrefix="0" xfId="0">
      <alignment horizontal="right"/>
    </xf>
    <xf numFmtId="165" fontId="54" fillId="14" borderId="9" applyAlignment="1" pivotButton="0" quotePrefix="0" xfId="0">
      <alignment horizontal="right"/>
    </xf>
    <xf numFmtId="167" fontId="48" fillId="23" borderId="9" applyAlignment="1" pivotButton="0" quotePrefix="0" xfId="0">
      <alignment horizontal="right"/>
    </xf>
    <xf numFmtId="166" fontId="48" fillId="27" borderId="9" applyAlignment="1" pivotButton="0" quotePrefix="0" xfId="0">
      <alignment horizontal="right"/>
    </xf>
    <xf numFmtId="165" fontId="48" fillId="0" borderId="9" applyAlignment="1" pivotButton="0" quotePrefix="0" xfId="0">
      <alignment horizontal="left"/>
    </xf>
    <xf numFmtId="164" fontId="48" fillId="0" borderId="9" applyAlignment="1" pivotButton="0" quotePrefix="0" xfId="0">
      <alignment horizontal="left"/>
    </xf>
    <xf numFmtId="172" fontId="48" fillId="0" borderId="9" applyAlignment="1" pivotButton="0" quotePrefix="0" xfId="0">
      <alignment horizontal="left"/>
    </xf>
  </cellXfs>
  <cellStyles count="1">
    <cellStyle name="Normal" xfId="0" builtinId="0"/>
  </cellStyles>
  <dxfs count="3">
    <dxf>
      <font>
        <b val="1"/>
        <color rgb="FFC00000"/>
      </font>
    </dxf>
    <dxf>
      <font>
        <b val="1"/>
        <color rgb="FFFFFFFF"/>
      </font>
      <fill>
        <patternFill patternType="solid">
          <fgColor rgb="FFC00000"/>
        </patternFill>
      </fill>
    </dxf>
    <dxf>
      <font>
        <b val="1"/>
        <color rgb="FF2E7D32"/>
      </font>
      <fill>
        <patternFill patternType="solid">
          <f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AF2E6"/>
      <rgbColor rgb="FF660066"/>
      <rgbColor rgb="FFFF8080"/>
      <rgbColor rgb="FF0066CC"/>
      <rgbColor rgb="FFD9E8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EF5"/>
      <rgbColor rgb="FFE2EFDA"/>
      <rgbColor rgb="FFFCE9DD"/>
      <rgbColor rgb="FFF2F2F2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C65911"/>
      <rgbColor rgb="FF555555"/>
      <rgbColor rgb="FF969696"/>
      <rgbColor rgb="FF003366"/>
      <rgbColor rgb="FF3E5E3A"/>
      <rgbColor rgb="FF003300"/>
      <rgbColor rgb="FF3E5C3A"/>
      <rgbColor rgb="FF7A3B2E"/>
      <rgbColor rgb="FF993366"/>
      <rgbColor rgb="FF2E4374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B18" authorId="0" shapeId="0">
      <text>
        <t>Microsoft Office User:
Raised 20%→25% (from Bear) for munitions shortage / defense supercycle / FMS backlog tilt. Applies holdco-wide (all three sleeves). Prior: Base 45 / Bull 20 / Bear 20 / Shock 15.</t>
      </text>
    </comment>
    <comment ref="B19" authorId="0" shapeId="0">
      <text>
        <t>Microsoft Office User:
Cut 20%→15%: multiyear munitions procurement and record FMS demand (FY2024 FMS system total $117.9B per CRS IF11437, https://www.congress.gov/crs_external_products/IF/PDF/IF11437/IF11437.4.pdf) reduce odds of a defense-spend downturn. Applies holdco-wide.</t>
      </text>
    </comment>
  </commentList>
</comments>
</file>

<file path=xl/comments/comment2.xml><?xml version="1.0" encoding="utf-8"?>
<comments xmlns="http://schemas.openxmlformats.org/spreadsheetml/2006/main">
  <authors>
    <author>Microsoft Office User</author>
  </authors>
  <commentList>
    <comment ref="P4" authorId="0" shapeId="0">
      <text>
        <t>Microsoft Office User:
Adj. CAGR = input CAGR (F:I) + exposure score × uplift/pt. Proceeds tables now run off Adj. columns S:V. Scores and uplifts are analyst judgments (blue). Context: FY2024 FMS system total $117.9B incl. $96.9B partner-funded (CRS IF11437, https://www.congress.gov/crs_external_products/IF/PDF/IF11437/IF11437.4.pdf); EO 14383 'America First Arms Transfer Strategy' (Feb-2026) ties arms transfers to expanding US production capacity (Taiwan Security Monitor, https://tsm.schar.gmu.edu/taiwan-arms-sale-backlog-february-2026-update-special-budget-complications-continue/).</t>
      </text>
    </comment>
    <comment ref="B18" authorId="0" shapeId="0">
      <text>
        <t>Post-money valuation $1.2B — per user instruction (IC input, 9/2026). Replaces prior ~$1.6B estimate (AIST: sales &gt;$1.3B, ~1,700 employees). Validate against term sheet.</t>
      </text>
    </comment>
    <comment ref="F18" authorId="0" shapeId="0">
      <text>
        <t>Microsoft Office User:
Raised from 11% after $1.2B post-money. Entry discount vs prior $1.6B fair-value est. = (1600/1200)^(1/7)-1 ≈ 4.2%/yr of multiple arbitrage over 7 yrs; Base captures ~half (+2.0pp).</t>
      </text>
    </comment>
    <comment ref="G18" authorId="0" shapeId="0">
      <text>
        <t>Microsoft Office User:
Raised from 18%: Bull captures ~full entry-discount re-rating (+4.0pp ≈ 4.2%/yr).</t>
      </text>
    </comment>
    <comment ref="H18" authorId="0" shapeId="0">
      <text>
        <t>Microsoft Office User:
Raised from 3%: Bear captures ~quarter of entry discount (+1.0pp) — lower entry = more downside cushion.</t>
      </text>
    </comment>
    <comment ref="I18" authorId="0" shapeId="0">
      <text>
        <t>Microsoft Office User:
Raised from 20%: TSMC-Shock +3.0pp — domestic forging capacity re-rates in a supply shock; entry discount mostly retained.</t>
      </text>
    </comment>
    <comment ref="B19" authorId="0" shapeId="0">
      <text>
        <t>Microsoft Office User:
PLACEHOLDER — no public valuation data found for Superior &amp; Grand Valley. $400M EV is an assumed mid-market forging mark; replace with actual data.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3429000" cy="2886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1E5A4D"/>
    <outlinePr summaryBelow="1" summaryRight="1"/>
    <pageSetUpPr fitToPage="1"/>
  </sheetPr>
  <dimension ref="A1:G42"/>
  <sheetViews>
    <sheetView showGridLines="0" tabSelected="1" zoomScale="10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24" customHeight="1">
      <c r="B25" s="188" t="inlineStr">
        <is>
          <t>LEVIATHAN CORE PRIVATE EQUITY HOLDCO (“LPEH”)</t>
        </is>
      </c>
    </row>
    <row r="26" ht="15" customHeight="1">
      <c r="B26" s="189" t="str">
        <f>"Internal IC planning model  ·  v3 optimised 02-Oct-2026  ·  "&amp;TEXT(Holdco_Size,"$#,##0")&amp;"M across three sub-vehicles  ·  USD millions"</f>
        <v>Internal IC planning model  ·  v3 optimised 02-Oct-2026  ·  $840M across three sub-vehicles  ·  USD millions</v>
      </c>
    </row>
    <row r="27" ht="15" customHeight="1">
      <c r="B27" s="190" t="str">
        <f>Checks!$B$3</f>
        <v>MODEL INTEGRITY: ALL 21 CHECKS PASS</v>
      </c>
    </row>
    <row r="28" ht="15" customHeight="1">
      <c r="B28" s="191" t="inlineStr">
        <is>
          <t>HIGHLY CONFIDENTIAL &amp; TRADE SECRET  ·  Miami · London · Zurich · Tokyo</t>
        </is>
      </c>
    </row>
    <row r="29" ht="15" customHeight="1"/>
    <row r="30" ht="15" customHeight="1">
      <c r="B30" s="192" t="inlineStr">
        <is>
          <t>NAVIGATION</t>
        </is>
      </c>
    </row>
    <row r="31" ht="15" customHeight="1">
      <c r="B31" s="193" t="inlineStr">
        <is>
          <t>Read Me</t>
        </is>
      </c>
      <c r="D31" s="194" t="inlineStr">
        <is>
          <t>How the model is wired, caveats, v3 change summary</t>
        </is>
      </c>
    </row>
    <row r="32" ht="15" customHeight="1">
      <c r="B32" s="193" t="inlineStr">
        <is>
          <t>Change Log</t>
        </is>
      </c>
      <c r="D32" s="194" t="inlineStr">
        <is>
          <t>Cell-level record of the optimisation pass</t>
        </is>
      </c>
    </row>
    <row r="33" ht="15" customHeight="1">
      <c r="B33" s="193" t="inlineStr">
        <is>
          <t>Checks</t>
        </is>
      </c>
      <c r="D33" s="194" t="inlineStr">
        <is>
          <t>Model integrity dashboard</t>
        </is>
      </c>
    </row>
    <row r="34" ht="15" customHeight="1">
      <c r="B34" s="193" t="inlineStr">
        <is>
          <t>IC Summary</t>
        </is>
      </c>
      <c r="D34" s="194" t="inlineStr">
        <is>
          <t>One-page holdco dashboard</t>
        </is>
      </c>
    </row>
    <row r="35" ht="15" customHeight="1">
      <c r="B35" s="193" t="inlineStr">
        <is>
          <t>Holdco Summary</t>
        </is>
      </c>
      <c r="D35" s="194" t="inlineStr">
        <is>
          <t>Tripartite roll-up and holdco waterfall</t>
        </is>
      </c>
    </row>
    <row r="36" ht="15" customHeight="1">
      <c r="B36" s="193" t="inlineStr">
        <is>
          <t>Assumptions</t>
        </is>
      </c>
      <c r="D36" s="194" t="inlineStr">
        <is>
          <t>Fund terms, hold levers, IQT-mirror entry marks</t>
        </is>
      </c>
    </row>
    <row r="37" ht="15" customHeight="1">
      <c r="B37" s="193" t="inlineStr">
        <is>
          <t>Defense Supercycle</t>
        </is>
      </c>
      <c r="D37" s="194" t="inlineStr">
        <is>
          <t>Strategic scoring and shock engine</t>
        </is>
      </c>
    </row>
    <row r="38" ht="15" customHeight="1">
      <c r="B38" s="193" t="inlineStr">
        <is>
          <t>Weapons Sleeve</t>
        </is>
      </c>
      <c r="D38" s="194" t="inlineStr">
        <is>
          <t>Defense sub-vehicle with munitions / FMS overlay</t>
        </is>
      </c>
    </row>
    <row r="39" ht="15" customHeight="1">
      <c r="B39" s="193" t="inlineStr">
        <is>
          <t>Consumer Sleeve</t>
        </is>
      </c>
      <c r="D39" s="194" t="inlineStr">
        <is>
          <t>Consumer sub-vehicle with cohort-exposure overlay</t>
        </is>
      </c>
    </row>
    <row r="40">
      <c r="B40" s="193" t="inlineStr">
        <is>
          <t>Sleeve Economics</t>
        </is>
      </c>
      <c r="D40" s="194" t="inlineStr">
        <is>
          <t>Gross-to-net by sub-vehicle and netting reconciliation</t>
        </is>
      </c>
    </row>
    <row r="41">
      <c r="B41" s="193" t="inlineStr">
        <is>
          <t>PME, DPI &amp; Sensitivity</t>
        </is>
      </c>
      <c r="D41" s="194" t="inlineStr">
        <is>
          <t>Public-market equivalents and shock pressure tests</t>
        </is>
      </c>
    </row>
    <row r="42">
      <c r="B42" s="193" t="inlineStr">
        <is>
          <t>Fact Sheet Data</t>
        </is>
      </c>
      <c r="D42" s="194" t="inlineStr">
        <is>
          <t>Every figure on the external fact sheet</t>
        </is>
      </c>
    </row>
  </sheetData>
  <mergeCells count="16">
    <mergeCell ref="D40:G40"/>
    <mergeCell ref="D41:G41"/>
    <mergeCell ref="D31:G31"/>
    <mergeCell ref="B28:G28"/>
    <mergeCell ref="D35:G35"/>
    <mergeCell ref="D36:G36"/>
    <mergeCell ref="D39:G39"/>
    <mergeCell ref="B27:G27"/>
    <mergeCell ref="B26:G26"/>
    <mergeCell ref="D32:G32"/>
    <mergeCell ref="D33:G33"/>
    <mergeCell ref="D34:G34"/>
    <mergeCell ref="D42:G42"/>
    <mergeCell ref="D37:G37"/>
    <mergeCell ref="D38:G38"/>
    <mergeCell ref="B25:G25"/>
  </mergeCells>
  <conditionalFormatting sqref="B27">
    <cfRule type="expression" priority="1" dxfId="0">
      <formula>ISNUMBER(SEARCH("FAILING",B27))</formula>
    </cfRule>
  </conditionalFormatting>
  <hyperlinks>
    <hyperlink ref="B31" location="'Read Me'!A1" display="Read Me"/>
    <hyperlink ref="B32" location="'Change Log'!A1" display="Change Log"/>
    <hyperlink ref="B33" location="'Checks'!A1" display="Checks"/>
    <hyperlink ref="B34" location="'IC Summary'!A1" display="IC Summary"/>
    <hyperlink ref="B35" location="'Holdco Summary'!A1" display="Holdco Summary"/>
    <hyperlink ref="B36" location="'Assumptions'!A1" display="Assumptions"/>
    <hyperlink ref="B37" location="'Defense Supercycle'!A1" display="Defense Supercycle"/>
    <hyperlink ref="B38" location="'Weapons Sleeve'!A1" display="Weapons Sleeve"/>
    <hyperlink ref="B39" location="'Consumer Sleeve'!A1" display="Consumer Sleeve"/>
    <hyperlink ref="B40" location="'Sleeve Economics'!A1" display="Sleeve Economics"/>
    <hyperlink ref="B41" location="'PME, DPI &amp; Sensitivity'!A1" display="PME, DPI &amp; Sensitivity"/>
    <hyperlink ref="B42" location="'Fact Sheet Data'!A1" display="Fact Sheet Data"/>
  </hyperlinks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B35"/>
  <sheetViews>
    <sheetView showGridLines="0" tabSelected="0" zoomScale="90" zoomScaleNormal="100" workbookViewId="0">
      <selection activeCell="A1" sqref="A1"/>
    </sheetView>
  </sheetViews>
  <sheetFormatPr baseColWidth="10" defaultColWidth="8.6640625" defaultRowHeight="15"/>
  <cols>
    <col width="2" customWidth="1" min="1" max="1"/>
    <col width="106" customWidth="1" min="2" max="2"/>
  </cols>
  <sheetData>
    <row r="1" ht="21.75" customHeight="1">
      <c r="A1" s="177" t="n"/>
      <c r="B1" s="2" t="inlineStr">
        <is>
          <t>LEVIATHAN FUND — CORE PE VEHICLE</t>
        </is>
      </c>
    </row>
    <row r="2" ht="30.75" customHeight="1">
      <c r="A2" s="177" t="n"/>
      <c r="B2" s="3" t="str">
        <f>"IQT-Backed Deep-Tech Acquisition-Stake Portfolio  |  "&amp;Hold_Short&amp;" / "&amp;Hold_Mid&amp;" / "&amp;Hold_Long&amp;"-Year Holds  |  Defense-Supercycle Overlay"</f>
        <v>IQT-Backed Deep-Tech Acquisition-Stake Portfolio  |  5 / 7 / 10-Year Holds  |  Defense-Supercycle Overlay</v>
      </c>
    </row>
    <row r="3" ht="15" customHeight="1">
      <c r="A3" s="177" t="n"/>
      <c r="B3" s="182" t="inlineStr">
        <is>
          <t>Anchored by Substrate, Inc.   ·   Prepared 22-Sep-2026   ·   v3 optimization pass 02-Oct-2026   ·   All figures USD millions unless noted</t>
        </is>
      </c>
    </row>
    <row r="4" ht="15" customHeight="1">
      <c r="A4" s="177" t="n"/>
      <c r="B4" s="177" t="n"/>
    </row>
    <row r="5" ht="15" customHeight="1">
      <c r="A5" s="177" t="n"/>
      <c r="B5" s="5" t="inlineStr">
        <is>
          <t>PURPOSE</t>
        </is>
      </c>
    </row>
    <row r="6" ht="78.75" customHeight="1">
      <c r="A6" s="177" t="n"/>
      <c r="B6" s="181" t="inlineStr">
        <is>
          <t>Leviathan's core PE holdco is an $840M vehicle across THREE sub-funds: IQT-mirror deep-tech ($250M), Weapons ($390M), and Consumer/Value ($200M). All three sleeves are modeled bottom-up from individual holdings — IQT-mirror (nine In-Q-Tel names), Weapons (nine physical-layer holdings, incl. The Ellwood Group and Superior &amp; Grand Valley for missile-procurement metal forging), Consumer/Value (nine DTC/spending-cycle names) — each across four scenarios, 5/7/10-yr holds, gross-to-net waterfall, and PME, and roll up to a blended holdco return on the Holdco Summary tab. Start there for the top-down view; the sleeve tabs hold the detail.</t>
        </is>
      </c>
    </row>
    <row r="7" ht="25.5" customHeight="1">
      <c r="A7" s="177" t="n"/>
      <c r="B7" s="182" t="inlineStr">
        <is>
          <t>Scope: Leviathan runs four vehicles (~$1.5B AUM total); this workbook models only the core PE holdco vehicle ($840M) and its equity targets — not the other three vehicles.</t>
        </is>
      </c>
    </row>
    <row r="8" ht="15" customHeight="1">
      <c r="A8" s="177" t="n"/>
      <c r="B8" s="7" t="inlineStr">
        <is>
          <t>THE DEFENSE-SUPERCYCLE THESIS (now wired into returns)</t>
        </is>
      </c>
    </row>
    <row r="9" ht="66" customHeight="1">
      <c r="A9" s="177" t="n"/>
      <c r="B9" s="181" t="inlineStr">
        <is>
          <t>The book is built to be long the US side of the AI / semiconductor race with China and structurally hedged against a Taiwan contingency or loss of TSMC access. The Defense Supercycle tab scores every name on five strategic axes — China-race criticality, Taiwan/TSMC-insulation value, government/defense embeddedness, CFIUS-clean US-sovereignty, and supply-chain chokepoint leverage. Those scores drive a composite, which drives each name's re-rating in the TSMC-Shock scenario. Change a score and the shock returns move.</t>
        </is>
      </c>
    </row>
    <row r="10" ht="15" customHeight="1">
      <c r="A10" s="177" t="n"/>
      <c r="B10" s="177" t="n"/>
    </row>
    <row r="11" ht="15" customHeight="1">
      <c r="A11" s="177" t="n"/>
      <c r="B11" s="5" t="inlineStr">
        <is>
          <t>HOW THE MODEL IS WIRED (edit blue cells only)</t>
        </is>
      </c>
    </row>
    <row r="12" ht="27.75" customHeight="1">
      <c r="A12" s="177" t="n"/>
      <c r="B12" s="95" t="inlineStr">
        <is>
          <t>• IC Summary — one-page holdco dashboard: net IRR / MOIC / proceeds / KS-PME by hold x scenario, sleeve gross MOIC, scenario weights and model integrity checks. Start here.
• Assumptions — fund terms + per-name entry marks, checks, ownership, and Base/Bull/Bear CAGRs. TSMC-Shock CAGR is computed from the Supercycle tab.</t>
        </is>
      </c>
    </row>
    <row r="13" ht="27.75" customHeight="1">
      <c r="A13" s="177" t="n"/>
      <c r="B13" s="181" t="inlineStr">
        <is>
          <t>• Defense Supercycle — strategic scoring matrix, axis weights, shock calibration levers, and the four scenario probability weights. This is the thesis engine.</t>
        </is>
      </c>
    </row>
    <row r="14" ht="15" customHeight="1">
      <c r="A14" s="177" t="n"/>
      <c r="B14" s="181" t="inlineStr">
        <is>
          <t>• Allocation — nine positions, tranche, ownership, domicile, structuring/CFIUS flags.</t>
        </is>
      </c>
    </row>
    <row r="15" ht="15" customHeight="1">
      <c r="A15" s="177" t="n"/>
      <c r="B15" s="181" t="inlineStr">
        <is>
          <t>• Portfolio Returns — per-name proceeds, MOIC, gross IRR for each hold x four scenarios.</t>
        </is>
      </c>
    </row>
    <row r="16" ht="27.75" customHeight="1">
      <c r="A16" s="177" t="n"/>
      <c r="B16" s="181" t="inlineStr">
        <is>
          <t>• Fund Economics — gross-&gt;net waterfall (2% fee, 8% pref, 20% carry) per vehicle x scenario, plus prob-weighted Expected.</t>
        </is>
      </c>
    </row>
    <row r="17" ht="15" customHeight="1">
      <c r="A17" s="177" t="n"/>
      <c r="B17" s="181" t="inlineStr">
        <is>
          <t>• Scenario Summary — dashboard across all vehicles, all four cases, and the Expected column.</t>
        </is>
      </c>
    </row>
    <row r="18" ht="15" customHeight="1">
      <c r="A18" s="177" t="n"/>
      <c r="B18" s="177" t="n"/>
    </row>
    <row r="19" ht="15" customHeight="1">
      <c r="A19" s="177" t="n"/>
      <c r="B19" s="5" t="inlineStr">
        <is>
          <t>RETURN &amp; SHOCK MECHANICS</t>
        </is>
      </c>
    </row>
    <row r="20" ht="66" customHeight="1">
      <c r="A20" s="177" t="n"/>
      <c r="B20" s="181" t="inlineStr">
        <is>
          <t>Proceeds = Check x (1 + CAGR)^Hold x Retention (IQT-mirror retention 0.85/0.78/0.68 and Weapons 0.92/0.88/0.82 at 5/7/10yr, for dilution net of the follow-on reserve). TSMC-Shock CAGR = Base CAGR + (Composite score − Pivot) x Premium-per-point. Weapons CAGRs additionally carry a Munitions/FMS overlay (Weapons Sleeve P4:V20): Adj. CAGR = input CAGR + exposure score (avg of munitions-shortage and FMS-backlog scores, 0-5) x uplift per point. Sovereign-chokepoint names (Substrate, EUV Tech, ThinTronics) re-rate up hard; TSMC-dependent / foreign-nexus names (EdgeCortix, DefendEye) get little or negative uplift. Expected = probability-weighted across the four scenarios.</t>
        </is>
      </c>
    </row>
    <row r="21" ht="15" customHeight="1">
      <c r="A21" s="177" t="n"/>
      <c r="B21" s="177" t="n"/>
    </row>
    <row r="22" ht="15" customHeight="1">
      <c r="A22" s="177" t="n"/>
      <c r="B22" s="8" t="inlineStr">
        <is>
          <t>KEY CAVEATS</t>
        </is>
      </c>
    </row>
    <row r="23" ht="40.5" customHeight="1">
      <c r="A23" s="177" t="n"/>
      <c r="B23" s="181" t="inlineStr">
        <is>
          <t>1. TSMC-Shock is a deliberately LOW-PROBABILITY TAIL (default 15%). Its high CAGRs compounded over 10yr produce very large multiples by design — the point is convexity to a decoupling / Taiwan event, not a base case. Keep the probability weight honest.</t>
        </is>
      </c>
    </row>
    <row r="24" ht="27.75" customHeight="1">
      <c r="A24" s="177" t="n"/>
      <c r="B24" s="181" t="inlineStr">
        <is>
          <t>2. Six of nine entry valuations are estimates (flagged in Assumptions); confirm via primary cap-table access.</t>
        </is>
      </c>
    </row>
    <row r="25" ht="27.75" customHeight="1">
      <c r="A25" s="177" t="n"/>
      <c r="B25" s="181" t="inlineStr">
        <is>
          <t>3. Strategic scores are judgment calls grounded in the research brief (IQT/DoD/DIU/DARPA/CHIPS backing, domicile, chokepoint role) — they are levers, not facts. Stress them.</t>
        </is>
      </c>
    </row>
    <row r="26" ht="40.5" customHeight="1">
      <c r="A26" s="177" t="n"/>
      <c r="B26" s="181" t="inlineStr">
        <is>
          <t>4. Domicile: EdgeCortix (Japan) &amp; Diraq (Australia) are allied-nation, minority-only; DefendEye (Polish mfg/EU cap table) needs Blue UAS/NDAA provenance work. The four US semis names are the CFIUS-clean sovereign core.</t>
        </is>
      </c>
    </row>
    <row r="27" ht="27.75" customHeight="1">
      <c r="A27" s="177" t="n"/>
      <c r="B27" s="181" t="inlineStr">
        <is>
          <t>5. Simplified whole-fund European waterfall (no GP catch-up). Not investment advice — an internal IC planning model.</t>
        </is>
      </c>
    </row>
    <row r="28"/>
    <row r="29">
      <c r="B29" s="195" t="inlineStr">
        <is>
          <t>v3 OPTIMIZATION PASS (02-Oct-2026) — WHAT CHANGED</t>
        </is>
      </c>
    </row>
    <row r="30" ht="40.5" customHeight="1">
      <c r="B30" s="196" t="inlineStr">
        <is>
          <t>• Named levers: Hold_Short / Hold_Mid / Hold_Long (Assumptions F5:F7), Mgmt_Fee, Carry, Pref, retention and scenario-probability names. Every hold exponent, fee-year multiplier, IRR root and block label now reads these — change a hold period once and the whole model follows.</t>
        </is>
      </c>
    </row>
    <row r="31" ht="40.5" customHeight="1">
      <c r="B31" s="196" t="inlineStr">
        <is>
          <t>• Checks tab: integrity dashboard (sizing identities, weight sums, retention monotonicity, two-way waterfall reconciliation, error scan). Status is mirrored at Holdco Summary!A3.</t>
        </is>
      </c>
    </row>
    <row r="32" ht="40.5" customHeight="1">
      <c r="B32" s="196" t="inlineStr">
        <is>
          <t>• Sleeve Economics tab: stand-alone gross-&gt;net waterfall for every sub-vehicle x hold x scenario, plus the cross-sleeve netting reconciliation to the holdco waterfall.</t>
        </is>
      </c>
    </row>
    <row r="33" ht="40.5" customHeight="1">
      <c r="B33" s="196" t="inlineStr">
        <is>
          <t>• Fact Sheet Data tab: every figure on the external fact sheet, live-linked, with holding-level sector / region / stage tags.</t>
        </is>
      </c>
    </row>
    <row r="34" ht="40.5" customHeight="1">
      <c r="B34" s="196" t="inlineStr">
        <is>
          <t>• Holdco Summary 'Expected' now probability-weights the NET waterfall (same method as Fund Economics). The old approach ran the waterfall on expected gross, which overstated expected net.</t>
        </is>
      </c>
    </row>
    <row r="35" ht="40.5" customHeight="1">
      <c r="B35" s="196" t="inlineStr">
        <is>
          <t>• All IRR / Direct-Alpha formulas are guarded: a wipe-out returns -100% rather than #NUM!. Stale sleeve CAGR memos replaced by live links. Redundant same-sheet references removed. See the Change Log tab for the cell-level list.</t>
        </is>
      </c>
    </row>
  </sheetData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E24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10" customWidth="1" min="4" max="4"/>
    <col width="44" customWidth="1" min="5" max="5"/>
  </cols>
  <sheetData>
    <row r="1">
      <c r="A1" s="197" t="inlineStr">
        <is>
          <t>CHANGE LOG — v3 OPTIMIZATION PASS (02-Oct-2026)</t>
        </is>
      </c>
    </row>
    <row r="2">
      <c r="A2" s="194" t="inlineStr">
        <is>
          <t>Cell-level record of every edit made by the optimization script. 'Value impact' flags the only places where numbers moved; everything else is structural and was verified cell-by-cell against the prior version after a full recalculation.</t>
        </is>
      </c>
    </row>
    <row r="3"/>
    <row r="4">
      <c r="A4" s="198" t="inlineStr">
        <is>
          <t>#</t>
        </is>
      </c>
      <c r="B4" s="198" t="inlineStr">
        <is>
          <t>Tab</t>
        </is>
      </c>
      <c r="C4" s="198" t="inlineStr">
        <is>
          <t>Range</t>
        </is>
      </c>
      <c r="D4" s="198" t="inlineStr">
        <is>
          <t>Change</t>
        </is>
      </c>
      <c r="E4" s="198" t="inlineStr">
        <is>
          <t>Value impact</t>
        </is>
      </c>
    </row>
    <row r="5" ht="27.75" customHeight="1">
      <c r="A5" s="199" t="n">
        <v>1</v>
      </c>
      <c r="B5" s="200" t="inlineStr">
        <is>
          <t>Assumptions</t>
        </is>
      </c>
      <c r="C5" s="200" t="inlineStr">
        <is>
          <t>A4</t>
        </is>
      </c>
      <c r="D5" s="201" t="inlineStr">
        <is>
          <t>Relabelled fund-terms block: these terms drive the holdco AND every sleeve waterfall, not just IQT.</t>
        </is>
      </c>
      <c r="E5" s="201" t="inlineStr">
        <is>
          <t>None</t>
        </is>
      </c>
    </row>
    <row r="6" ht="27.75" customHeight="1">
      <c r="A6" s="199" t="n">
        <v>2</v>
      </c>
      <c r="B6" s="200" t="inlineStr">
        <is>
          <t>Assumptions</t>
        </is>
      </c>
      <c r="C6" s="200" t="inlineStr">
        <is>
          <t>E4:G7</t>
        </is>
      </c>
      <c r="D6" s="201" t="inlineStr">
        <is>
          <t>NEW hold-period levers (5/7/10 yrs) with named ranges Hold_Short / Hold_Mid / Hold_Long. Every block header, hold exponent, fee-year multiplier and IRR root in the model now references these cells.</t>
        </is>
      </c>
      <c r="E6" s="201" t="inlineStr">
        <is>
          <t>None</t>
        </is>
      </c>
    </row>
    <row r="7" ht="27.75" customHeight="1">
      <c r="A7" s="199" t="n">
        <v>3</v>
      </c>
      <c r="B7" s="200" t="inlineStr">
        <is>
          <t>Assumptions</t>
        </is>
      </c>
      <c r="C7" s="200" t="inlineStr">
        <is>
          <t>A29</t>
        </is>
      </c>
      <c r="D7" s="201" t="inlineStr">
        <is>
          <t>NEW check: initial deployment + follow-on reserve must equal committed capital.</t>
        </is>
      </c>
      <c r="E7" s="201" t="inlineStr">
        <is>
          <t>None</t>
        </is>
      </c>
    </row>
    <row r="8" ht="54" customHeight="1">
      <c r="A8" s="199" t="n">
        <v>4</v>
      </c>
      <c r="B8" s="200" t="inlineStr">
        <is>
          <t>Workbook</t>
        </is>
      </c>
      <c r="C8" s="200" t="inlineStr">
        <is>
          <t>Defined names</t>
        </is>
      </c>
      <c r="D8" s="201" t="inlineStr">
        <is>
          <t>NEW named ranges for every lever: Hold_Short, Hold_Mid, Hold_Long, IQT_Committed, Mgmt_Fee, Carry, Pref, Ret_IQT_Short, Ret_IQT_Mid, Ret_IQT_Long, Ret_Wpn_Short, Ret_Wpn_Mid, Ret_Wpn_Long, Ret_Con_Short, Ret_Con_Mid, Ret_Con_Long, P_Base, P_Bull, P_Bear, P_Shock, Holdco_Size, IQT_Size, Wpn_Size, Con_Size, SPX_CAGR, NDX_CAGR, Basket_CAGR.</t>
        </is>
      </c>
      <c r="E8" s="201" t="inlineStr">
        <is>
          <t>None</t>
        </is>
      </c>
    </row>
    <row r="9" ht="27.75" customHeight="1">
      <c r="A9" s="199" t="n">
        <v>5</v>
      </c>
      <c r="B9" s="200" t="inlineStr">
        <is>
          <t>All tabs</t>
        </is>
      </c>
      <c r="C9" s="200" t="inlineStr">
        <is>
          <t>formulas</t>
        </is>
      </c>
      <c r="D9" s="201" t="inlineStr">
        <is>
          <t>Replaced 1424 repeated lever references with named ranges and removed 63 redundant same-sheet references (e.g. 'Holdco Summary'!$B$9 inside Holdco Summary). Pure readability; values unchanged.</t>
        </is>
      </c>
      <c r="E9" s="201" t="inlineStr">
        <is>
          <t>None</t>
        </is>
      </c>
    </row>
    <row r="10" ht="27.75" customHeight="1">
      <c r="A10" s="199" t="n">
        <v>6</v>
      </c>
      <c r="B10" s="200" t="inlineStr">
        <is>
          <t>PME, DPI &amp; Sensitivity</t>
        </is>
      </c>
      <c r="C10" s="200" t="inlineStr">
        <is>
          <t>B73:D73, B81:D81, B87:D94, B99:D100</t>
        </is>
      </c>
      <c r="D10" s="201" t="inlineStr">
        <is>
          <t>Holdco PME / sensitivity blocks and the Weapons PME hold-year inputs now read the Hold_* levers instead of hard-coded 5 / 7 / 10.</t>
        </is>
      </c>
      <c r="E10" s="201" t="inlineStr">
        <is>
          <t>None</t>
        </is>
      </c>
    </row>
    <row r="11" ht="40.5" customHeight="1">
      <c r="A11" s="199" t="n">
        <v>7</v>
      </c>
      <c r="B11" s="200" t="inlineStr">
        <is>
          <t>All model tabs</t>
        </is>
      </c>
      <c r="C11" s="200" t="inlineStr">
        <is>
          <t>hold blocks</t>
        </is>
      </c>
      <c r="D11" s="201" t="inlineStr">
        <is>
          <t>Rewrote 1062 hard-coded hold-period literals (^5, *7, (1/10) ...) to the Hold_Short / Hold_Mid / Hold_Long levers. Change a hold period once on Assumptions and every proceeds, pref, fee, IRR, PME and sensitivity formula follows.</t>
        </is>
      </c>
      <c r="E11" s="201" t="inlineStr">
        <is>
          <t>None</t>
        </is>
      </c>
    </row>
    <row r="12" ht="27.75" customHeight="1">
      <c r="A12" s="199" t="n">
        <v>8</v>
      </c>
      <c r="B12" s="200" t="inlineStr">
        <is>
          <t>All tabs</t>
        </is>
      </c>
      <c r="C12" s="200" t="inlineStr">
        <is>
          <t>section labels</t>
        </is>
      </c>
      <c r="D12" s="201" t="inlineStr">
        <is>
          <t>66 block headers / row labels that embedded '5-YEAR', '7-Year', 'Retention @ 10yr' etc. are now formulas driven by the hold levers, so labels can never drift from the maths.</t>
        </is>
      </c>
      <c r="E12" s="201" t="inlineStr">
        <is>
          <t>None</t>
        </is>
      </c>
    </row>
    <row r="13" ht="27.75" customHeight="1">
      <c r="A13" s="199" t="n">
        <v>9</v>
      </c>
      <c r="B13" s="200" t="inlineStr">
        <is>
          <t>All model tabs</t>
        </is>
      </c>
      <c r="C13" s="200" t="inlineStr">
        <is>
          <t>IRR / Direct Alpha cells</t>
        </is>
      </c>
      <c r="D13" s="201" t="inlineStr">
        <is>
          <t>Guarded 498 IRR and Direct-Alpha formulas: a wipe-out (net proceeds &lt;= 0) now returns -100% instead of #NUM!, so Expected columns and checks never break in a severe Bear case.</t>
        </is>
      </c>
      <c r="E13" s="201" t="inlineStr">
        <is>
          <t>None</t>
        </is>
      </c>
    </row>
    <row r="14" ht="27.75" customHeight="1">
      <c r="A14" s="199" t="n">
        <v>10</v>
      </c>
      <c r="B14" s="200" t="inlineStr">
        <is>
          <t>Holdco Summary</t>
        </is>
      </c>
      <c r="C14" s="200" t="inlineStr">
        <is>
          <t>A14:F19</t>
        </is>
      </c>
      <c r="D14" s="201" t="inlineStr">
        <is>
          <t>Stale hard-coded sleeve CAGR memos (Weapons 22/34/5/32%, Consumer 14/25/-10/-4%) replaced by live links to the bottom-up sleeve IRRs for all three sleeves; note moved to A19.</t>
        </is>
      </c>
      <c r="E14" s="201" t="inlineStr">
        <is>
          <t>Memo rows only</t>
        </is>
      </c>
    </row>
    <row r="15" ht="40.5" customHeight="1">
      <c r="A15" s="199" t="n">
        <v>11</v>
      </c>
      <c r="B15" s="200" t="inlineStr">
        <is>
          <t>Holdco Summary</t>
        </is>
      </c>
      <c r="C15" s="200" t="inlineStr">
        <is>
          <t>F32:F37, F53:F58, F74:F79</t>
        </is>
      </c>
      <c r="D15" s="201" t="inlineStr">
        <is>
          <t>Expected column now probability-weights each NET waterfall line (same method as Fund Economics / Scenario Summary). Rows F32/F33/F36 are constant across scenarios, F34/F35 were already weighted; the whole block is now written one way.</t>
        </is>
      </c>
      <c r="E15" s="201" t="inlineStr">
        <is>
          <t>None in this version (F34/F35 were already weighted); block is now uniformly weighted</t>
        </is>
      </c>
    </row>
    <row r="16" ht="27.75" customHeight="1">
      <c r="A16" s="199" t="n">
        <v>12</v>
      </c>
      <c r="B16" s="200" t="inlineStr">
        <is>
          <t>Holdco Summary</t>
        </is>
      </c>
      <c r="C16" s="200" t="inlineStr">
        <is>
          <t>A3</t>
        </is>
      </c>
      <c r="D16" s="201" t="inlineStr">
        <is>
          <t>Live model-integrity status pulled from the new Checks tab.</t>
        </is>
      </c>
      <c r="E16" s="201" t="inlineStr">
        <is>
          <t>None</t>
        </is>
      </c>
    </row>
    <row r="17" ht="54" customHeight="1">
      <c r="A17" s="199" t="n">
        <v>13</v>
      </c>
      <c r="B17" s="200" t="inlineStr">
        <is>
          <t>Consumer Sleeve</t>
        </is>
      </c>
      <c r="C17" s="200" t="inlineStr">
        <is>
          <t>P4:W20, hold blocks</t>
        </is>
      </c>
      <c r="D17" s="201" t="inlineStr">
        <is>
          <t>NEW demographic cohort-exposure overlay: three 0-5 TAM scores per name (prime-earning, entering-prime, retiring boomers), cohort weights, and per-scenario uplift per exposure point, producing adjusted CAGRs in T:W. 108 proceeds formulas now read the adjusted CAGRs, mirroring the Weapons munitions/FMS overlay.</t>
        </is>
      </c>
      <c r="E17" s="202" t="inlineStr">
        <is>
          <t>CHANGED: Consumer gross/net returns rise by the cohort uplift</t>
        </is>
      </c>
    </row>
    <row r="18" ht="40.5" customHeight="1">
      <c r="A18" s="199" t="n">
        <v>14</v>
      </c>
      <c r="B18" s="200" t="inlineStr">
        <is>
          <t>Sleeve Economics</t>
        </is>
      </c>
      <c r="C18" s="200" t="inlineStr">
        <is>
          <t>whole tab</t>
        </is>
      </c>
      <c r="D18" s="201" t="inlineStr">
        <is>
          <t>NEW tab: stand-alone gross-&gt;net waterfall for each sub-vehicle x hold x scenario (previously only the IQT sleeve had a net view), plus reconciliation of sum-of-sleeves vs the cross-collateralised holdco net. Feeds the fact sheet.</t>
        </is>
      </c>
      <c r="E18" s="201" t="inlineStr">
        <is>
          <t>None</t>
        </is>
      </c>
    </row>
    <row r="19" ht="27.75" customHeight="1">
      <c r="A19" s="199" t="n">
        <v>15</v>
      </c>
      <c r="B19" s="200" t="inlineStr">
        <is>
          <t>Fact Sheet Data</t>
        </is>
      </c>
      <c r="C19" s="200" t="inlineStr">
        <is>
          <t>whole tab</t>
        </is>
      </c>
      <c r="D19" s="201" t="inlineStr">
        <is>
          <t>NEW tab: every figure, breakdown and holding description used by the external fact sheet, live-linked to the model (sector / region / stage tags and one-line descriptions are blue inputs).</t>
        </is>
      </c>
      <c r="E19" s="201" t="inlineStr">
        <is>
          <t>None</t>
        </is>
      </c>
    </row>
    <row r="20" ht="27.75" customHeight="1">
      <c r="A20" s="199" t="n">
        <v>16</v>
      </c>
      <c r="B20" s="200" t="inlineStr">
        <is>
          <t>IC Summary</t>
        </is>
      </c>
      <c r="C20" s="200" t="inlineStr">
        <is>
          <t>A72:C72</t>
        </is>
      </c>
      <c r="D20" s="201" t="inlineStr">
        <is>
          <t>Holdco size target now reads the single target input on the Checks tab instead of a hard-coded 840.</t>
        </is>
      </c>
      <c r="E20" s="201" t="inlineStr">
        <is>
          <t>None</t>
        </is>
      </c>
    </row>
    <row r="21" ht="27.75" customHeight="1">
      <c r="A21" s="199" t="n">
        <v>17</v>
      </c>
      <c r="B21" s="200" t="inlineStr">
        <is>
          <t>Checks</t>
        </is>
      </c>
      <c r="C21" s="200" t="inlineStr">
        <is>
          <t>whole tab</t>
        </is>
      </c>
      <c r="D21" s="201" t="inlineStr">
        <is>
          <t>NEW tab: 21 integrity checks (sizing identities, weight sums, monotonic retention, two-way waterfall reconciliation, error scan). Overall status surfaces on Holdco Summary!A3.</t>
        </is>
      </c>
      <c r="E21" s="201" t="inlineStr">
        <is>
          <t>None</t>
        </is>
      </c>
    </row>
    <row r="24">
      <c r="A24" s="199" t="n">
        <v>19</v>
      </c>
      <c r="B24" s="200" t="inlineStr">
        <is>
          <t>Cover</t>
        </is>
      </c>
      <c r="C24" s="200" t="inlineStr">
        <is>
          <t>whole tab</t>
        </is>
      </c>
      <c r="D24" s="200" t="inlineStr">
        <is>
          <t>NEW cover sheet: Leviathan logo, vehicle title, live integrity status and hyperlinked tab navigation.</t>
        </is>
      </c>
      <c r="E24" s="200" t="inlineStr">
        <is>
          <t>None</t>
        </is>
      </c>
    </row>
  </sheetData>
  <printOptions horizontalCentered="1"/>
  <pageMargins left="0.75" right="0.75" top="1" bottom="1" header="0.5" footer="0.5"/>
  <pageSetup orientation="landscape" paperSize="1" fitToHeight="0" fitToWidth="1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D28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2" customWidth="1" min="3" max="3"/>
    <col width="60" customWidth="1" min="4" max="4"/>
  </cols>
  <sheetData>
    <row r="1">
      <c r="A1" s="197" t="inlineStr">
        <is>
          <t>MODEL INTEGRITY CHECKS</t>
        </is>
      </c>
    </row>
    <row r="2">
      <c r="A2" s="194" t="inlineStr">
        <is>
          <t>Every structural identity the model relies on. Status flows to Holdco Summary!A3. Blue = target input.</t>
        </is>
      </c>
    </row>
    <row r="3">
      <c r="A3" s="203" t="inlineStr">
        <is>
          <t>OVERALL STATUS</t>
        </is>
      </c>
      <c r="B3" s="204" t="str">
        <f>IF(COUNTIF(C8:C28,"ERROR")=0,"MODEL INTEGRITY: ALL "&amp;COUNTA(A8:A28)&amp;" CHECKS PASS","MODEL INTEGRITY: "&amp;COUNTIF(C8:C28,"ERROR")&amp;" OF "&amp;COUNTA(A8:A28)&amp;" CHECKS FAILING")</f>
        <v>MODEL INTEGRITY: ALL 21 CHECKS PASS</v>
      </c>
    </row>
    <row r="4"/>
    <row r="5">
      <c r="A5" s="200" t="inlineStr">
        <is>
          <t>Holdco target size ($M)</t>
        </is>
      </c>
      <c r="B5" s="205" t="n">
        <v>840</v>
      </c>
      <c r="D5" s="194" t="inlineStr">
        <is>
          <t>Sleeve sizes on Holdco Summary must add to this.</t>
        </is>
      </c>
    </row>
    <row r="6"/>
    <row r="7">
      <c r="A7" s="198" t="inlineStr">
        <is>
          <t>Check</t>
        </is>
      </c>
      <c r="B7" s="198" t="inlineStr">
        <is>
          <t>Value</t>
        </is>
      </c>
      <c r="C7" s="198" t="inlineStr">
        <is>
          <t>Status</t>
        </is>
      </c>
      <c r="D7" s="198" t="inlineStr">
        <is>
          <t>What it protects</t>
        </is>
      </c>
    </row>
    <row r="8">
      <c r="A8" s="200" t="inlineStr">
        <is>
          <t>Holdco sleeve sizes sum to target</t>
        </is>
      </c>
      <c r="B8" s="206">
        <f>Holdco_Size-$B$5</f>
        <v>0.0</v>
      </c>
      <c r="C8" s="207" t="str">
        <f>IF(ABS(B8)&lt;0.5,"OK","ERROR")</f>
        <v>OK</v>
      </c>
      <c r="D8" s="194" t="inlineStr">
        <is>
          <t>Holdco Summary B6:B9 vs target</t>
        </is>
      </c>
    </row>
    <row r="9">
      <c r="A9" s="200" t="inlineStr">
        <is>
          <t>IQT sleeve: checks sum to sleeve size</t>
        </is>
      </c>
      <c r="B9" s="206">
        <f>Assumptions!C27-IQT_Size</f>
        <v>0.0</v>
      </c>
      <c r="C9" s="207" t="str">
        <f>IF(ABS(B9)&lt;0.5,"OK","ERROR")</f>
        <v>OK</v>
      </c>
      <c r="D9" s="194" t="inlineStr">
        <is>
          <t>Assumptions C18:C26</t>
        </is>
      </c>
    </row>
    <row r="10">
      <c r="A10" s="200" t="inlineStr">
        <is>
          <t>Weapons sleeve: checks sum to sleeve size</t>
        </is>
      </c>
      <c r="B10" s="206">
        <f>'Weapons Sleeve'!C21-Wpn_Size</f>
        <v>0.0</v>
      </c>
      <c r="C10" s="207" t="str">
        <f>IF(ABS(B10)&lt;0.5,"OK","ERROR")</f>
        <v>OK</v>
      </c>
      <c r="D10" s="194" t="inlineStr">
        <is>
          <t>Weapons Sleeve C12:C18</t>
        </is>
      </c>
    </row>
    <row r="11">
      <c r="A11" s="200" t="inlineStr">
        <is>
          <t>Consumer sleeve: checks sum to sleeve size</t>
        </is>
      </c>
      <c r="B11" s="206">
        <f>'Consumer Sleeve'!C21-Con_Size</f>
        <v>0.0</v>
      </c>
      <c r="C11" s="207" t="str">
        <f>IF(ABS(B11)&lt;0.5,"OK","ERROR")</f>
        <v>OK</v>
      </c>
      <c r="D11" s="194" t="inlineStr">
        <is>
          <t>Consumer Sleeve C12:C20</t>
        </is>
      </c>
    </row>
    <row r="12">
      <c r="A12" s="200" t="inlineStr">
        <is>
          <t>IQT: initial deployment + reserve = committed</t>
        </is>
      </c>
      <c r="B12" s="206">
        <f>Assumptions!B6+Assumptions!B7-IQT_Committed</f>
        <v>0.0</v>
      </c>
      <c r="C12" s="207" t="str">
        <f>IF(ABS(B12)&lt;0.5,"OK","ERROR")</f>
        <v>OK</v>
      </c>
      <c r="D12" s="194" t="inlineStr">
        <is>
          <t>Assumptions B5:B7</t>
        </is>
      </c>
    </row>
    <row r="13">
      <c r="A13" s="200" t="inlineStr">
        <is>
          <t>Strategic axis weights sum to 100%</t>
        </is>
      </c>
      <c r="B13" s="208">
        <f>'Defense Supercycle'!B10</f>
        <v>1.0</v>
      </c>
      <c r="C13" s="207" t="str">
        <f>IF(ABS(B13-1)&lt;0.0001,"OK","ERROR")</f>
        <v>OK</v>
      </c>
      <c r="D13" s="194" t="inlineStr">
        <is>
          <t>Defense Supercycle B5:B9</t>
        </is>
      </c>
    </row>
    <row r="14">
      <c r="A14" s="200" t="inlineStr">
        <is>
          <t>Scenario probabilities sum to 100%</t>
        </is>
      </c>
      <c r="B14" s="208">
        <f>'Defense Supercycle'!B21</f>
        <v>1.0</v>
      </c>
      <c r="C14" s="207" t="str">
        <f>IF(ABS(B14-1)&lt;0.0001,"OK","ERROR")</f>
        <v>OK</v>
      </c>
      <c r="D14" s="194" t="inlineStr">
        <is>
          <t>Defense Supercycle B17:B20</t>
        </is>
      </c>
    </row>
    <row r="15">
      <c r="A15" s="200" t="inlineStr">
        <is>
          <t>Hold periods positive and strictly increasing</t>
        </is>
      </c>
      <c r="B15" s="209" t="str">
        <f>Hold_Short&amp;" &lt; "&amp;Hold_Mid&amp;" &lt; "&amp;Hold_Long</f>
        <v>5 &lt; 7 &lt; 10</v>
      </c>
      <c r="C15" s="207" t="str">
        <f>IF(AND(Hold_Short&gt;0,Hold_Mid&gt;Hold_Short,Hold_Long&gt;Hold_Mid),"OK","ERROR")</f>
        <v>OK</v>
      </c>
      <c r="D15" s="194" t="inlineStr">
        <is>
          <t>Assumptions F5:F7</t>
        </is>
      </c>
    </row>
    <row r="16">
      <c r="A16" s="200" t="inlineStr">
        <is>
          <t>IQT retention in (0,1] and non-increasing with hold</t>
        </is>
      </c>
      <c r="B16" s="209" t="str">
        <f>TEXT(Ret_IQT_Short,"0%")&amp;" ≥ "&amp;TEXT(Ret_IQT_Mid,"0%")&amp;" ≥ "&amp;TEXT(Ret_IQT_Long,"0%")</f>
        <v>85% ≥ 78% ≥ 68%</v>
      </c>
      <c r="C16" s="207" t="str">
        <f>IF(AND(Ret_IQT_Short&lt;=1,Ret_IQT_Short&gt;=Ret_IQT_Mid,Ret_IQT_Mid&gt;=Ret_IQT_Long,Ret_IQT_Long&gt;0),"OK","ERROR")</f>
        <v>OK</v>
      </c>
      <c r="D16" s="194" t="inlineStr">
        <is>
          <t>Assumptions B11:B13</t>
        </is>
      </c>
    </row>
    <row r="17">
      <c r="A17" s="200" t="inlineStr">
        <is>
          <t>Weapons retention in (0,1] and non-increasing with hold</t>
        </is>
      </c>
      <c r="B17" s="209" t="str">
        <f>TEXT(Ret_Wpn_Short,"0%")&amp;" ≥ "&amp;TEXT(Ret_Wpn_Mid,"0%")&amp;" ≥ "&amp;TEXT(Ret_Wpn_Long,"0%")</f>
        <v>92% ≥ 88% ≥ 82%</v>
      </c>
      <c r="C17" s="207" t="str">
        <f>IF(AND(Ret_Wpn_Short&lt;=1,Ret_Wpn_Short&gt;=Ret_Wpn_Mid,Ret_Wpn_Mid&gt;=Ret_Wpn_Long,Ret_Wpn_Long&gt;0),"OK","ERROR")</f>
        <v>OK</v>
      </c>
      <c r="D17" s="194" t="inlineStr">
        <is>
          <t>Weapons Sleeve B6:B8</t>
        </is>
      </c>
    </row>
    <row r="18">
      <c r="A18" s="200" t="inlineStr">
        <is>
          <t>Consumer retention in (0,1] and non-increasing with hold</t>
        </is>
      </c>
      <c r="B18" s="209" t="str">
        <f>TEXT(Ret_Con_Short,"0%")&amp;" ≥ "&amp;TEXT(Ret_Con_Mid,"0%")&amp;" ≥ "&amp;TEXT(Ret_Con_Long,"0%")</f>
        <v>90% ≥ 84% ≥ 75%</v>
      </c>
      <c r="C18" s="207" t="str">
        <f>IF(AND(Ret_Con_Short&lt;=1,Ret_Con_Short&gt;=Ret_Con_Mid,Ret_Con_Mid&gt;=Ret_Con_Long,Ret_Con_Long&gt;0),"OK","ERROR")</f>
        <v>OK</v>
      </c>
      <c r="D18" s="194" t="inlineStr">
        <is>
          <t>Consumer Sleeve B6:B8</t>
        </is>
      </c>
    </row>
    <row r="19">
      <c r="A19" s="200" t="inlineStr">
        <is>
          <t>Fee, carry and pref each within [0%, 100%)</t>
        </is>
      </c>
      <c r="B19" s="209" t="str">
        <f>TEXT(Mgmt_Fee,"0.0%")&amp;" / "&amp;TEXT(Carry,"0%")&amp;" / "&amp;TEXT(Pref,"0%")</f>
        <v>2.0% / 20% / 8%</v>
      </c>
      <c r="C19" s="207" t="str">
        <f>IF(AND(Mgmt_Fee&gt;=0,Mgmt_Fee&lt;1,Carry&gt;=0,Carry&lt;1,Pref&gt;=0,Pref&lt;1),"OK","ERROR")</f>
        <v>OK</v>
      </c>
      <c r="D19" s="194" t="inlineStr">
        <is>
          <t>Assumptions B8:B10</t>
        </is>
      </c>
    </row>
    <row r="20">
      <c r="A20" s="200" t="inlineStr">
        <is>
          <t>Allocation tab total = Assumptions deployed total</t>
        </is>
      </c>
      <c r="B20" s="206">
        <f>Allocation!B14-Assumptions!C27</f>
        <v>0.0</v>
      </c>
      <c r="C20" s="207" t="str">
        <f>IF(ABS(B20)&lt;0.5,"OK","ERROR")</f>
        <v>OK</v>
      </c>
      <c r="D20" s="194" t="inlineStr">
        <is>
          <t>Allocation B5:B14</t>
        </is>
      </c>
    </row>
    <row r="21">
      <c r="A21" s="200" t="inlineStr">
        <is>
          <t>IQT Clusters total = Assumptions deployed total</t>
        </is>
      </c>
      <c r="B21" s="206">
        <f>'IQT Clusters'!C10-Assumptions!C27</f>
        <v>0.0</v>
      </c>
      <c r="C21" s="207" t="str">
        <f>IF(ABS(B21)&lt;0.5,"OK","ERROR")</f>
        <v>OK</v>
      </c>
      <c r="D21" s="194" t="inlineStr">
        <is>
          <t>IQT Clusters C6:C10</t>
        </is>
      </c>
    </row>
    <row r="22">
      <c r="A22" s="200" t="inlineStr">
        <is>
          <t>Sleeve Economics IQT net = Fund Economics net (all holds, all cases)</t>
        </is>
      </c>
      <c r="B22" s="206">
        <f>SUMPRODUCT(ABS('Fund Economics'!B12:F12-'Sleeve Economics'!B12:F12))+SUMPRODUCT(ABS('Fund Economics'!B28:F28-'Sleeve Economics'!B29:F29))+SUMPRODUCT(ABS('Fund Economics'!B44:F44-'Sleeve Economics'!B46:F46))</f>
        <v>0.0</v>
      </c>
      <c r="C22" s="207" t="str">
        <f>IF(ABS(B22)&lt;0.01,"OK","ERROR")</f>
        <v>OK</v>
      </c>
      <c r="D22" s="194" t="inlineStr">
        <is>
          <t>Two independent waterfalls of the same sleeve must agree</t>
        </is>
      </c>
    </row>
    <row r="23">
      <c r="A23" s="200" t="inlineStr">
        <is>
          <t>Holdco gross proceeds = sum of sleeve gross (all holds, all cases)</t>
        </is>
      </c>
      <c r="B23" s="206">
        <f>SUMPRODUCT(ABS('Holdco Summary'!B31:F31-('Sleeve Economics'!B6:F6+'Sleeve Economics'!H6:L6+'Sleeve Economics'!N6:R6)))+SUMPRODUCT(ABS('Holdco Summary'!B52:F52-('Sleeve Economics'!B23:F23+'Sleeve Economics'!H23:L23+'Sleeve Economics'!N23:R23)))+SUMPRODUCT(ABS('Holdco Summary'!B73:F73-('Sleeve Economics'!B40:F40+'Sleeve Economics'!H40:L40+'Sleeve Economics'!N40:R40)))</f>
        <v>0.0</v>
      </c>
      <c r="C23" s="207" t="str">
        <f>IF(ABS(B23)&lt;0.01,"OK","ERROR")</f>
        <v>OK</v>
      </c>
      <c r="D23" s="194" t="inlineStr">
        <is>
          <t>Roll-up links point at the right sleeve rows</t>
        </is>
      </c>
    </row>
    <row r="24">
      <c r="A24" s="200" t="inlineStr">
        <is>
          <t>Fact-sheet holdings register sums to holdco size</t>
        </is>
      </c>
      <c r="B24" s="206">
        <f>'Fact Sheet Data'!C85-Holdco_Size</f>
        <v>0.0</v>
      </c>
      <c r="C24" s="207" t="str">
        <f>IF(ABS(B24)&lt;0.5,"OK","ERROR")</f>
        <v>OK</v>
      </c>
      <c r="D24" s="194" t="inlineStr">
        <is>
          <t>Every holding is tagged exactly once</t>
        </is>
      </c>
    </row>
    <row r="25">
      <c r="A25" s="200" t="inlineStr">
        <is>
          <t>Fact-sheet breakdowns each sum to 100%</t>
        </is>
      </c>
      <c r="B25" s="208">
        <f>ABS('Fact Sheet Data'!C92-1)+ABS('Fact Sheet Data'!C106-1)+ABS('Fact Sheet Data'!C114-1)+ABS('Fact Sheet Data'!C123-1)</f>
        <v>1.1102230246251565e-16</v>
      </c>
      <c r="C25" s="207" t="str">
        <f>IF(ABS(B25)&lt;0.0001,"OK","ERROR")</f>
        <v>OK</v>
      </c>
      <c r="D25" s="194" t="inlineStr">
        <is>
          <t>No untagged / mistyped sector, region or stage</t>
        </is>
      </c>
    </row>
    <row r="26">
      <c r="A26" s="200" t="inlineStr">
        <is>
          <t>Consumer cohort weights sum to 100%</t>
        </is>
      </c>
      <c r="B26" s="208">
        <f>'Consumer Sleeve'!T8</f>
        <v>1.0</v>
      </c>
      <c r="C26" s="207" t="str">
        <f>IF(ABS(B26-1)&lt;0.0001,"OK","ERROR")</f>
        <v>OK</v>
      </c>
      <c r="D26" s="194" t="inlineStr">
        <is>
          <t>Consumer Sleeve T5:T7</t>
        </is>
      </c>
    </row>
    <row r="27">
      <c r="A27" s="200" t="inlineStr">
        <is>
          <t>IC Summary integrity block reports ALL PASS</t>
        </is>
      </c>
      <c r="B27" s="209" t="str">
        <f>'IC Summary'!D80</f>
        <v>ALL PASS</v>
      </c>
      <c r="C27" s="207" t="str">
        <f>IF(B27="ALL PASS","OK","ERROR")</f>
        <v>OK</v>
      </c>
      <c r="D27" s="194" t="inlineStr">
        <is>
          <t>The pre-existing 8-check block on IC Summary</t>
        </is>
      </c>
    </row>
    <row r="28">
      <c r="A28" s="200" t="inlineStr">
        <is>
          <t>No formula errors on output tabs</t>
        </is>
      </c>
      <c r="B28" s="210">
        <f>SUMPRODUCT(ISERROR('Holdco Summary'!B28:F86)*1)+SUMPRODUCT(ISERROR('Fund Economics'!B6:F49)*1)+SUMPRODUCT(ISERROR('Sleeve Economics'!B6:R53)*1)+SUMPRODUCT(ISERROR('Scenario Summary'!B6:F22)*1)+SUMPRODUCT(ISERROR('PME, DPI &amp; Sensitivity'!B13:F69)*1)+SUMPRODUCT(ISERROR('Fact Sheet Data'!B5:N143)*1)+SUMPRODUCT(ISERROR('IC Summary'!B6:F81)*1)</f>
        <v>0.0</v>
      </c>
      <c r="C28" s="207" t="str">
        <f>IF(B28=0,"OK","ERROR")</f>
        <v>OK</v>
      </c>
      <c r="D28" s="194" t="inlineStr">
        <is>
          <t>Count of #DIV/0!, #NUM!, #REF! etc. across all output ranges</t>
        </is>
      </c>
    </row>
  </sheetData>
  <conditionalFormatting sqref="C8:C28">
    <cfRule type="cellIs" priority="1" operator="equal" dxfId="1">
      <formula>"ERROR"</formula>
    </cfRule>
    <cfRule type="cellIs" priority="2" operator="equal" dxfId="2">
      <formula>"OK"</formula>
    </cfRule>
  </conditionalFormatting>
  <conditionalFormatting sqref="B3">
    <cfRule type="expression" priority="3" dxfId="0">
      <formula>ISNUMBER(SEARCH("FAILING",B3))</formula>
    </cfRule>
  </conditionalFormatting>
  <printOptions horizontalCentered="1"/>
  <pageMargins left="0.75" right="0.75" top="1" bottom="1" header="0.5" footer="0.5"/>
  <pageSetup orientation="landscape" paperSize="1" fitToHeight="0" fitToWidth="1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G87"/>
  <sheetViews>
    <sheetView showGridLines="0"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10" defaultColWidth="8.83203125" defaultRowHeight="15"/>
  <cols>
    <col width="44" customWidth="1" min="1" max="1"/>
    <col width="13" customWidth="1" min="2" max="7"/>
  </cols>
  <sheetData>
    <row r="1" ht="19" customHeight="1">
      <c r="A1" s="96" t="inlineStr">
        <is>
          <t>LEVIATHAN CORE PE HOLDCO — IC SUMMARY</t>
        </is>
      </c>
      <c r="B1" s="177" t="n"/>
      <c r="C1" s="177" t="n"/>
      <c r="D1" s="177" t="n"/>
      <c r="E1" s="177" t="n"/>
      <c r="F1" s="177" t="n"/>
      <c r="G1" s="177" t="n"/>
    </row>
    <row r="2" ht="26" customHeight="1">
      <c r="A2" s="178" t="inlineStr">
        <is>
          <t>$840M tripartite holdco (IQT-mirror / Weapons / Consumer-Value). USD $M. Expected = probability-weighted across Base/Bull/Bear/TSMC-Shock (weights on Defense Supercycle tab). Every figure links live to the model — no inputs on this page.</t>
        </is>
      </c>
    </row>
    <row r="3">
      <c r="A3" s="177" t="n"/>
      <c r="B3" s="177" t="n"/>
      <c r="C3" s="177" t="n"/>
      <c r="D3" s="177" t="n"/>
      <c r="E3" s="177" t="n"/>
      <c r="F3" s="177" t="n"/>
      <c r="G3" s="177" t="n"/>
    </row>
    <row r="4">
      <c r="A4" s="97" t="str">
        <f>"HEADLINE — RECOMMENDED "&amp;Hold_Mid&amp;"-YEAR VEHICLE (Expected case, net to LP)"</f>
        <v>HEADLINE — RECOMMENDED 7-YEAR VEHICLE (Expected case, net to LP)</v>
      </c>
      <c r="B4" s="98" t="n"/>
      <c r="C4" s="98" t="n"/>
      <c r="D4" s="98" t="n"/>
      <c r="E4" s="98" t="n"/>
      <c r="F4" s="98" t="n"/>
      <c r="G4" s="98" t="n"/>
    </row>
    <row r="5">
      <c r="A5" s="99" t="inlineStr">
        <is>
          <t>Metric</t>
        </is>
      </c>
      <c r="B5" s="100" t="inlineStr">
        <is>
          <t>Net IRR</t>
        </is>
      </c>
      <c r="C5" s="100" t="inlineStr">
        <is>
          <t>Net MOIC</t>
        </is>
      </c>
      <c r="D5" s="100" t="inlineStr">
        <is>
          <t>Net proceeds</t>
        </is>
      </c>
      <c r="E5" s="100" t="inlineStr">
        <is>
          <t>KS-PME basket</t>
        </is>
      </c>
      <c r="F5" s="100" t="inlineStr">
        <is>
          <t>KS-PME SPX</t>
        </is>
      </c>
      <c r="G5" s="100" t="n"/>
    </row>
    <row r="6">
      <c r="A6" s="101" t="inlineStr">
        <is>
          <t>Holdco — 7-yr, probability-weighted</t>
        </is>
      </c>
      <c r="B6" s="102">
        <f>'Holdco Summary'!F61</f>
        <v>0.19871157976278053</v>
      </c>
      <c r="C6" s="103">
        <f>'Holdco Summary'!F59</f>
        <v>3.5563369736756427</v>
      </c>
      <c r="D6" s="104">
        <f>'Holdco Summary'!F58</f>
        <v>2987.32305788754</v>
      </c>
      <c r="E6" s="103">
        <f>'Holdco Summary'!F64</f>
        <v>1.3369587948526704</v>
      </c>
      <c r="F6" s="103">
        <f>'Holdco Summary'!F62</f>
        <v>1.9454381108030232</v>
      </c>
      <c r="G6" s="177" t="n"/>
    </row>
    <row r="7">
      <c r="A7" s="177" t="n"/>
      <c r="B7" s="177" t="n"/>
      <c r="C7" s="177" t="n"/>
      <c r="D7" s="177" t="n"/>
      <c r="E7" s="177" t="n"/>
      <c r="F7" s="177" t="n"/>
      <c r="G7" s="177" t="n"/>
    </row>
    <row r="8">
      <c r="A8" s="97" t="inlineStr">
        <is>
          <t>HOLDCO NET IRR TO LP</t>
        </is>
      </c>
      <c r="B8" s="98" t="n"/>
      <c r="C8" s="98" t="n"/>
      <c r="D8" s="98" t="n"/>
      <c r="E8" s="98" t="n"/>
      <c r="F8" s="98" t="n"/>
      <c r="G8" s="98" t="n"/>
    </row>
    <row r="9">
      <c r="A9" s="99" t="inlineStr">
        <is>
          <t>Vehicle</t>
        </is>
      </c>
      <c r="B9" s="100" t="inlineStr">
        <is>
          <t>Base</t>
        </is>
      </c>
      <c r="C9" s="100" t="inlineStr">
        <is>
          <t>Bull</t>
        </is>
      </c>
      <c r="D9" s="100" t="inlineStr">
        <is>
          <t>Bear</t>
        </is>
      </c>
      <c r="E9" s="100" t="inlineStr">
        <is>
          <t>TSMC-Shock</t>
        </is>
      </c>
      <c r="F9" s="100" t="inlineStr">
        <is>
          <t>Expected</t>
        </is>
      </c>
      <c r="G9" s="100" t="n"/>
    </row>
    <row r="10">
      <c r="A10" s="105" t="str">
        <f>Hold_Short&amp;"-Year Hold"</f>
        <v>5-Year Hold</v>
      </c>
      <c r="B10" s="106">
        <f>'Holdco Summary'!B40</f>
        <v>0.16099973382536192</v>
      </c>
      <c r="C10" s="106">
        <f>'Holdco Summary'!C40</f>
        <v>0.2803238067474392</v>
      </c>
      <c r="D10" s="106">
        <f>'Holdco Summary'!D40</f>
        <v>-0.04735161352187878</v>
      </c>
      <c r="E10" s="106">
        <f>'Holdco Summary'!E40</f>
        <v>0.2140523306613249</v>
      </c>
      <c r="F10" s="102">
        <f>'Holdco Summary'!F40</f>
        <v>0.18357542772384994</v>
      </c>
      <c r="G10" s="177" t="n"/>
    </row>
    <row r="11">
      <c r="A11" s="105" t="str">
        <f>Hold_Mid&amp;"-Year Hold"</f>
        <v>7-Year Hold</v>
      </c>
      <c r="B11" s="106">
        <f>'Holdco Summary'!B61</f>
        <v>0.16509984373594033</v>
      </c>
      <c r="C11" s="106">
        <f>'Holdco Summary'!C61</f>
        <v>0.28959836332037137</v>
      </c>
      <c r="D11" s="106">
        <f>'Holdco Summary'!D61</f>
        <v>-0.04437516540221775</v>
      </c>
      <c r="E11" s="106">
        <f>'Holdco Summary'!E61</f>
        <v>0.23378366545587115</v>
      </c>
      <c r="F11" s="102">
        <f>'Holdco Summary'!F61</f>
        <v>0.19871157976278053</v>
      </c>
      <c r="G11" s="177" t="n"/>
    </row>
    <row r="12">
      <c r="A12" s="105" t="str">
        <f>Hold_Long&amp;"-Year Hold"</f>
        <v>10-Year Hold</v>
      </c>
      <c r="B12" s="106">
        <f>'Holdco Summary'!B82</f>
        <v>0.17091165877931425</v>
      </c>
      <c r="C12" s="106">
        <f>'Holdco Summary'!C82</f>
        <v>0.3012918528810544</v>
      </c>
      <c r="D12" s="106">
        <f>'Holdco Summary'!D82</f>
        <v>-0.03972222727774388</v>
      </c>
      <c r="E12" s="106">
        <f>'Holdco Summary'!E82</f>
        <v>0.2566415477041235</v>
      </c>
      <c r="F12" s="102">
        <f>'Holdco Summary'!F82</f>
        <v>0.21881304348201125</v>
      </c>
      <c r="G12" s="177" t="n"/>
    </row>
    <row r="13">
      <c r="A13" s="177" t="n"/>
      <c r="B13" s="177" t="n"/>
      <c r="C13" s="177" t="n"/>
      <c r="D13" s="177" t="n"/>
      <c r="E13" s="177" t="n"/>
      <c r="F13" s="177" t="n"/>
      <c r="G13" s="177" t="n"/>
    </row>
    <row r="14">
      <c r="A14" s="97" t="inlineStr">
        <is>
          <t>HOLDCO NET MOIC TO LP</t>
        </is>
      </c>
      <c r="B14" s="98" t="n"/>
      <c r="C14" s="98" t="n"/>
      <c r="D14" s="98" t="n"/>
      <c r="E14" s="98" t="n"/>
      <c r="F14" s="98" t="n"/>
      <c r="G14" s="98" t="n"/>
    </row>
    <row r="15">
      <c r="A15" s="99" t="inlineStr">
        <is>
          <t>Vehicle</t>
        </is>
      </c>
      <c r="B15" s="100" t="inlineStr">
        <is>
          <t>Base</t>
        </is>
      </c>
      <c r="C15" s="100" t="inlineStr">
        <is>
          <t>Bull</t>
        </is>
      </c>
      <c r="D15" s="100" t="inlineStr">
        <is>
          <t>Bear</t>
        </is>
      </c>
      <c r="E15" s="100" t="inlineStr">
        <is>
          <t>TSMC-Shock</t>
        </is>
      </c>
      <c r="F15" s="100" t="inlineStr">
        <is>
          <t>Expected</t>
        </is>
      </c>
      <c r="G15" s="100" t="n"/>
    </row>
    <row r="16">
      <c r="A16" s="105" t="str">
        <f>Hold_Short&amp;"-Year Hold"</f>
        <v>5-Year Hold</v>
      </c>
      <c r="B16" s="107">
        <f>'Holdco Summary'!B38</f>
        <v>2.109408058771359</v>
      </c>
      <c r="C16" s="107">
        <f>'Holdco Summary'!C38</f>
        <v>3.440322096832419</v>
      </c>
      <c r="D16" s="107">
        <f>'Holdco Summary'!D38</f>
        <v>0.7846268779351523</v>
      </c>
      <c r="E16" s="107">
        <f>'Holdco Summary'!E38</f>
        <v>2.637467004147133</v>
      </c>
      <c r="F16" s="103">
        <f>'Holdco Summary'!F38</f>
        <v>2.322628232967559</v>
      </c>
      <c r="G16" s="177" t="n"/>
    </row>
    <row r="17">
      <c r="A17" s="105" t="str">
        <f>Hold_Mid&amp;"-Year Hold"</f>
        <v>7-Year Hold</v>
      </c>
      <c r="B17" s="107">
        <f>'Holdco Summary'!B59</f>
        <v>2.914352018147445</v>
      </c>
      <c r="C17" s="107">
        <f>'Holdco Summary'!C59</f>
        <v>5.931729157874702</v>
      </c>
      <c r="D17" s="107">
        <f>'Holdco Summary'!D59</f>
        <v>0.7277999025715617</v>
      </c>
      <c r="E17" s="107">
        <f>'Holdco Summary'!E59</f>
        <v>4.351841937699222</v>
      </c>
      <c r="F17" s="103">
        <f>'Holdco Summary'!F59</f>
        <v>3.5563369736756427</v>
      </c>
      <c r="G17" s="177" t="n"/>
    </row>
    <row r="18">
      <c r="A18" s="105" t="str">
        <f>Hold_Long&amp;"-Year Hold"</f>
        <v>10-Year Hold</v>
      </c>
      <c r="B18" s="107">
        <f>'Holdco Summary'!B80</f>
        <v>4.8444145848547375</v>
      </c>
      <c r="C18" s="107">
        <f>'Holdco Summary'!C80</f>
        <v>13.9234579537196</v>
      </c>
      <c r="D18" s="107">
        <f>'Holdco Summary'!D80</f>
        <v>0.6667588131916131</v>
      </c>
      <c r="E18" s="107">
        <f>'Holdco Summary'!E80</f>
        <v>9.820060078063939</v>
      </c>
      <c r="F18" s="103">
        <f>'Holdco Summary'!F80</f>
        <v>7.233873885302865</v>
      </c>
      <c r="G18" s="177" t="n"/>
    </row>
    <row r="19">
      <c r="A19" s="177" t="n"/>
      <c r="B19" s="177" t="n"/>
      <c r="C19" s="177" t="n"/>
      <c r="D19" s="177" t="n"/>
      <c r="E19" s="177" t="n"/>
      <c r="F19" s="177" t="n"/>
      <c r="G19" s="177" t="n"/>
    </row>
    <row r="20">
      <c r="A20" s="97" t="inlineStr">
        <is>
          <t>HOLDCO NET PROCEEDS TO LP ($M)</t>
        </is>
      </c>
      <c r="B20" s="98" t="n"/>
      <c r="C20" s="98" t="n"/>
      <c r="D20" s="98" t="n"/>
      <c r="E20" s="98" t="n"/>
      <c r="F20" s="98" t="n"/>
      <c r="G20" s="98" t="n"/>
    </row>
    <row r="21">
      <c r="A21" s="99" t="inlineStr">
        <is>
          <t>Vehicle</t>
        </is>
      </c>
      <c r="B21" s="100" t="inlineStr">
        <is>
          <t>Base</t>
        </is>
      </c>
      <c r="C21" s="100" t="inlineStr">
        <is>
          <t>Bull</t>
        </is>
      </c>
      <c r="D21" s="100" t="inlineStr">
        <is>
          <t>Bear</t>
        </is>
      </c>
      <c r="E21" s="100" t="inlineStr">
        <is>
          <t>TSMC-Shock</t>
        </is>
      </c>
      <c r="F21" s="100" t="inlineStr">
        <is>
          <t>Expected</t>
        </is>
      </c>
      <c r="G21" s="100" t="n"/>
    </row>
    <row r="22">
      <c r="A22" s="105" t="str">
        <f>Hold_Short&amp;"-Year Hold"</f>
        <v>5-Year Hold</v>
      </c>
      <c r="B22" s="108">
        <f>'Holdco Summary'!B37</f>
        <v>1771.9027693679416</v>
      </c>
      <c r="C22" s="108">
        <f>'Holdco Summary'!C37</f>
        <v>2889.870561339232</v>
      </c>
      <c r="D22" s="108">
        <f>'Holdco Summary'!D37</f>
        <v>659.086577465528</v>
      </c>
      <c r="E22" s="108">
        <f>'Holdco Summary'!E37</f>
        <v>2215.4722834835916</v>
      </c>
      <c r="F22" s="104">
        <f>'Holdco Summary'!F37</f>
        <v>1951.0077156927496</v>
      </c>
      <c r="G22" s="177" t="n"/>
    </row>
    <row r="23">
      <c r="A23" s="105" t="str">
        <f>Hold_Mid&amp;"-Year Hold"</f>
        <v>7-Year Hold</v>
      </c>
      <c r="B23" s="108">
        <f>'Holdco Summary'!B58</f>
        <v>2448.0556952438537</v>
      </c>
      <c r="C23" s="108">
        <f>'Holdco Summary'!C58</f>
        <v>4982.6524926147495</v>
      </c>
      <c r="D23" s="108">
        <f>'Holdco Summary'!D58</f>
        <v>611.3519181601118</v>
      </c>
      <c r="E23" s="108">
        <f>'Holdco Summary'!E58</f>
        <v>3655.547227667346</v>
      </c>
      <c r="F23" s="104">
        <f>'Holdco Summary'!F58</f>
        <v>2987.32305788754</v>
      </c>
      <c r="G23" s="177" t="n"/>
    </row>
    <row r="24">
      <c r="A24" s="105" t="str">
        <f>Hold_Long&amp;"-Year Hold"</f>
        <v>10-Year Hold</v>
      </c>
      <c r="B24" s="108">
        <f>'Holdco Summary'!B79</f>
        <v>4069.3082512779793</v>
      </c>
      <c r="C24" s="108">
        <f>'Holdco Summary'!C79</f>
        <v>11695.704681124464</v>
      </c>
      <c r="D24" s="108">
        <f>'Holdco Summary'!D79</f>
        <v>560.077403080955</v>
      </c>
      <c r="E24" s="108">
        <f>'Holdco Summary'!E79</f>
        <v>8248.850465573709</v>
      </c>
      <c r="F24" s="104">
        <f>'Holdco Summary'!F79</f>
        <v>6076.454063654406</v>
      </c>
      <c r="G24" s="177" t="n"/>
    </row>
    <row r="25">
      <c r="A25" s="177" t="n"/>
      <c r="B25" s="177" t="n"/>
      <c r="C25" s="177" t="n"/>
      <c r="D25" s="177" t="n"/>
      <c r="E25" s="177" t="n"/>
      <c r="F25" s="177" t="n"/>
      <c r="G25" s="177" t="n"/>
    </row>
    <row r="26">
      <c r="A26" s="97" t="inlineStr">
        <is>
          <t>KS-PME vs DEFENSE+SEMIS BASKET (&gt;1.00x = beat the thematic ETFs)</t>
        </is>
      </c>
      <c r="B26" s="98" t="n"/>
      <c r="C26" s="98" t="n"/>
      <c r="D26" s="98" t="n"/>
      <c r="E26" s="98" t="n"/>
      <c r="F26" s="98" t="n"/>
      <c r="G26" s="98" t="n"/>
    </row>
    <row r="27">
      <c r="A27" s="99" t="inlineStr">
        <is>
          <t>Vehicle</t>
        </is>
      </c>
      <c r="B27" s="100" t="inlineStr">
        <is>
          <t>Base</t>
        </is>
      </c>
      <c r="C27" s="100" t="inlineStr">
        <is>
          <t>Bull</t>
        </is>
      </c>
      <c r="D27" s="100" t="inlineStr">
        <is>
          <t>Bear</t>
        </is>
      </c>
      <c r="E27" s="100" t="inlineStr">
        <is>
          <t>TSMC-Shock</t>
        </is>
      </c>
      <c r="F27" s="100" t="inlineStr">
        <is>
          <t>Expected</t>
        </is>
      </c>
      <c r="G27" s="100" t="n"/>
    </row>
    <row r="28">
      <c r="A28" s="105" t="str">
        <f>Hold_Short&amp;"-Year Hold"</f>
        <v>5-Year Hold</v>
      </c>
      <c r="B28" s="107">
        <f>'Holdco Summary'!B43</f>
        <v>1.0487486120718474</v>
      </c>
      <c r="C28" s="107">
        <f>'Holdco Summary'!C43</f>
        <v>1.7104481084777092</v>
      </c>
      <c r="D28" s="107">
        <f>'Holdco Summary'!D43</f>
        <v>0.3900982295990888</v>
      </c>
      <c r="E28" s="107">
        <f>'Holdco Summary'!E43</f>
        <v>1.3112872345788327</v>
      </c>
      <c r="F28" s="103">
        <f>'Holdco Summary'!F43</f>
        <v>1.1547567221784467</v>
      </c>
      <c r="G28" s="177" t="n"/>
    </row>
    <row r="29">
      <c r="A29" s="105" t="str">
        <f>Hold_Mid&amp;"-Year Hold"</f>
        <v>7-Year Hold</v>
      </c>
      <c r="B29" s="107">
        <f>'Holdco Summary'!B64</f>
        <v>1.0956128709962416</v>
      </c>
      <c r="C29" s="107">
        <f>'Holdco Summary'!C64</f>
        <v>2.2299567012369144</v>
      </c>
      <c r="D29" s="107">
        <f>'Holdco Summary'!D64</f>
        <v>0.2736069410290681</v>
      </c>
      <c r="E29" s="107">
        <f>'Holdco Summary'!E64</f>
        <v>1.636018576271821</v>
      </c>
      <c r="F29" s="103">
        <f>'Holdco Summary'!F64</f>
        <v>1.3369587948526704</v>
      </c>
      <c r="G29" s="177" t="n"/>
    </row>
    <row r="30">
      <c r="A30" s="105" t="str">
        <f>Hold_Long&amp;"-Year Hold"</f>
        <v>10-Year Hold</v>
      </c>
      <c r="B30" s="107">
        <f>'Holdco Summary'!B85</f>
        <v>1.197465195489799</v>
      </c>
      <c r="C30" s="107">
        <f>'Holdco Summary'!C85</f>
        <v>3.441665862490335</v>
      </c>
      <c r="D30" s="107">
        <f>'Holdco Summary'!D85</f>
        <v>0.16481258129293294</v>
      </c>
      <c r="E30" s="107">
        <f>'Holdco Summary'!E85</f>
        <v>2.427368664495302</v>
      </c>
      <c r="F30" s="103">
        <f>'Holdco Summary'!F85</f>
        <v>1.7881029904612287</v>
      </c>
      <c r="G30" s="177" t="n"/>
    </row>
    <row r="31">
      <c r="A31" s="177" t="n"/>
      <c r="B31" s="177" t="n"/>
      <c r="C31" s="177" t="n"/>
      <c r="D31" s="177" t="n"/>
      <c r="E31" s="177" t="n"/>
      <c r="F31" s="177" t="n"/>
      <c r="G31" s="177" t="n"/>
    </row>
    <row r="32">
      <c r="A32" s="97" t="inlineStr">
        <is>
          <t>KS-PME vs S&amp;P 500 (&gt;1.00x = beat)</t>
        </is>
      </c>
      <c r="B32" s="98" t="n"/>
      <c r="C32" s="98" t="n"/>
      <c r="D32" s="98" t="n"/>
      <c r="E32" s="98" t="n"/>
      <c r="F32" s="98" t="n"/>
      <c r="G32" s="98" t="n"/>
    </row>
    <row r="33">
      <c r="A33" s="99" t="inlineStr">
        <is>
          <t>Vehicle</t>
        </is>
      </c>
      <c r="B33" s="100" t="inlineStr">
        <is>
          <t>Base</t>
        </is>
      </c>
      <c r="C33" s="100" t="inlineStr">
        <is>
          <t>Bull</t>
        </is>
      </c>
      <c r="D33" s="100" t="inlineStr">
        <is>
          <t>Bear</t>
        </is>
      </c>
      <c r="E33" s="100" t="inlineStr">
        <is>
          <t>TSMC-Shock</t>
        </is>
      </c>
      <c r="F33" s="100" t="inlineStr">
        <is>
          <t>Expected</t>
        </is>
      </c>
      <c r="G33" s="100" t="n"/>
    </row>
    <row r="34">
      <c r="A34" s="105" t="str">
        <f>Hold_Short&amp;"-Year Hold"</f>
        <v>5-Year Hold</v>
      </c>
      <c r="B34" s="107">
        <f>'Holdco Summary'!B41</f>
        <v>1.3709705039061708</v>
      </c>
      <c r="C34" s="107">
        <f>'Holdco Summary'!C41</f>
        <v>2.2359733097071244</v>
      </c>
      <c r="D34" s="107">
        <f>'Holdco Summary'!D41</f>
        <v>0.5099536345033361</v>
      </c>
      <c r="E34" s="107">
        <f>'Holdco Summary'!E41</f>
        <v>1.7141725863214896</v>
      </c>
      <c r="F34" s="103">
        <f>'Holdco Summary'!F41</f>
        <v>1.5095489873082817</v>
      </c>
      <c r="G34" s="177" t="n"/>
    </row>
    <row r="35">
      <c r="A35" s="105" t="str">
        <f>Hold_Mid&amp;"-Year Hold"</f>
        <v>7-Year Hold</v>
      </c>
      <c r="B35" s="107">
        <f>'Holdco Summary'!B62</f>
        <v>1.594250355454885</v>
      </c>
      <c r="C35" s="107">
        <f>'Holdco Summary'!C62</f>
        <v>3.244858980493073</v>
      </c>
      <c r="D35" s="107">
        <f>'Holdco Summary'!D62</f>
        <v>0.3981314701002741</v>
      </c>
      <c r="E35" s="107">
        <f>'Holdco Summary'!E62</f>
        <v>2.380606568066772</v>
      </c>
      <c r="F35" s="103">
        <f>'Holdco Summary'!F62</f>
        <v>1.9454381108030232</v>
      </c>
      <c r="G35" s="177" t="n"/>
    </row>
    <row r="36">
      <c r="A36" s="105" t="str">
        <f>Hold_Long&amp;"-Year Hold"</f>
        <v>10-Year Hold</v>
      </c>
      <c r="B36" s="107">
        <f>'Holdco Summary'!B83</f>
        <v>2.0463330737257333</v>
      </c>
      <c r="C36" s="107">
        <f>'Holdco Summary'!C83</f>
        <v>5.881419109008893</v>
      </c>
      <c r="D36" s="107">
        <f>'Holdco Summary'!D83</f>
        <v>0.2816461282850812</v>
      </c>
      <c r="E36" s="107">
        <f>'Holdco Summary'!E83</f>
        <v>4.1480995013391295</v>
      </c>
      <c r="F36" s="103">
        <f>'Holdco Summary'!F83</f>
        <v>3.055666504872435</v>
      </c>
      <c r="G36" s="177" t="n"/>
    </row>
    <row r="37">
      <c r="A37" s="177" t="n"/>
      <c r="B37" s="177" t="n"/>
      <c r="C37" s="177" t="n"/>
      <c r="D37" s="177" t="n"/>
      <c r="E37" s="177" t="n"/>
      <c r="F37" s="177" t="n"/>
      <c r="G37" s="177" t="n"/>
    </row>
    <row r="38">
      <c r="A38" s="97" t="inlineStr">
        <is>
          <t>SLEEVE SIZING</t>
        </is>
      </c>
      <c r="B38" s="98" t="n"/>
      <c r="C38" s="98" t="n"/>
      <c r="D38" s="98" t="n"/>
      <c r="E38" s="98" t="n"/>
      <c r="F38" s="98" t="n"/>
      <c r="G38" s="98" t="n"/>
    </row>
    <row r="39">
      <c r="A39" s="99" t="inlineStr">
        <is>
          <t>Sleeve</t>
        </is>
      </c>
      <c r="B39" s="100" t="inlineStr">
        <is>
          <t>Size ($M)</t>
        </is>
      </c>
      <c r="C39" s="100" t="inlineStr">
        <is>
          <t>% Holdco</t>
        </is>
      </c>
      <c r="D39" s="100" t="inlineStr">
        <is>
          <t># Positions</t>
        </is>
      </c>
      <c r="E39" s="100" t="n"/>
      <c r="F39" s="100" t="n"/>
      <c r="G39" s="100" t="n"/>
    </row>
    <row r="40">
      <c r="A40" s="109" t="str">
        <f>'Holdco Summary'!A6</f>
        <v>IQT-mirror (deep-tech)</v>
      </c>
      <c r="B40" s="110">
        <f>'Holdco Summary'!B6</f>
        <v>250</v>
      </c>
      <c r="C40" s="106">
        <f>'Holdco Summary'!C6</f>
        <v>0.2976190476190476</v>
      </c>
      <c r="D40" s="111">
        <f>COUNT(Assumptions!C18:C26)</f>
        <v>9</v>
      </c>
      <c r="E40" s="177" t="n"/>
      <c r="F40" s="177" t="n"/>
      <c r="G40" s="177" t="n"/>
    </row>
    <row r="41">
      <c r="A41" s="109" t="str">
        <f>'Holdco Summary'!A7</f>
        <v>Weapons (physical layer)</v>
      </c>
      <c r="B41" s="110">
        <f>'Holdco Summary'!B7</f>
        <v>390</v>
      </c>
      <c r="C41" s="106">
        <f>'Holdco Summary'!C7</f>
        <v>0.4642857142857143</v>
      </c>
      <c r="D41" s="111">
        <f>COUNT('Weapons Sleeve'!C12:C20)</f>
        <v>9</v>
      </c>
      <c r="E41" s="177" t="n"/>
      <c r="F41" s="177" t="n"/>
      <c r="G41" s="177" t="n"/>
    </row>
    <row r="42">
      <c r="A42" s="109" t="str">
        <f>'Holdco Summary'!A8</f>
        <v>Consumer / Value</v>
      </c>
      <c r="B42" s="110">
        <f>'Holdco Summary'!B8</f>
        <v>200</v>
      </c>
      <c r="C42" s="106">
        <f>'Holdco Summary'!C8</f>
        <v>0.23809523809523808</v>
      </c>
      <c r="D42" s="111">
        <f>COUNT('Consumer Sleeve'!C12:C20)</f>
        <v>9</v>
      </c>
      <c r="E42" s="177" t="n"/>
      <c r="F42" s="177" t="n"/>
      <c r="G42" s="177" t="n"/>
    </row>
    <row r="43">
      <c r="A43" s="112" t="inlineStr">
        <is>
          <t>Total holdco</t>
        </is>
      </c>
      <c r="B43" s="113">
        <f>SUM(B40:B42)</f>
        <v>840.0</v>
      </c>
      <c r="C43" s="114">
        <f>SUM(C40:C42)</f>
        <v>1.0</v>
      </c>
      <c r="D43" s="115">
        <f>SUM(D40:D42)</f>
        <v>27.0</v>
      </c>
      <c r="E43" s="177" t="n"/>
      <c r="F43" s="177" t="n"/>
      <c r="G43" s="177" t="n"/>
    </row>
    <row r="44">
      <c r="A44" s="177" t="n"/>
      <c r="B44" s="177" t="n"/>
      <c r="C44" s="177" t="n"/>
      <c r="D44" s="177" t="n"/>
      <c r="E44" s="177" t="n"/>
      <c r="F44" s="177" t="n"/>
      <c r="G44" s="177" t="n"/>
    </row>
    <row r="45">
      <c r="A45" s="97" t="str">
        <f>"SLEEVE GROSS MOIC — "&amp;Hold_Short&amp;"-YEAR HOLD (gross proceeds / committed)"</f>
        <v>SLEEVE GROSS MOIC — 5-YEAR HOLD (gross proceeds / committed)</v>
      </c>
      <c r="B45" s="98" t="n"/>
      <c r="C45" s="98" t="n"/>
      <c r="D45" s="98" t="n"/>
      <c r="E45" s="98" t="n"/>
      <c r="F45" s="98" t="n"/>
      <c r="G45" s="98" t="n"/>
    </row>
    <row r="46">
      <c r="A46" s="99" t="inlineStr">
        <is>
          <t>Sleeve</t>
        </is>
      </c>
      <c r="B46" s="100" t="inlineStr">
        <is>
          <t>Base</t>
        </is>
      </c>
      <c r="C46" s="100" t="inlineStr">
        <is>
          <t>Bull</t>
        </is>
      </c>
      <c r="D46" s="100" t="inlineStr">
        <is>
          <t>Bear</t>
        </is>
      </c>
      <c r="E46" s="100" t="inlineStr">
        <is>
          <t>TSMC-Shock</t>
        </is>
      </c>
      <c r="F46" s="100" t="inlineStr">
        <is>
          <t>Expected</t>
        </is>
      </c>
      <c r="G46" s="100" t="n"/>
    </row>
    <row r="47">
      <c r="A47" s="105" t="inlineStr">
        <is>
          <t>IQT-mirror</t>
        </is>
      </c>
      <c r="B47" s="116">
        <f>'Holdco Summary'!B28/IQT_Size</f>
        <v>2.26332311902102</v>
      </c>
      <c r="C47" s="116">
        <f>'Holdco Summary'!C28/IQT_Size</f>
        <v>3.61744566519502</v>
      </c>
      <c r="D47" s="116">
        <f>'Holdco Summary'!D28/IQT_Size</f>
        <v>0.50517410275635</v>
      </c>
      <c r="E47" s="116">
        <f>'Holdco Summary'!E28/IQT_Size</f>
        <v>3.6616252550008572</v>
      </c>
      <c r="F47" s="116">
        <f>'Holdco Summary'!F28/IQT_Size</f>
        <v>2.5478767235217945</v>
      </c>
      <c r="G47" s="177" t="n"/>
    </row>
    <row r="48">
      <c r="A48" s="105" t="inlineStr">
        <is>
          <t>Weapons</t>
        </is>
      </c>
      <c r="B48" s="116">
        <f>'Holdco Summary'!B29/Wpn_Size</f>
        <v>2.399293084936999</v>
      </c>
      <c r="C48" s="116">
        <f>'Holdco Summary'!C29/Wpn_Size</f>
        <v>3.965243517835597</v>
      </c>
      <c r="D48" s="116">
        <f>'Holdco Summary'!D29/Wpn_Size</f>
        <v>1.1367544572504005</v>
      </c>
      <c r="E48" s="116">
        <f>'Holdco Summary'!E29/Wpn_Size</f>
        <v>3.973372255647908</v>
      </c>
      <c r="F48" s="116">
        <f>'Holdco Summary'!F29/Wpn_Size</f>
        <v>2.837511774615295</v>
      </c>
      <c r="G48" s="177" t="n"/>
    </row>
    <row r="49">
      <c r="A49" s="105" t="inlineStr">
        <is>
          <t>Consumer / Value</t>
        </is>
      </c>
      <c r="B49" s="116">
        <f>'Holdco Summary'!B30/Con_Size</f>
        <v>2.548822413506212</v>
      </c>
      <c r="C49" s="116">
        <f>'Holdco Summary'!C30/Con_Size</f>
        <v>4.789864586457011</v>
      </c>
      <c r="D49" s="116">
        <f>'Holdco Summary'!D30/Con_Size</f>
        <v>0.8672940672439218</v>
      </c>
      <c r="E49" s="116">
        <f>'Holdco Summary'!E30/Con_Size</f>
        <v>0.5037998238679556</v>
      </c>
      <c r="F49" s="116">
        <f>'Holdco Summary'!F30/Con_Size</f>
        <v>2.55010031635883</v>
      </c>
      <c r="G49" s="177" t="n"/>
    </row>
    <row r="50">
      <c r="A50" s="112" t="inlineStr">
        <is>
          <t>Holdco gross</t>
        </is>
      </c>
      <c r="B50" s="117">
        <f>'Holdco Summary'!B31/Holdco_Size</f>
        <v>2.3944280542641985</v>
      </c>
      <c r="C50" s="117">
        <f>'Holdco Summary'!C31/Holdco_Size</f>
        <v>4.058070601840524</v>
      </c>
      <c r="D50" s="117">
        <f>'Holdco Summary'!D31/Holdco_Size</f>
        <v>0.8846268779351524</v>
      </c>
      <c r="E50" s="117">
        <f>'Holdco Summary'!E31/Holdco_Size</f>
        <v>3.054501735983916</v>
      </c>
      <c r="F50" s="117">
        <f>'Holdco Summary'!F31/Holdco_Size</f>
        <v>2.682879566966881</v>
      </c>
      <c r="G50" s="177" t="n"/>
    </row>
    <row r="51">
      <c r="A51" s="177" t="n"/>
      <c r="B51" s="177" t="n"/>
      <c r="C51" s="177" t="n"/>
      <c r="D51" s="177" t="n"/>
      <c r="E51" s="177" t="n"/>
      <c r="F51" s="177" t="n"/>
      <c r="G51" s="177" t="n"/>
    </row>
    <row r="52">
      <c r="A52" s="97" t="str">
        <f>"SLEEVE GROSS MOIC — "&amp;Hold_Mid&amp;"-YEAR HOLD (gross proceeds / committed)"</f>
        <v>SLEEVE GROSS MOIC — 7-YEAR HOLD (gross proceeds / committed)</v>
      </c>
      <c r="B52" s="98" t="n"/>
      <c r="C52" s="98" t="n"/>
      <c r="D52" s="98" t="n"/>
      <c r="E52" s="98" t="n"/>
      <c r="F52" s="98" t="n"/>
      <c r="G52" s="98" t="n"/>
    </row>
    <row r="53">
      <c r="A53" s="99" t="inlineStr">
        <is>
          <t>Sleeve</t>
        </is>
      </c>
      <c r="B53" s="100" t="inlineStr">
        <is>
          <t>Base</t>
        </is>
      </c>
      <c r="C53" s="100" t="inlineStr">
        <is>
          <t>Bull</t>
        </is>
      </c>
      <c r="D53" s="100" t="inlineStr">
        <is>
          <t>Bear</t>
        </is>
      </c>
      <c r="E53" s="100" t="inlineStr">
        <is>
          <t>TSMC-Shock</t>
        </is>
      </c>
      <c r="F53" s="100" t="inlineStr">
        <is>
          <t>Expected</t>
        </is>
      </c>
      <c r="G53" s="100" t="n"/>
    </row>
    <row r="54">
      <c r="A54" s="105" t="inlineStr">
        <is>
          <t>IQT-mirror</t>
        </is>
      </c>
      <c r="B54" s="116">
        <f>'Holdco Summary'!B49/IQT_Size</f>
        <v>3.1125230859055293</v>
      </c>
      <c r="C54" s="116">
        <f>'Holdco Summary'!C49/IQT_Size</f>
        <v>5.9880211863812445</v>
      </c>
      <c r="D54" s="116">
        <f>'Holdco Summary'!D49/IQT_Size</f>
        <v>0.4001347527744316</v>
      </c>
      <c r="E54" s="116">
        <f>'Holdco Summary'!E49/IQT_Size</f>
        <v>6.169790097343268</v>
      </c>
      <c r="F54" s="116">
        <f>'Holdco Summary'!F49/IQT_Size</f>
        <v>3.8831294127704545</v>
      </c>
      <c r="G54" s="177" t="n"/>
    </row>
    <row r="55">
      <c r="A55" s="105" t="inlineStr">
        <is>
          <t>Weapons</t>
        </is>
      </c>
      <c r="B55" s="116">
        <f>'Holdco Summary'!B50/Wpn_Size</f>
        <v>3.4248339997842434</v>
      </c>
      <c r="C55" s="116">
        <f>'Holdco Summary'!C50/Wpn_Size</f>
        <v>7.011045433229423</v>
      </c>
      <c r="D55" s="116">
        <f>'Holdco Summary'!D50/Wpn_Size</f>
        <v>1.1890350851011569</v>
      </c>
      <c r="E55" s="116">
        <f>'Holdco Summary'!E50/Wpn_Size</f>
        <v>7.019818540683857</v>
      </c>
      <c r="F55" s="116">
        <f>'Holdco Summary'!F50/Wpn_Size</f>
        <v>4.525264702078017</v>
      </c>
      <c r="G55" s="177" t="n"/>
    </row>
    <row r="56">
      <c r="A56" s="105" t="inlineStr">
        <is>
          <t>Consumer / Value</t>
        </is>
      </c>
      <c r="B56" s="116">
        <f>'Holdco Summary'!B51/Con_Size</f>
        <v>3.6667524560944025</v>
      </c>
      <c r="C56" s="116">
        <f>'Holdco Summary'!C51/Con_Size</f>
        <v>8.92049751884976</v>
      </c>
      <c r="D56" s="116">
        <f>'Holdco Summary'!D51/Con_Size</f>
        <v>0.825972733885264</v>
      </c>
      <c r="E56" s="116">
        <f>'Holdco Summary'!E51/Con_Size</f>
        <v>0.38177091468980817</v>
      </c>
      <c r="F56" s="116">
        <f>'Holdco Summary'!F51/Con_Size</f>
        <v>4.061324532241183</v>
      </c>
      <c r="G56" s="177" t="n"/>
    </row>
    <row r="57">
      <c r="A57" s="112" t="inlineStr">
        <is>
          <t>Holdco gross</t>
        </is>
      </c>
      <c r="B57" s="117">
        <f>'Holdco Summary'!B52/Holdco_Size</f>
        <v>3.3894839554894256</v>
      </c>
      <c r="C57" s="117">
        <f>'Holdco Summary'!C52/Holdco_Size</f>
        <v>7.161205380148498</v>
      </c>
      <c r="D57" s="117">
        <f>'Holdco Summary'!D52/Holdco_Size</f>
        <v>0.8677999025715617</v>
      </c>
      <c r="E57" s="117">
        <f>'Holdco Summary'!E52/Holdco_Size</f>
        <v>5.186346354929147</v>
      </c>
      <c r="F57" s="117">
        <f>'Holdco Summary'!F52/Holdco_Size</f>
        <v>4.223691063632472</v>
      </c>
      <c r="G57" s="177" t="n"/>
    </row>
    <row r="58">
      <c r="A58" s="177" t="n"/>
      <c r="B58" s="177" t="n"/>
      <c r="C58" s="177" t="n"/>
      <c r="D58" s="177" t="n"/>
      <c r="E58" s="177" t="n"/>
      <c r="F58" s="177" t="n"/>
      <c r="G58" s="177" t="n"/>
    </row>
    <row r="59">
      <c r="A59" s="97" t="str">
        <f>"SLEEVE GROSS MOIC — "&amp;Hold_Long&amp;"-YEAR HOLD (gross proceeds / committed)"</f>
        <v>SLEEVE GROSS MOIC — 10-YEAR HOLD (gross proceeds / committed)</v>
      </c>
      <c r="B59" s="98" t="n"/>
      <c r="C59" s="98" t="n"/>
      <c r="D59" s="98" t="n"/>
      <c r="E59" s="98" t="n"/>
      <c r="F59" s="98" t="n"/>
      <c r="G59" s="98" t="n"/>
    </row>
    <row r="60">
      <c r="A60" s="99" t="inlineStr">
        <is>
          <t>Sleeve</t>
        </is>
      </c>
      <c r="B60" s="100" t="inlineStr">
        <is>
          <t>Base</t>
        </is>
      </c>
      <c r="C60" s="100" t="inlineStr">
        <is>
          <t>Bull</t>
        </is>
      </c>
      <c r="D60" s="100" t="inlineStr">
        <is>
          <t>Bear</t>
        </is>
      </c>
      <c r="E60" s="100" t="inlineStr">
        <is>
          <t>TSMC-Shock</t>
        </is>
      </c>
      <c r="F60" s="100" t="inlineStr">
        <is>
          <t>Expected</t>
        </is>
      </c>
      <c r="G60" s="100" t="n"/>
    </row>
    <row r="61">
      <c r="A61" s="105" t="inlineStr">
        <is>
          <t>IQT-mirror</t>
        </is>
      </c>
      <c r="B61" s="116">
        <f>'Holdco Summary'!B70/IQT_Size</f>
        <v>5.045823743843581</v>
      </c>
      <c r="C61" s="116">
        <f>'Holdco Summary'!C70/IQT_Size</f>
        <v>12.790788755975607</v>
      </c>
      <c r="D61" s="116">
        <f>'Holdco Summary'!D70/IQT_Size</f>
        <v>0.29585341576521507</v>
      </c>
      <c r="E61" s="116">
        <f>'Holdco Summary'!E70/IQT_Size</f>
        <v>13.67240582447759</v>
      </c>
      <c r="F61" s="116">
        <f>'Holdco Summary'!F70/IQT_Size</f>
        <v>7.563556759759935</v>
      </c>
      <c r="G61" s="177" t="n"/>
    </row>
    <row r="62">
      <c r="A62" s="105" t="inlineStr">
        <is>
          <t>Weapons</t>
        </is>
      </c>
      <c r="B62" s="116">
        <f>'Holdco Summary'!B71/Wpn_Size</f>
        <v>5.921905243666499</v>
      </c>
      <c r="C62" s="116">
        <f>'Holdco Summary'!C71/Wpn_Size</f>
        <v>16.921765430213004</v>
      </c>
      <c r="D62" s="116">
        <f>'Holdco Summary'!D71/Wpn_Size</f>
        <v>1.2731274011063318</v>
      </c>
      <c r="E62" s="116">
        <f>'Holdco Summary'!E71/Wpn_Size</f>
        <v>16.91948794619398</v>
      </c>
      <c r="F62" s="116">
        <f>'Holdco Summary'!F71/Wpn_Size</f>
        <v>9.624191019298221</v>
      </c>
      <c r="G62" s="177" t="n"/>
    </row>
    <row r="63">
      <c r="A63" s="105" t="inlineStr">
        <is>
          <t>Consumer / Value</t>
        </is>
      </c>
      <c r="B63" s="116">
        <f>'Holdco Summary'!B72/Con_Size</f>
        <v>6.361310418396796</v>
      </c>
      <c r="C63" s="116">
        <f>'Holdco Summary'!C72/Con_Size</f>
        <v>22.89535447600659</v>
      </c>
      <c r="D63" s="116">
        <f>'Holdco Summary'!D72/Con_Size</f>
        <v>0.7879718135409093</v>
      </c>
      <c r="E63" s="116">
        <f>'Holdco Summary'!E72/Con_Size</f>
        <v>0.2549353870240072</v>
      </c>
      <c r="F63" s="116">
        <f>'Holdco Summary'!F72/Con_Size</f>
        <v>8.742864387364943</v>
      </c>
      <c r="G63" s="177" t="n"/>
    </row>
    <row r="64">
      <c r="A64" s="112" t="inlineStr">
        <is>
          <t>Holdco gross</t>
        </is>
      </c>
      <c r="B64" s="117">
        <f>'Holdco Summary'!B73/Holdco_Size</f>
        <v>5.7657869817502245</v>
      </c>
      <c r="C64" s="117">
        <f>'Holdco Summary'!C73/Holdco_Size</f>
        <v>17.114591192831302</v>
      </c>
      <c r="D64" s="117">
        <f>'Holdco Summary'!D73/Holdco_Size</f>
        <v>0.8667588131916132</v>
      </c>
      <c r="E64" s="117">
        <f>'Holdco Summary'!E73/Holdco_Size</f>
        <v>11.985343848261726</v>
      </c>
      <c r="F64" s="117">
        <f>'Holdco Summary'!F73/Holdco_Size</f>
        <v>8.801067339213429</v>
      </c>
      <c r="G64" s="177" t="n"/>
    </row>
    <row r="65">
      <c r="A65" s="177" t="n"/>
      <c r="B65" s="177" t="n"/>
      <c r="C65" s="177" t="n"/>
      <c r="D65" s="177" t="n"/>
      <c r="E65" s="177" t="n"/>
      <c r="F65" s="177" t="n"/>
      <c r="G65" s="177" t="n"/>
    </row>
    <row r="66">
      <c r="A66" s="97" t="inlineStr">
        <is>
          <t>SCENARIO PROBABILITY WEIGHTS (edit on Defense Supercycle tab)</t>
        </is>
      </c>
      <c r="B66" s="98" t="n"/>
      <c r="C66" s="98" t="n"/>
      <c r="D66" s="98" t="n"/>
      <c r="E66" s="98" t="n"/>
      <c r="F66" s="98" t="n"/>
      <c r="G66" s="98" t="n"/>
    </row>
    <row r="67">
      <c r="A67" s="99" t="n"/>
      <c r="B67" s="100" t="inlineStr">
        <is>
          <t>Base</t>
        </is>
      </c>
      <c r="C67" s="100" t="inlineStr">
        <is>
          <t>Bull</t>
        </is>
      </c>
      <c r="D67" s="100" t="inlineStr">
        <is>
          <t>Bear</t>
        </is>
      </c>
      <c r="E67" s="100" t="inlineStr">
        <is>
          <t>TSMC-Shock</t>
        </is>
      </c>
      <c r="F67" s="100" t="inlineStr">
        <is>
          <t>Total</t>
        </is>
      </c>
      <c r="G67" s="100" t="n"/>
    </row>
    <row r="68">
      <c r="A68" s="105" t="inlineStr">
        <is>
          <t>Probability</t>
        </is>
      </c>
      <c r="B68" s="106">
        <f>'Defense Supercycle'!B17</f>
        <v>0.45</v>
      </c>
      <c r="C68" s="106">
        <f>'Defense Supercycle'!B18</f>
        <v>0.25</v>
      </c>
      <c r="D68" s="106">
        <f>'Defense Supercycle'!B19</f>
        <v>0.15</v>
      </c>
      <c r="E68" s="106">
        <f>'Defense Supercycle'!B20</f>
        <v>0.15</v>
      </c>
      <c r="F68" s="118">
        <f>SUM(B68:E68)</f>
        <v>1.0</v>
      </c>
      <c r="G68" s="177" t="n"/>
    </row>
    <row r="69">
      <c r="A69" s="177" t="n"/>
      <c r="B69" s="177" t="n"/>
      <c r="C69" s="177" t="n"/>
      <c r="D69" s="177" t="n"/>
      <c r="E69" s="177" t="n"/>
      <c r="F69" s="177" t="n"/>
      <c r="G69" s="177" t="n"/>
    </row>
    <row r="70">
      <c r="A70" s="97" t="inlineStr">
        <is>
          <t>MODEL INTEGRITY CHECKS</t>
        </is>
      </c>
      <c r="B70" s="98" t="n"/>
      <c r="C70" s="98" t="n"/>
      <c r="D70" s="98" t="n"/>
      <c r="E70" s="98" t="n"/>
      <c r="F70" s="98" t="n"/>
      <c r="G70" s="98" t="n"/>
    </row>
    <row r="71">
      <c r="A71" s="99" t="inlineStr">
        <is>
          <t>Check</t>
        </is>
      </c>
      <c r="B71" s="100" t="inlineStr">
        <is>
          <t>Model</t>
        </is>
      </c>
      <c r="C71" s="100" t="inlineStr">
        <is>
          <t>Target</t>
        </is>
      </c>
      <c r="D71" s="100" t="inlineStr">
        <is>
          <t>Status</t>
        </is>
      </c>
      <c r="E71" s="100" t="n"/>
      <c r="F71" s="100" t="n"/>
      <c r="G71" s="100" t="n"/>
    </row>
    <row r="72">
      <c r="A72" s="105" t="str">
        <f>"Holdco size = "&amp;TEXT(Checks!$B$5,"$#,##0")&amp;"M"</f>
        <v>Holdco size = $840M</v>
      </c>
      <c r="B72" s="119">
        <f>'Holdco Summary'!B9</f>
        <v>840.0</v>
      </c>
      <c r="C72" s="211">
        <f>Checks!$B$5</f>
        <v>840</v>
      </c>
      <c r="D72" s="121" t="str">
        <f>IF(ABS(B72-C72)&lt;0.001,"OK","CHECK")</f>
        <v>OK</v>
      </c>
      <c r="E72" s="177" t="n"/>
      <c r="F72" s="177" t="n"/>
      <c r="G72" s="177" t="n"/>
    </row>
    <row r="73">
      <c r="A73" s="105" t="inlineStr">
        <is>
          <t>IQT-mirror deployed = committed</t>
        </is>
      </c>
      <c r="B73" s="119">
        <f>Assumptions!C27</f>
        <v>250.0</v>
      </c>
      <c r="C73" s="119">
        <f>Assumptions!B5</f>
        <v>250</v>
      </c>
      <c r="D73" s="121" t="str">
        <f>IF(ABS(B73-C73)&lt;0.001,"OK","CHECK")</f>
        <v>OK</v>
      </c>
      <c r="E73" s="177" t="n"/>
      <c r="F73" s="177" t="n"/>
      <c r="G73" s="177" t="n"/>
    </row>
    <row r="74">
      <c r="A74" s="105" t="inlineStr">
        <is>
          <t>Weapons deployed = committed</t>
        </is>
      </c>
      <c r="B74" s="119">
        <f>'Weapons Sleeve'!C21</f>
        <v>390.0</v>
      </c>
      <c r="C74" s="119">
        <f>'Weapons Sleeve'!B5</f>
        <v>390</v>
      </c>
      <c r="D74" s="121" t="str">
        <f>IF(ABS(B74-C74)&lt;0.001,"OK","CHECK")</f>
        <v>OK</v>
      </c>
      <c r="E74" s="177" t="n"/>
      <c r="F74" s="177" t="n"/>
      <c r="G74" s="177" t="n"/>
    </row>
    <row r="75">
      <c r="A75" s="105" t="inlineStr">
        <is>
          <t>Consumer deployed = committed</t>
        </is>
      </c>
      <c r="B75" s="119">
        <f>'Consumer Sleeve'!C21</f>
        <v>200.0</v>
      </c>
      <c r="C75" s="119">
        <f>'Consumer Sleeve'!B5</f>
        <v>200</v>
      </c>
      <c r="D75" s="121" t="str">
        <f>IF(ABS(B75-C75)&lt;0.001,"OK","CHECK")</f>
        <v>OK</v>
      </c>
      <c r="E75" s="177" t="n"/>
      <c r="F75" s="177" t="n"/>
      <c r="G75" s="177" t="n"/>
    </row>
    <row r="76">
      <c r="A76" s="105" t="inlineStr">
        <is>
          <t>Scenario probabilities = 100%</t>
        </is>
      </c>
      <c r="B76" s="106">
        <f>'Defense Supercycle'!B21</f>
        <v>1.0</v>
      </c>
      <c r="C76" s="122" t="n">
        <v>1</v>
      </c>
      <c r="D76" s="121" t="str">
        <f>IF(ABS(B76-C76)&lt;0.001,"OK","CHECK")</f>
        <v>OK</v>
      </c>
      <c r="E76" s="177" t="n"/>
      <c r="F76" s="177" t="n"/>
      <c r="G76" s="177" t="n"/>
    </row>
    <row r="77">
      <c r="A77" s="105" t="inlineStr">
        <is>
          <t>Strategic axis weights = 100%</t>
        </is>
      </c>
      <c r="B77" s="106">
        <f>'Defense Supercycle'!B10</f>
        <v>1.0</v>
      </c>
      <c r="C77" s="122" t="n">
        <v>1</v>
      </c>
      <c r="D77" s="121" t="str">
        <f>IF(ABS(B77-C77)&lt;0.001,"OK","CHECK")</f>
        <v>OK</v>
      </c>
      <c r="E77" s="177" t="n"/>
      <c r="F77" s="177" t="n"/>
      <c r="G77" s="177" t="n"/>
    </row>
    <row r="78">
      <c r="A78" s="105" t="inlineStr">
        <is>
          <t>IQT allocation % fund = 100%</t>
        </is>
      </c>
      <c r="B78" s="106">
        <f>Allocation!D14</f>
        <v>1.0</v>
      </c>
      <c r="C78" s="122" t="n">
        <v>1</v>
      </c>
      <c r="D78" s="121" t="str">
        <f>IF(ABS(B78-C78)&lt;0.001,"OK","CHECK")</f>
        <v>OK</v>
      </c>
      <c r="E78" s="177" t="n"/>
      <c r="F78" s="177" t="n"/>
      <c r="G78" s="177" t="n"/>
    </row>
    <row r="79">
      <c r="A79" s="105" t="inlineStr">
        <is>
          <t>Holdco 7-yr gross ties to sleeves (Expected)</t>
        </is>
      </c>
      <c r="B79" s="119">
        <f>'Holdco Summary'!F52</f>
        <v>3547.900493451277</v>
      </c>
      <c r="C79" s="119">
        <f>'Fund Economics'!F22+'Holdco Summary'!F50+'Holdco Summary'!F51</f>
        <v>3547.900493451277</v>
      </c>
      <c r="D79" s="121" t="str">
        <f>IF(ABS(B79-C79)&lt;0.001,"OK","CHECK")</f>
        <v>OK</v>
      </c>
      <c r="E79" s="177" t="n"/>
      <c r="F79" s="177" t="n"/>
      <c r="G79" s="177" t="n"/>
    </row>
    <row r="80">
      <c r="A80" s="112" t="inlineStr">
        <is>
          <t>Overall</t>
        </is>
      </c>
      <c r="B80" s="123" t="n"/>
      <c r="C80" s="123" t="n"/>
      <c r="D80" s="124" t="str">
        <f>IF(COUNTIF(D72:D79,"OK")=8,"ALL PASS","REVIEW")</f>
        <v>ALL PASS</v>
      </c>
      <c r="E80" s="177" t="n"/>
      <c r="F80" s="177" t="n"/>
      <c r="G80" s="177" t="n"/>
    </row>
    <row r="81">
      <c r="A81" s="177" t="n"/>
      <c r="B81" s="177" t="n"/>
      <c r="C81" s="177" t="n"/>
      <c r="D81" s="177" t="n"/>
      <c r="E81" s="177" t="n"/>
      <c r="F81" s="177" t="n"/>
      <c r="G81" s="177" t="n"/>
    </row>
    <row r="82">
      <c r="A82" s="97" t="inlineStr">
        <is>
          <t>READ-THROUGH</t>
        </is>
      </c>
      <c r="B82" s="98" t="n"/>
      <c r="C82" s="98" t="n"/>
      <c r="D82" s="98" t="n"/>
      <c r="E82" s="98" t="n"/>
      <c r="F82" s="98" t="n"/>
      <c r="G82" s="98" t="n"/>
    </row>
    <row r="83" ht="27" customHeight="1">
      <c r="A83" s="176" t="str">
        <f>"• Underwrite to Expected: 7-yr holdco net IRR "&amp;TEXT('Holdco Summary'!F61,"0.0%")&amp;" / "&amp;TEXT('Holdco Summary'!F59,"0.00")&amp;"x net MOIC; Base "&amp;TEXT('Holdco Summary'!B61,"0.0%")&amp;", Bear "&amp;TEXT('Holdco Summary'!D61,"0.0%")&amp;"."</f>
        <v>• Underwrite to Expected: 7-yr holdco net IRR 19.9% / 3.56x net MOIC; Base 16.5%, Bear -4.4%.</v>
      </c>
    </row>
    <row r="84" ht="27" customHeight="1">
      <c r="A84" s="176" t="str">
        <f>"• Thematic scoreboard: 7-yr Expected KS-PME vs Defense+Semis basket "&amp;TEXT('Holdco Summary'!F64,"0.00")&amp;"x (Base "&amp;TEXT('Holdco Summary'!B64,"0.00")&amp;"x) — &gt;1.00x means the holdco beats owning ITA/SOXX."</f>
        <v>• Thematic scoreboard: 7-yr Expected KS-PME vs Defense+Semis basket 1.34x (Base 1.10x) — &gt;1.00x means the holdco beats owning ITA/SOXX.</v>
      </c>
    </row>
    <row r="85" ht="27" customHeight="1">
      <c r="A85" s="176" t="inlineStr">
        <is>
          <t>• Bear case is a capital-loss outcome at every hold (net MOIC &lt; 1.0x) — the downside is carried by the IQT seed names and Consumer; sizing, not the thesis, is the protection.</t>
        </is>
      </c>
    </row>
    <row r="86" ht="27" customHeight="1">
      <c r="A86" s="176" t="str">
        <f>"• TSMC-Shock is a low-probability tail ("&amp;TEXT('Defense Supercycle'!B20,"0%")&amp;") that lifts Expected because the book is overweight US sovereign-chokepoint names; Consumer is the one sleeve hurt in that case."</f>
        <v>• TSMC-Shock is a low-probability tail (15%) that lifts Expected because the book is overweight US sovereign-chokepoint names; Consumer is the one sleeve hurt in that case.</v>
      </c>
    </row>
    <row r="87" ht="27" customHeight="1">
      <c r="A87" s="176" t="inlineStr">
        <is>
          <t>• Six of nine IQT entry marks and most Weapons marks are estimates — see Assumptions col J / Weapons Sleeve col J. Confirm via primary diligence before IC vote.</t>
        </is>
      </c>
    </row>
  </sheetData>
  <mergeCells count="6">
    <mergeCell ref="A84:G84"/>
    <mergeCell ref="A83:G83"/>
    <mergeCell ref="A87:G87"/>
    <mergeCell ref="A2:G2"/>
    <mergeCell ref="A86:G86"/>
    <mergeCell ref="A85:G85"/>
  </mergeCells>
  <printOptions horizontalCentered="1"/>
  <pageMargins left="0.4" right="0.4" top="1" bottom="1" header="0.5" footer="0.5"/>
  <pageSetup orientation="landscape" paperSize="1" fitToHeight="0" fitToWidth="1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F93"/>
  <sheetViews>
    <sheetView showGridLines="0" tabSelected="0" zoomScale="90" zoomScaleNormal="100"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8.6640625" defaultRowHeight="15"/>
  <cols>
    <col width="42" customWidth="1" min="1" max="1"/>
    <col width="13" customWidth="1" min="2" max="2"/>
    <col width="11" customWidth="1" min="3" max="3"/>
    <col width="24" customWidth="1" min="4" max="4"/>
    <col width="12" customWidth="1" min="5" max="5"/>
    <col width="30" customWidth="1" min="6" max="6"/>
  </cols>
  <sheetData>
    <row r="1" ht="18" customHeight="1">
      <c r="A1" s="9" t="inlineStr">
        <is>
          <t>LEVIATHAN — CORE PE HOLDCO ($840M) — TRIPARTITE ROLL-UP</t>
        </is>
      </c>
      <c r="B1" s="177" t="n"/>
      <c r="C1" s="177" t="n"/>
      <c r="D1" s="177" t="n"/>
      <c r="E1" s="177" t="n"/>
      <c r="F1" s="177" t="n"/>
    </row>
    <row r="2" ht="15" customHeight="1">
      <c r="A2" s="180" t="inlineStr">
        <is>
          <t>Three sub-funds rolled up to a blended holdco return. Blue = lever. All three sleeves — IQT-mirror, Weapons, Consumer/Value — flow in bottom-up. Expected = probability-weighted net (consistent with Fund Economics).</t>
        </is>
      </c>
      <c r="B2" s="177" t="n"/>
      <c r="C2" s="177" t="n"/>
      <c r="D2" s="177" t="n"/>
      <c r="E2" s="177" t="n"/>
      <c r="F2" s="177" t="n"/>
    </row>
    <row r="3" ht="15" customHeight="1">
      <c r="A3" s="212" t="str">
        <f>Checks!$B$3</f>
        <v>MODEL INTEGRITY: ALL 21 CHECKS PASS</v>
      </c>
      <c r="B3" s="177" t="n"/>
      <c r="C3" s="177" t="n"/>
      <c r="D3" s="177" t="n"/>
      <c r="E3" s="177" t="n"/>
      <c r="F3" s="177" t="n"/>
    </row>
    <row r="4" ht="15" customHeight="1">
      <c r="A4" s="11" t="inlineStr">
        <is>
          <t>HOLDCO STRUCTURE &amp; SIZING</t>
        </is>
      </c>
      <c r="B4" s="177" t="n"/>
      <c r="C4" s="177" t="n"/>
      <c r="D4" s="177" t="n"/>
      <c r="E4" s="177" t="n"/>
      <c r="F4" s="177" t="n"/>
    </row>
    <row r="5" ht="15" customHeight="1">
      <c r="A5" s="186" t="inlineStr">
        <is>
          <t>Sub-fund</t>
        </is>
      </c>
      <c r="B5" s="186" t="inlineStr">
        <is>
          <t>Size ($M)</t>
        </is>
      </c>
      <c r="C5" s="186" t="inlineStr">
        <is>
          <t>% Holdco</t>
        </is>
      </c>
      <c r="D5" s="186" t="inlineStr">
        <is>
          <t>Return driver</t>
        </is>
      </c>
      <c r="E5" s="186" t="inlineStr">
        <is>
          <t>Duration</t>
        </is>
      </c>
      <c r="F5" s="186" t="inlineStr">
        <is>
          <t>Role</t>
        </is>
      </c>
    </row>
    <row r="6" ht="27.75" customHeight="1">
      <c r="A6" s="13" t="inlineStr">
        <is>
          <t>IQT-mirror (deep-tech)</t>
        </is>
      </c>
      <c r="B6" s="14" t="n">
        <v>250</v>
      </c>
      <c r="C6" s="15">
        <f>B6/$B$9</f>
        <v>0.2976190476190476</v>
      </c>
      <c r="D6" s="183" t="inlineStr">
        <is>
          <t>Onshoring capex + Taiwan tail</t>
        </is>
      </c>
      <c r="E6" s="17" t="inlineStr">
        <is>
          <t>Longest</t>
        </is>
      </c>
      <c r="F6" s="183" t="inlineStr">
        <is>
          <t>Convex optionality / tail hedge</t>
        </is>
      </c>
    </row>
    <row r="7" ht="27.75" customHeight="1">
      <c r="A7" s="13" t="inlineStr">
        <is>
          <t>Weapons (physical layer)</t>
        </is>
      </c>
      <c r="B7" s="130" t="n">
        <v>390</v>
      </c>
      <c r="C7" s="15">
        <f>B7/$B$9</f>
        <v>0.4642857142857143</v>
      </c>
      <c r="D7" s="183" t="inlineStr">
        <is>
          <t>Defense opex — budgets, conflict</t>
        </is>
      </c>
      <c r="E7" s="17" t="inlineStr">
        <is>
          <t>Medium</t>
        </is>
      </c>
      <c r="F7" s="183" t="inlineStr">
        <is>
          <t>Cash-generative supercycle core</t>
        </is>
      </c>
    </row>
    <row r="8" ht="27.75" customHeight="1">
      <c r="A8" s="13" t="inlineStr">
        <is>
          <t>Consumer / Value</t>
        </is>
      </c>
      <c r="B8" s="14" t="n">
        <v>200</v>
      </c>
      <c r="C8" s="15">
        <f>B8/$B$9</f>
        <v>0.23809523809523808</v>
      </c>
      <c r="D8" s="183" t="inlineStr">
        <is>
          <t>Consumer cycle + DTC/wellness</t>
        </is>
      </c>
      <c r="E8" s="17" t="inlineStr">
        <is>
          <t>Shortest</t>
        </is>
      </c>
      <c r="F8" s="183" t="inlineStr">
        <is>
          <t>Ballast + near-term DPI engine</t>
        </is>
      </c>
    </row>
    <row r="9" ht="15" customHeight="1">
      <c r="A9" s="18" t="inlineStr">
        <is>
          <t>TOTAL (must = $840M)</t>
        </is>
      </c>
      <c r="B9" s="19">
        <f>SUM(B6:B8)</f>
        <v>840.0</v>
      </c>
      <c r="C9" s="20">
        <f>SUM(C6:C8)</f>
        <v>1.0</v>
      </c>
      <c r="D9" s="177" t="n"/>
      <c r="E9" s="177" t="n"/>
      <c r="F9" s="177" t="n"/>
    </row>
    <row r="10" ht="15" customHeight="1">
      <c r="A10" s="180" t="inlineStr">
        <is>
          <t>IQT-mirror: Substrate, EUV Tech, ThinTronics, EdgeCortix, Syntiant, Infleqtion, Diraq, Mueon, DefendEye</t>
        </is>
      </c>
    </row>
    <row r="11" ht="15" customHeight="1">
      <c r="A11" s="180" t="inlineStr">
        <is>
          <t>Weapons: Epirus, Elta, Israel Aerospace Industries, Saronic, Helicon Chemical, Applied Research Associates, Heckler &amp; Koch, The Ellwood Group, Superior &amp; Grand Valley</t>
        </is>
      </c>
    </row>
    <row r="12" ht="15" customHeight="1">
      <c r="A12" s="180" t="inlineStr">
        <is>
          <t>Consumer/Value: Quince, Thrive Market, The Farmer's Dog, Whoop, Plunge, Made In Cookware, Polymarket, Goat Group, Stripe</t>
        </is>
      </c>
    </row>
    <row r="13" ht="15" customHeight="1">
      <c r="A13" s="177" t="n"/>
      <c r="B13" s="177" t="n"/>
      <c r="C13" s="177" t="n"/>
      <c r="D13" s="177" t="n"/>
      <c r="E13" s="177" t="n"/>
      <c r="F13" s="177" t="n"/>
    </row>
    <row r="14" ht="15" customHeight="1">
      <c r="A14" s="11" t="str">
        <f>"SLEEVE RETURN SUMMARY — implied gross IRR on checks at the "&amp;Hold_Short&amp;"-yr hold, net of dilution (live links to the sleeve tabs)"</f>
        <v>SLEEVE RETURN SUMMARY — implied gross IRR on checks at the 5-yr hold, net of dilution (live links to the sleeve tabs)</v>
      </c>
      <c r="B14" s="177" t="n"/>
      <c r="C14" s="177" t="n"/>
      <c r="D14" s="177" t="n"/>
      <c r="E14" s="177" t="n"/>
      <c r="F14" s="177" t="n"/>
    </row>
    <row r="15" ht="15" customHeight="1">
      <c r="A15" s="186" t="inlineStr">
        <is>
          <t>Sleeve</t>
        </is>
      </c>
      <c r="B15" s="186" t="inlineStr">
        <is>
          <t>Base</t>
        </is>
      </c>
      <c r="C15" s="186" t="inlineStr">
        <is>
          <t>Bull</t>
        </is>
      </c>
      <c r="D15" s="186" t="inlineStr">
        <is>
          <t>Bear</t>
        </is>
      </c>
      <c r="E15" s="21" t="inlineStr">
        <is>
          <t>TSMC-Shock</t>
        </is>
      </c>
      <c r="F15" s="22" t="n"/>
    </row>
    <row r="16" ht="15" customHeight="1">
      <c r="A16" s="213" t="inlineStr">
        <is>
          <t>IQT-mirror (bottom-up, live)</t>
        </is>
      </c>
      <c r="B16" s="214">
        <f>'Portfolio Returns'!E15</f>
        <v>0.17746853889181313</v>
      </c>
      <c r="C16" s="214">
        <f>'Portfolio Returns'!H15</f>
        <v>0.2932437949795841</v>
      </c>
      <c r="D16" s="214">
        <f>'Portfolio Returns'!K15</f>
        <v>-0.1276551213612328</v>
      </c>
      <c r="E16" s="215">
        <f>'Portfolio Returns'!N15</f>
        <v>0.29638733323967204</v>
      </c>
      <c r="F16" s="177" t="n"/>
    </row>
    <row r="17" ht="15" customHeight="1">
      <c r="A17" s="213" t="inlineStr">
        <is>
          <t>Weapons (bottom-up, live)</t>
        </is>
      </c>
      <c r="B17" s="214">
        <f>'Weapons Sleeve'!E34</f>
        <v>0.19128770749316026</v>
      </c>
      <c r="C17" s="214">
        <f>'Weapons Sleeve'!H34</f>
        <v>0.31720682639533604</v>
      </c>
      <c r="D17" s="214">
        <f>'Weapons Sleeve'!K34</f>
        <v>0.02596686094441769</v>
      </c>
      <c r="E17" s="215">
        <f>'Weapons Sleeve'!N34</f>
        <v>0.3177464381370425</v>
      </c>
      <c r="F17" s="177" t="n"/>
    </row>
    <row r="18" ht="15" customHeight="1">
      <c r="A18" s="201" t="inlineStr">
        <is>
          <t>Consumer / Value (bottom-up, live)</t>
        </is>
      </c>
      <c r="B18" s="216">
        <f>'Consumer Sleeve'!E34</f>
        <v>0.2057795542710601</v>
      </c>
      <c r="C18" s="216">
        <f>'Consumer Sleeve'!H34</f>
        <v>0.36793243477255366</v>
      </c>
      <c r="D18" s="216">
        <f>'Consumer Sleeve'!K34</f>
        <v>-0.02807383210337744</v>
      </c>
      <c r="E18" s="215">
        <f>'Consumer Sleeve'!N34</f>
        <v>-0.12813026520387416</v>
      </c>
    </row>
    <row r="19" ht="15" customHeight="1">
      <c r="A19" s="217" t="inlineStr">
        <is>
          <t>Memo only — these rows are live reads of the sleeve tabs (gross IRR on checks at the short hold). The sleeve tabs are the source of truth; nothing downstream references this block.</t>
        </is>
      </c>
      <c r="B19" s="177" t="n"/>
      <c r="C19" s="177" t="n"/>
      <c r="D19" s="177" t="n"/>
      <c r="E19" s="177" t="n"/>
      <c r="F19" s="177" t="n"/>
    </row>
    <row r="20" ht="15" customHeight="1">
      <c r="A20" s="11" t="inlineStr">
        <is>
          <t>BENCHMARKS (KS-PME &gt; 1.0x = beat)</t>
        </is>
      </c>
      <c r="B20" s="177" t="n"/>
      <c r="C20" s="177" t="n"/>
      <c r="D20" s="177" t="n"/>
      <c r="E20" s="177" t="n"/>
      <c r="F20" s="177" t="n"/>
    </row>
    <row r="21" ht="15" customHeight="1">
      <c r="A21" s="25" t="inlineStr">
        <is>
          <t>S&amp;P 500 (SPX) total-return CAGR</t>
        </is>
      </c>
      <c r="B21" s="26">
        <f>SPX_CAGR</f>
        <v>0.09</v>
      </c>
      <c r="C21" s="177" t="n"/>
      <c r="D21" s="177" t="n"/>
      <c r="E21" s="177" t="n"/>
      <c r="F21" s="177" t="n"/>
    </row>
    <row r="22" ht="15" customHeight="1">
      <c r="A22" s="25" t="inlineStr">
        <is>
          <t>Nasdaq-100 (NDX) total-return CAGR</t>
        </is>
      </c>
      <c r="B22" s="26">
        <f>NDX_CAGR</f>
        <v>0.13</v>
      </c>
      <c r="C22" s="177" t="n"/>
      <c r="D22" s="177" t="n"/>
      <c r="E22" s="177" t="n"/>
      <c r="F22" s="177" t="n"/>
    </row>
    <row r="23" ht="15" customHeight="1">
      <c r="A23" s="25" t="inlineStr">
        <is>
          <t>Defense+Semis thematic basket CAGR (ITA/SOXX blend)</t>
        </is>
      </c>
      <c r="B23" s="27" t="n">
        <v>0.15</v>
      </c>
      <c r="C23" s="177" t="n"/>
      <c r="D23" s="177" t="n"/>
      <c r="E23" s="177" t="n"/>
      <c r="F23" s="177" t="n"/>
    </row>
    <row r="24" ht="25.5" customHeight="1">
      <c r="A24" s="179" t="inlineStr">
        <is>
          <t>Forward-tempered: 50/50 ITA/SOXX trailing 5yr is ~26% (ITA 18.2% / SOXX 34.5% to Jun-26), inflated by the AI+rearmament run; 15% forward. See Macro Overlay for comps &amp; drivers.</t>
        </is>
      </c>
    </row>
    <row r="25" ht="15" customHeight="1">
      <c r="A25" s="177" t="n"/>
      <c r="B25" s="177" t="n"/>
      <c r="C25" s="177" t="n"/>
      <c r="D25" s="177" t="n"/>
      <c r="E25" s="177" t="n"/>
      <c r="F25" s="177" t="n"/>
    </row>
    <row r="26" ht="15" customHeight="1">
      <c r="A26" s="28" t="str">
        <f>Hold_Short&amp;"-YEAR HOLDCO ROLL-UP"</f>
        <v>5-YEAR HOLDCO ROLL-UP</v>
      </c>
      <c r="B26" s="177" t="n"/>
      <c r="C26" s="177" t="n"/>
      <c r="D26" s="177" t="n"/>
      <c r="E26" s="177" t="n"/>
      <c r="F26" s="177" t="n"/>
    </row>
    <row r="27" ht="15" customHeight="1">
      <c r="A27" s="186" t="inlineStr">
        <is>
          <t>Line item ($M)</t>
        </is>
      </c>
      <c r="B27" s="186" t="inlineStr">
        <is>
          <t>Base</t>
        </is>
      </c>
      <c r="C27" s="186" t="inlineStr">
        <is>
          <t>Bull</t>
        </is>
      </c>
      <c r="D27" s="186" t="inlineStr">
        <is>
          <t>Bear</t>
        </is>
      </c>
      <c r="E27" s="21" t="inlineStr">
        <is>
          <t>TSMC-Shock</t>
        </is>
      </c>
      <c r="F27" s="29" t="inlineStr">
        <is>
          <t>Expected</t>
        </is>
      </c>
    </row>
    <row r="28" ht="15" customHeight="1">
      <c r="A28" s="13" t="inlineStr">
        <is>
          <t>IQT-mirror gross</t>
        </is>
      </c>
      <c r="B28" s="30">
        <f>'Fund Economics'!B6</f>
        <v>565.830779755255</v>
      </c>
      <c r="C28" s="30">
        <f>'Fund Economics'!C6</f>
        <v>904.361416298755</v>
      </c>
      <c r="D28" s="30">
        <f>'Fund Economics'!D6</f>
        <v>126.2935256890875</v>
      </c>
      <c r="E28" s="31">
        <f>'Fund Economics'!E6</f>
        <v>915.4063137502143</v>
      </c>
      <c r="F28" s="32">
        <f>'Fund Economics'!F6</f>
        <v>636.9691808804487</v>
      </c>
    </row>
    <row r="29" ht="15" customHeight="1">
      <c r="A29" s="13" t="inlineStr">
        <is>
          <t>Weapons gross</t>
        </is>
      </c>
      <c r="B29" s="30">
        <f>'Weapons Sleeve'!C34</f>
        <v>935.7243031254295</v>
      </c>
      <c r="C29" s="30">
        <f>'Weapons Sleeve'!F34</f>
        <v>1546.444971955883</v>
      </c>
      <c r="D29" s="30">
        <f>'Weapons Sleeve'!I34</f>
        <v>443.3342383276562</v>
      </c>
      <c r="E29" s="31">
        <f>'Weapons Sleeve'!L34</f>
        <v>1549.6151797026841</v>
      </c>
      <c r="F29" s="32">
        <f>B29*P_Base+C29*P_Bull+D29*P_Bear+E29*P_Shock</f>
        <v>1106.629592099965</v>
      </c>
    </row>
    <row r="30" ht="15" customHeight="1">
      <c r="A30" s="13" t="inlineStr">
        <is>
          <t>Consumer/Value gross</t>
        </is>
      </c>
      <c r="B30" s="30">
        <f>'Consumer Sleeve'!C34</f>
        <v>509.7644827012424</v>
      </c>
      <c r="C30" s="30">
        <f>'Consumer Sleeve'!F34</f>
        <v>957.972917291402</v>
      </c>
      <c r="D30" s="30">
        <f>'Consumer Sleeve'!I34</f>
        <v>173.45881344878435</v>
      </c>
      <c r="E30" s="31">
        <f>'Consumer Sleeve'!L34</f>
        <v>100.75996477359112</v>
      </c>
      <c r="F30" s="32">
        <f>B30*P_Base+C30*P_Bull+D30*P_Bear+E30*P_Shock</f>
        <v>510.02006327176593</v>
      </c>
    </row>
    <row r="31" ht="15" customHeight="1">
      <c r="A31" s="33" t="inlineStr">
        <is>
          <t>HOLDCO gross proceeds</t>
        </is>
      </c>
      <c r="B31" s="34">
        <f>B28+B29+B30</f>
        <v>2011.3195655819268</v>
      </c>
      <c r="C31" s="34">
        <f>C28+C29+C30</f>
        <v>3408.77930554604</v>
      </c>
      <c r="D31" s="34">
        <f>D28+D29+D30</f>
        <v>743.086577465528</v>
      </c>
      <c r="E31" s="34">
        <f>E28+E29+E30</f>
        <v>2565.7814582264896</v>
      </c>
      <c r="F31" s="34">
        <f>F28+F29+F30</f>
        <v>2253.61883625218</v>
      </c>
    </row>
    <row r="32" ht="15" customHeight="1">
      <c r="A32" s="13" t="inlineStr">
        <is>
          <t>(-) Return of capital</t>
        </is>
      </c>
      <c r="B32" s="30">
        <f>-Holdco_Size</f>
        <v>-840.0</v>
      </c>
      <c r="C32" s="30">
        <f>-Holdco_Size</f>
        <v>-840.0</v>
      </c>
      <c r="D32" s="30">
        <f>-Holdco_Size</f>
        <v>-840.0</v>
      </c>
      <c r="E32" s="31">
        <f>-Holdco_Size</f>
        <v>-840.0</v>
      </c>
      <c r="F32" s="32">
        <f>B32*P_Base+C32*P_Bull+D32*P_Bear+E32*P_Shock</f>
        <v>-840.0</v>
      </c>
    </row>
    <row r="33" ht="15" customHeight="1">
      <c r="A33" s="13" t="inlineStr">
        <is>
          <t>(-) Preferred (8% comp.)</t>
        </is>
      </c>
      <c r="B33" s="30">
        <f>-Holdco_Size*((1+Pref)^Hold_Short-1)</f>
        <v>-394.23558451200046</v>
      </c>
      <c r="C33" s="30">
        <f>-Holdco_Size*((1+Pref)^Hold_Short-1)</f>
        <v>-394.23558451200046</v>
      </c>
      <c r="D33" s="30">
        <f>-Holdco_Size*((1+Pref)^Hold_Short-1)</f>
        <v>-394.23558451200046</v>
      </c>
      <c r="E33" s="31">
        <f>-Holdco_Size*((1+Pref)^Hold_Short-1)</f>
        <v>-394.23558451200046</v>
      </c>
      <c r="F33" s="32">
        <f>B33*P_Base+C33*P_Bull+D33*P_Bear+E33*P_Shock</f>
        <v>-394.23558451200046</v>
      </c>
    </row>
    <row r="34" ht="15" customHeight="1">
      <c r="A34" s="13" t="inlineStr">
        <is>
          <t>Profit above pref</t>
        </is>
      </c>
      <c r="B34" s="30">
        <f>MAX(0,B31+B32+B33)</f>
        <v>777.0839810699263</v>
      </c>
      <c r="C34" s="30">
        <f>MAX(0,C31+C32+C33)</f>
        <v>2174.5437210340397</v>
      </c>
      <c r="D34" s="30">
        <f>MAX(0,D31+D32+D33)</f>
        <v>0</v>
      </c>
      <c r="E34" s="31">
        <f>MAX(0,E31+E32+E33)</f>
        <v>1331.545873714489</v>
      </c>
      <c r="F34" s="32">
        <f>B34*P_Base+C34*P_Bull+D34*P_Bear+E34*P_Shock</f>
        <v>1093.05560279715</v>
      </c>
    </row>
    <row r="35" ht="15" customHeight="1">
      <c r="A35" s="13" t="inlineStr">
        <is>
          <t>(-) Carry (20%)</t>
        </is>
      </c>
      <c r="B35" s="30">
        <f>-Carry*B34</f>
        <v>-155.41679621398526</v>
      </c>
      <c r="C35" s="30">
        <f>-Carry*C34</f>
        <v>-434.90874420680797</v>
      </c>
      <c r="D35" s="30">
        <f>-Carry*D34</f>
        <v>-0.0</v>
      </c>
      <c r="E35" s="31">
        <f>-Carry*E34</f>
        <v>-266.3091747428978</v>
      </c>
      <c r="F35" s="32">
        <f>B35*P_Base+C35*P_Bull+D35*P_Bear+E35*P_Shock</f>
        <v>-218.61112055943005</v>
      </c>
    </row>
    <row r="36" ht="15" customHeight="1">
      <c r="A36" s="13" t="inlineStr">
        <is>
          <t>(-) Mgmt fees (2%/yr)</t>
        </is>
      </c>
      <c r="B36" s="30">
        <f>-Holdco_Size*Mgmt_Fee*Hold_Short</f>
        <v>-84.0</v>
      </c>
      <c r="C36" s="30">
        <f>-Holdco_Size*Mgmt_Fee*Hold_Short</f>
        <v>-84.0</v>
      </c>
      <c r="D36" s="30">
        <f>-Holdco_Size*Mgmt_Fee*Hold_Short</f>
        <v>-84.0</v>
      </c>
      <c r="E36" s="31">
        <f>-Holdco_Size*Mgmt_Fee*Hold_Short</f>
        <v>-84.0</v>
      </c>
      <c r="F36" s="32">
        <f>B36*P_Base+C36*P_Bull+D36*P_Bear+E36*P_Shock</f>
        <v>-84.0</v>
      </c>
    </row>
    <row r="37" ht="15" customHeight="1">
      <c r="A37" s="33" t="inlineStr">
        <is>
          <t>NET proceeds to LP</t>
        </is>
      </c>
      <c r="B37" s="34">
        <f>B31+B35+B36</f>
        <v>1771.9027693679416</v>
      </c>
      <c r="C37" s="34">
        <f>C31+C35+C36</f>
        <v>2889.870561339232</v>
      </c>
      <c r="D37" s="34">
        <f>D31+D35+D36</f>
        <v>659.086577465528</v>
      </c>
      <c r="E37" s="34">
        <f>E31+E35+E36</f>
        <v>2215.4722834835916</v>
      </c>
      <c r="F37" s="34">
        <f>B37*P_Base+C37*P_Bull+D37*P_Bear+E37*P_Shock</f>
        <v>1951.0077156927496</v>
      </c>
    </row>
    <row r="38" ht="15" customHeight="1">
      <c r="A38" s="33" t="inlineStr">
        <is>
          <t>Net MOIC</t>
        </is>
      </c>
      <c r="B38" s="35">
        <f>B37/Holdco_Size</f>
        <v>2.109408058771359</v>
      </c>
      <c r="C38" s="35">
        <f>C37/Holdco_Size</f>
        <v>3.440322096832419</v>
      </c>
      <c r="D38" s="35">
        <f>D37/Holdco_Size</f>
        <v>0.7846268779351523</v>
      </c>
      <c r="E38" s="35">
        <f>E37/Holdco_Size</f>
        <v>2.637467004147133</v>
      </c>
      <c r="F38" s="35">
        <f>F37/Holdco_Size</f>
        <v>2.322628232967559</v>
      </c>
    </row>
    <row r="39" ht="15" customHeight="1">
      <c r="A39" s="13" t="inlineStr">
        <is>
          <t>Net DPI (=TVPI at exit)</t>
        </is>
      </c>
      <c r="B39" s="36">
        <f>B37/Holdco_Size</f>
        <v>2.109408058771359</v>
      </c>
      <c r="C39" s="36">
        <f>C37/Holdco_Size</f>
        <v>3.440322096832419</v>
      </c>
      <c r="D39" s="36">
        <f>D37/Holdco_Size</f>
        <v>0.7846268779351523</v>
      </c>
      <c r="E39" s="37">
        <f>E37/Holdco_Size</f>
        <v>2.637467004147133</v>
      </c>
      <c r="F39" s="38">
        <f>F37/Holdco_Size</f>
        <v>2.322628232967559</v>
      </c>
    </row>
    <row r="40" ht="15" customHeight="1">
      <c r="A40" s="33" t="inlineStr">
        <is>
          <t>Net IRR</t>
        </is>
      </c>
      <c r="B40" s="20">
        <f>IF((B37/Holdco_Size)&lt;=0,-1,(B37/Holdco_Size)^(1/Hold_Short)-1)</f>
        <v>0.16099973382536192</v>
      </c>
      <c r="C40" s="20">
        <f>IF((C37/Holdco_Size)&lt;=0,-1,(C37/Holdco_Size)^(1/Hold_Short)-1)</f>
        <v>0.2803238067474392</v>
      </c>
      <c r="D40" s="20">
        <f>IF((D37/Holdco_Size)&lt;=0,-1,(D37/Holdco_Size)^(1/Hold_Short)-1)</f>
        <v>-0.04735161352187878</v>
      </c>
      <c r="E40" s="20">
        <f>IF((E37/Holdco_Size)&lt;=0,-1,(E37/Holdco_Size)^(1/Hold_Short)-1)</f>
        <v>0.2140523306613249</v>
      </c>
      <c r="F40" s="20">
        <f>IF((F37/Holdco_Size)&lt;=0,-1,(F37/Holdco_Size)^(1/Hold_Short)-1)</f>
        <v>0.18357542772384994</v>
      </c>
    </row>
    <row r="41" ht="15" customHeight="1">
      <c r="A41" s="13" t="inlineStr">
        <is>
          <t>KS-PME vs SPX</t>
        </is>
      </c>
      <c r="B41" s="36">
        <f>B38/(1+SPX_CAGR)^Hold_Short</f>
        <v>1.3709705039061708</v>
      </c>
      <c r="C41" s="36">
        <f>C38/(1+SPX_CAGR)^Hold_Short</f>
        <v>2.2359733097071244</v>
      </c>
      <c r="D41" s="36">
        <f>D38/(1+SPX_CAGR)^Hold_Short</f>
        <v>0.5099536345033361</v>
      </c>
      <c r="E41" s="37">
        <f>E38/(1+SPX_CAGR)^Hold_Short</f>
        <v>1.7141725863214896</v>
      </c>
      <c r="F41" s="38">
        <f>F38/(1+SPX_CAGR)^Hold_Short</f>
        <v>1.5095489873082817</v>
      </c>
    </row>
    <row r="42" ht="15" customHeight="1">
      <c r="A42" s="13" t="inlineStr">
        <is>
          <t>KS-PME vs NDX</t>
        </is>
      </c>
      <c r="B42" s="36">
        <f>B38/(1+NDX_CAGR)^Hold_Short</f>
        <v>1.1449021829754638</v>
      </c>
      <c r="C42" s="36">
        <f>C38/(1+NDX_CAGR)^Hold_Short</f>
        <v>1.8672690010942523</v>
      </c>
      <c r="D42" s="36">
        <f>D38/(1+NDX_CAGR)^Hold_Short</f>
        <v>0.4258640340515304</v>
      </c>
      <c r="E42" s="37">
        <f>E38/(1+NDX_CAGR)^Hold_Short</f>
        <v>1.431511422371555</v>
      </c>
      <c r="F42" s="38">
        <f>F38/(1+NDX_CAGR)^Hold_Short</f>
        <v>1.2606295510759846</v>
      </c>
    </row>
    <row r="43" ht="15" customHeight="1">
      <c r="A43" s="33" t="inlineStr">
        <is>
          <t>KS-PME vs Defense+Semis basket</t>
        </is>
      </c>
      <c r="B43" s="35">
        <f>B38/(1+Basket_CAGR)^Hold_Short</f>
        <v>1.0487486120718474</v>
      </c>
      <c r="C43" s="35">
        <f>C38/(1+Basket_CAGR)^Hold_Short</f>
        <v>1.7104481084777092</v>
      </c>
      <c r="D43" s="35">
        <f>D38/(1+Basket_CAGR)^Hold_Short</f>
        <v>0.3900982295990888</v>
      </c>
      <c r="E43" s="35">
        <f>E38/(1+Basket_CAGR)^Hold_Short</f>
        <v>1.3112872345788327</v>
      </c>
      <c r="F43" s="35">
        <f>F38/(1+Basket_CAGR)^Hold_Short</f>
        <v>1.1547567221784467</v>
      </c>
    </row>
    <row r="44" ht="15" customHeight="1">
      <c r="A44" s="13" t="inlineStr">
        <is>
          <t>Direct Alpha vs basket (ann.)</t>
        </is>
      </c>
      <c r="B44" s="15">
        <f>IF((B38/(1+Basket_CAGR)^Hold_Short)&lt;=0,-1,(B38/(1+Basket_CAGR)^Hold_Short)^(1/Hold_Short)-1)</f>
        <v>0.00956498593509747</v>
      </c>
      <c r="C44" s="15">
        <f>IF((C38/(1+Basket_CAGR)^Hold_Short)&lt;=0,-1,(C38/(1+Basket_CAGR)^Hold_Short)^(1/Hold_Short)-1)</f>
        <v>0.1133250493455995</v>
      </c>
      <c r="D44" s="15">
        <f>IF((D38/(1+Basket_CAGR)^Hold_Short)&lt;=0,-1,(D38/(1+Basket_CAGR)^Hold_Short)^(1/Hold_Short)-1)</f>
        <v>-0.17161009871467714</v>
      </c>
      <c r="E44" s="39">
        <f>IF((E38/(1+Basket_CAGR)^Hold_Short)&lt;=0,-1,(E38/(1+Basket_CAGR)^Hold_Short)^(1/Hold_Short)-1)</f>
        <v>0.05569767883593468</v>
      </c>
      <c r="F44" s="40">
        <f>IF((F38/(1+Basket_CAGR)^Hold_Short)&lt;=0,-1,(F38/(1+Basket_CAGR)^Hold_Short)^(1/Hold_Short)-1)</f>
        <v>0.029196024107695617</v>
      </c>
    </row>
    <row r="45" ht="15" customHeight="1">
      <c r="A45" s="177" t="n"/>
      <c r="B45" s="177" t="n"/>
      <c r="C45" s="177" t="n"/>
      <c r="D45" s="177" t="n"/>
      <c r="E45" s="177" t="n"/>
      <c r="F45" s="177" t="n"/>
    </row>
    <row r="46" ht="15" customHeight="1">
      <c r="A46" s="177" t="n"/>
      <c r="B46" s="177" t="n"/>
      <c r="C46" s="177" t="n"/>
      <c r="D46" s="177" t="n"/>
      <c r="E46" s="177" t="n"/>
      <c r="F46" s="177" t="n"/>
    </row>
    <row r="47" ht="15" customHeight="1">
      <c r="A47" s="28" t="str">
        <f>Hold_Mid&amp;"-YEAR HOLDCO ROLL-UP"</f>
        <v>7-YEAR HOLDCO ROLL-UP</v>
      </c>
      <c r="B47" s="177" t="n"/>
      <c r="C47" s="177" t="n"/>
      <c r="D47" s="177" t="n"/>
      <c r="E47" s="177" t="n"/>
      <c r="F47" s="177" t="n"/>
    </row>
    <row r="48" ht="15" customHeight="1">
      <c r="A48" s="186" t="inlineStr">
        <is>
          <t>Line item ($M)</t>
        </is>
      </c>
      <c r="B48" s="186" t="inlineStr">
        <is>
          <t>Base</t>
        </is>
      </c>
      <c r="C48" s="186" t="inlineStr">
        <is>
          <t>Bull</t>
        </is>
      </c>
      <c r="D48" s="186" t="inlineStr">
        <is>
          <t>Bear</t>
        </is>
      </c>
      <c r="E48" s="21" t="inlineStr">
        <is>
          <t>TSMC-Shock</t>
        </is>
      </c>
      <c r="F48" s="29" t="inlineStr">
        <is>
          <t>Expected</t>
        </is>
      </c>
    </row>
    <row r="49" ht="15" customHeight="1">
      <c r="A49" s="13" t="inlineStr">
        <is>
          <t>IQT-mirror gross</t>
        </is>
      </c>
      <c r="B49" s="30">
        <f>'Fund Economics'!B22</f>
        <v>778.1307714763823</v>
      </c>
      <c r="C49" s="30">
        <f>'Fund Economics'!C22</f>
        <v>1497.0052965953112</v>
      </c>
      <c r="D49" s="30">
        <f>'Fund Economics'!D22</f>
        <v>100.0336881936079</v>
      </c>
      <c r="E49" s="31">
        <f>'Fund Economics'!E22</f>
        <v>1542.4475243358172</v>
      </c>
      <c r="F49" s="32">
        <f>'Fund Economics'!F22</f>
        <v>970.7823531926136</v>
      </c>
    </row>
    <row r="50" ht="15" customHeight="1">
      <c r="A50" s="13" t="inlineStr">
        <is>
          <t>Weapons gross</t>
        </is>
      </c>
      <c r="B50" s="30">
        <f>'Weapons Sleeve'!C48</f>
        <v>1335.6852599158549</v>
      </c>
      <c r="C50" s="30">
        <f>'Weapons Sleeve'!F48</f>
        <v>2734.307718959475</v>
      </c>
      <c r="D50" s="30">
        <f>'Weapons Sleeve'!I48</f>
        <v>463.7236831894512</v>
      </c>
      <c r="E50" s="31">
        <f>'Weapons Sleeve'!L48</f>
        <v>2737.7292308667043</v>
      </c>
      <c r="F50" s="32">
        <f>B50*P_Base+C50*P_Bull+D50*P_Bear+E50*P_Shock</f>
        <v>1764.8532338104267</v>
      </c>
    </row>
    <row r="51" ht="15" customHeight="1">
      <c r="A51" s="13" t="inlineStr">
        <is>
          <t>Consumer/Value gross</t>
        </is>
      </c>
      <c r="B51" s="30">
        <f>'Consumer Sleeve'!C48</f>
        <v>733.3504912188805</v>
      </c>
      <c r="C51" s="30">
        <f>'Consumer Sleeve'!F48</f>
        <v>1784.0995037699522</v>
      </c>
      <c r="D51" s="30">
        <f>'Consumer Sleeve'!I48</f>
        <v>165.1945467770528</v>
      </c>
      <c r="E51" s="31">
        <f>'Consumer Sleeve'!L48</f>
        <v>76.35418293796164</v>
      </c>
      <c r="F51" s="32">
        <f>B51*P_Base+C51*P_Bull+D51*P_Bear+E51*P_Shock</f>
        <v>812.2649064482365</v>
      </c>
    </row>
    <row r="52" ht="15" customHeight="1">
      <c r="A52" s="33" t="inlineStr">
        <is>
          <t>HOLDCO gross proceeds</t>
        </is>
      </c>
      <c r="B52" s="34">
        <f>B49+B50+B51</f>
        <v>2847.1665226111177</v>
      </c>
      <c r="C52" s="34">
        <f>C49+C50+C51</f>
        <v>6015.412519324738</v>
      </c>
      <c r="D52" s="34">
        <f>D49+D50+D51</f>
        <v>728.9519181601119</v>
      </c>
      <c r="E52" s="34">
        <f>E49+E50+E51</f>
        <v>4356.530938140483</v>
      </c>
      <c r="F52" s="34">
        <f>F49+F50+F51</f>
        <v>3547.900493451277</v>
      </c>
    </row>
    <row r="53" ht="15" customHeight="1">
      <c r="A53" s="13" t="inlineStr">
        <is>
          <t>(-) Return of capital</t>
        </is>
      </c>
      <c r="B53" s="30">
        <f>-Holdco_Size</f>
        <v>-840.0</v>
      </c>
      <c r="C53" s="30">
        <f>-Holdco_Size</f>
        <v>-840.0</v>
      </c>
      <c r="D53" s="30">
        <f>-Holdco_Size</f>
        <v>-840.0</v>
      </c>
      <c r="E53" s="31">
        <f>-Holdco_Size</f>
        <v>-840.0</v>
      </c>
      <c r="F53" s="32">
        <f>B53*P_Base+C53*P_Bull+D53*P_Bear+E53*P_Shock</f>
        <v>-840.0</v>
      </c>
    </row>
    <row r="54" ht="15" customHeight="1">
      <c r="A54" s="13" t="inlineStr">
        <is>
          <t>(-) Preferred (8% comp.)</t>
        </is>
      </c>
      <c r="B54" s="30">
        <f>-Holdco_Size*((1+Pref)^Hold_Mid-1)</f>
        <v>-599.6123857747975</v>
      </c>
      <c r="C54" s="30">
        <f>-Holdco_Size*((1+Pref)^Hold_Mid-1)</f>
        <v>-599.6123857747975</v>
      </c>
      <c r="D54" s="30">
        <f>-Holdco_Size*((1+Pref)^Hold_Mid-1)</f>
        <v>-599.6123857747975</v>
      </c>
      <c r="E54" s="31">
        <f>-Holdco_Size*((1+Pref)^Hold_Mid-1)</f>
        <v>-599.6123857747975</v>
      </c>
      <c r="F54" s="32">
        <f>B54*P_Base+C54*P_Bull+D54*P_Bear+E54*P_Shock</f>
        <v>-599.6123857747975</v>
      </c>
    </row>
    <row r="55" ht="15" customHeight="1">
      <c r="A55" s="13" t="inlineStr">
        <is>
          <t>Profit above pref</t>
        </is>
      </c>
      <c r="B55" s="30">
        <f>MAX(0,B52+B53+B54)</f>
        <v>1407.5541368363201</v>
      </c>
      <c r="C55" s="30">
        <f>MAX(0,C52+C53+C54)</f>
        <v>4575.800133549941</v>
      </c>
      <c r="D55" s="30">
        <f>MAX(0,D52+D53+D54)</f>
        <v>0</v>
      </c>
      <c r="E55" s="31">
        <f>MAX(0,E52+E53+E54)</f>
        <v>2916.9185523656856</v>
      </c>
      <c r="F55" s="32">
        <f>B55*P_Base+C55*P_Bull+D55*P_Bear+E55*P_Shock</f>
        <v>2214.887177818682</v>
      </c>
    </row>
    <row r="56" ht="15" customHeight="1">
      <c r="A56" s="13" t="inlineStr">
        <is>
          <t>(-) Carry (20%)</t>
        </is>
      </c>
      <c r="B56" s="30">
        <f>-Carry*B55</f>
        <v>-281.510827367264</v>
      </c>
      <c r="C56" s="30">
        <f>-Carry*C55</f>
        <v>-915.1600267099883</v>
      </c>
      <c r="D56" s="30">
        <f>-Carry*D55</f>
        <v>-0.0</v>
      </c>
      <c r="E56" s="31">
        <f>-Carry*E55</f>
        <v>-583.3837104731372</v>
      </c>
      <c r="F56" s="32">
        <f>B56*P_Base+C56*P_Bull+D56*P_Bear+E56*P_Shock</f>
        <v>-442.97743556373644</v>
      </c>
    </row>
    <row r="57" ht="15" customHeight="1">
      <c r="A57" s="13" t="inlineStr">
        <is>
          <t>(-) Mgmt fees (2%/yr)</t>
        </is>
      </c>
      <c r="B57" s="30">
        <f>-Holdco_Size*Mgmt_Fee*Hold_Mid</f>
        <v>-117.60000000000001</v>
      </c>
      <c r="C57" s="30">
        <f>-Holdco_Size*Mgmt_Fee*Hold_Mid</f>
        <v>-117.60000000000001</v>
      </c>
      <c r="D57" s="30">
        <f>-Holdco_Size*Mgmt_Fee*Hold_Mid</f>
        <v>-117.60000000000001</v>
      </c>
      <c r="E57" s="31">
        <f>-Holdco_Size*Mgmt_Fee*Hold_Mid</f>
        <v>-117.60000000000001</v>
      </c>
      <c r="F57" s="32">
        <f>B57*P_Base+C57*P_Bull+D57*P_Bear+E57*P_Shock</f>
        <v>-117.60000000000001</v>
      </c>
    </row>
    <row r="58" ht="15" customHeight="1">
      <c r="A58" s="33" t="inlineStr">
        <is>
          <t>NET proceeds to LP</t>
        </is>
      </c>
      <c r="B58" s="34">
        <f>B52+B56+B57</f>
        <v>2448.0556952438537</v>
      </c>
      <c r="C58" s="34">
        <f>C52+C56+C57</f>
        <v>4982.6524926147495</v>
      </c>
      <c r="D58" s="34">
        <f>D52+D56+D57</f>
        <v>611.3519181601118</v>
      </c>
      <c r="E58" s="34">
        <f>E52+E56+E57</f>
        <v>3655.547227667346</v>
      </c>
      <c r="F58" s="34">
        <f>B58*P_Base+C58*P_Bull+D58*P_Bear+E58*P_Shock</f>
        <v>2987.32305788754</v>
      </c>
    </row>
    <row r="59" ht="15" customHeight="1">
      <c r="A59" s="33" t="inlineStr">
        <is>
          <t>Net MOIC</t>
        </is>
      </c>
      <c r="B59" s="35">
        <f>B58/Holdco_Size</f>
        <v>2.914352018147445</v>
      </c>
      <c r="C59" s="35">
        <f>C58/Holdco_Size</f>
        <v>5.931729157874702</v>
      </c>
      <c r="D59" s="35">
        <f>D58/Holdco_Size</f>
        <v>0.7277999025715617</v>
      </c>
      <c r="E59" s="35">
        <f>E58/Holdco_Size</f>
        <v>4.351841937699222</v>
      </c>
      <c r="F59" s="35">
        <f>F58/Holdco_Size</f>
        <v>3.5563369736756427</v>
      </c>
    </row>
    <row r="60" ht="15" customHeight="1">
      <c r="A60" s="13" t="inlineStr">
        <is>
          <t>Net DPI (=TVPI at exit)</t>
        </is>
      </c>
      <c r="B60" s="36">
        <f>B58/Holdco_Size</f>
        <v>2.914352018147445</v>
      </c>
      <c r="C60" s="36">
        <f>C58/Holdco_Size</f>
        <v>5.931729157874702</v>
      </c>
      <c r="D60" s="36">
        <f>D58/Holdco_Size</f>
        <v>0.7277999025715617</v>
      </c>
      <c r="E60" s="37">
        <f>E58/Holdco_Size</f>
        <v>4.351841937699222</v>
      </c>
      <c r="F60" s="38">
        <f>F58/Holdco_Size</f>
        <v>3.5563369736756427</v>
      </c>
    </row>
    <row r="61" ht="15" customHeight="1">
      <c r="A61" s="33" t="inlineStr">
        <is>
          <t>Net IRR</t>
        </is>
      </c>
      <c r="B61" s="20">
        <f>IF((B58/Holdco_Size)&lt;=0,-1,(B58/Holdco_Size)^(1/Hold_Mid)-1)</f>
        <v>0.16509984373594033</v>
      </c>
      <c r="C61" s="20">
        <f>IF((C58/Holdco_Size)&lt;=0,-1,(C58/Holdco_Size)^(1/Hold_Mid)-1)</f>
        <v>0.28959836332037137</v>
      </c>
      <c r="D61" s="20">
        <f>IF((D58/Holdco_Size)&lt;=0,-1,(D58/Holdco_Size)^(1/Hold_Mid)-1)</f>
        <v>-0.04437516540221775</v>
      </c>
      <c r="E61" s="20">
        <f>IF((E58/Holdco_Size)&lt;=0,-1,(E58/Holdco_Size)^(1/Hold_Mid)-1)</f>
        <v>0.23378366545587115</v>
      </c>
      <c r="F61" s="20">
        <f>IF((F58/Holdco_Size)&lt;=0,-1,(F58/Holdco_Size)^(1/Hold_Mid)-1)</f>
        <v>0.19871157976278053</v>
      </c>
    </row>
    <row r="62" ht="15" customHeight="1">
      <c r="A62" s="13" t="inlineStr">
        <is>
          <t>KS-PME vs SPX</t>
        </is>
      </c>
      <c r="B62" s="36">
        <f>B59/(1+SPX_CAGR)^Hold_Mid</f>
        <v>1.594250355454885</v>
      </c>
      <c r="C62" s="36">
        <f>C59/(1+SPX_CAGR)^Hold_Mid</f>
        <v>3.244858980493073</v>
      </c>
      <c r="D62" s="36">
        <f>D59/(1+SPX_CAGR)^Hold_Mid</f>
        <v>0.3981314701002741</v>
      </c>
      <c r="E62" s="37">
        <f>E59/(1+SPX_CAGR)^Hold_Mid</f>
        <v>2.380606568066772</v>
      </c>
      <c r="F62" s="38">
        <f>F59/(1+SPX_CAGR)^Hold_Mid</f>
        <v>1.9454381108030232</v>
      </c>
    </row>
    <row r="63" ht="15" customHeight="1">
      <c r="A63" s="13" t="inlineStr">
        <is>
          <t>KS-PME vs NDX</t>
        </is>
      </c>
      <c r="B63" s="36">
        <f>B59/(1+NDX_CAGR)^Hold_Mid</f>
        <v>1.238776344936621</v>
      </c>
      <c r="C63" s="36">
        <f>C59/(1+NDX_CAGR)^Hold_Mid</f>
        <v>2.521344614373981</v>
      </c>
      <c r="D63" s="36">
        <f>D59/(1+NDX_CAGR)^Hold_Mid</f>
        <v>0.3093590951054474</v>
      </c>
      <c r="E63" s="37">
        <f>E59/(1+NDX_CAGR)^Hold_Mid</f>
        <v>1.8497967355198888</v>
      </c>
      <c r="F63" s="38">
        <f>F59/(1+NDX_CAGR)^Hold_Mid</f>
        <v>1.511658883408775</v>
      </c>
    </row>
    <row r="64" ht="15" customHeight="1">
      <c r="A64" s="33" t="inlineStr">
        <is>
          <t>KS-PME vs Defense+Semis basket</t>
        </is>
      </c>
      <c r="B64" s="35">
        <f>B59/(1+Basket_CAGR)^Hold_Mid</f>
        <v>1.0956128709962416</v>
      </c>
      <c r="C64" s="35">
        <f>C59/(1+Basket_CAGR)^Hold_Mid</f>
        <v>2.2299567012369144</v>
      </c>
      <c r="D64" s="35">
        <f>D59/(1+Basket_CAGR)^Hold_Mid</f>
        <v>0.2736069410290681</v>
      </c>
      <c r="E64" s="35">
        <f>E59/(1+Basket_CAGR)^Hold_Mid</f>
        <v>1.636018576271821</v>
      </c>
      <c r="F64" s="35">
        <f>F59/(1+Basket_CAGR)^Hold_Mid</f>
        <v>1.3369587948526704</v>
      </c>
    </row>
    <row r="65" ht="15" customHeight="1">
      <c r="A65" s="13" t="inlineStr">
        <is>
          <t>Direct Alpha vs basket (ann.)</t>
        </is>
      </c>
      <c r="B65" s="15">
        <f>IF((B59/(1+Basket_CAGR)^Hold_Mid)&lt;=0,-1,(B59/(1+Basket_CAGR)^Hold_Mid)^(1/Hold_Mid)-1)</f>
        <v>0.01313029890081796</v>
      </c>
      <c r="C65" s="15">
        <f>IF((C59/(1+Basket_CAGR)^Hold_Mid)&lt;=0,-1,(C59/(1+Basket_CAGR)^Hold_Mid)^(1/Hold_Mid)-1)</f>
        <v>0.1213898811481493</v>
      </c>
      <c r="D65" s="15">
        <f>IF((D59/(1+Basket_CAGR)^Hold_Mid)&lt;=0,-1,(D59/(1+Basket_CAGR)^Hold_Mid)^(1/Hold_Mid)-1)</f>
        <v>-0.16902188295845022</v>
      </c>
      <c r="E65" s="39">
        <f>IF((E59/(1+Basket_CAGR)^Hold_Mid)&lt;=0,-1,(E59/(1+Basket_CAGR)^Hold_Mid)^(1/Hold_Mid)-1)</f>
        <v>0.07285536126597503</v>
      </c>
      <c r="F65" s="40">
        <f>IF((F59/(1+Basket_CAGR)^Hold_Mid)&lt;=0,-1,(F59/(1+Basket_CAGR)^Hold_Mid)^(1/Hold_Mid)-1)</f>
        <v>0.04235789544589608</v>
      </c>
    </row>
    <row r="66" ht="15" customHeight="1">
      <c r="A66" s="177" t="n"/>
      <c r="B66" s="177" t="n"/>
      <c r="C66" s="177" t="n"/>
      <c r="D66" s="177" t="n"/>
      <c r="E66" s="177" t="n"/>
      <c r="F66" s="177" t="n"/>
    </row>
    <row r="67" ht="15" customHeight="1">
      <c r="A67" s="177" t="n"/>
      <c r="B67" s="177" t="n"/>
      <c r="C67" s="177" t="n"/>
      <c r="D67" s="177" t="n"/>
      <c r="E67" s="177" t="n"/>
      <c r="F67" s="177" t="n"/>
    </row>
    <row r="68" ht="15" customHeight="1">
      <c r="A68" s="28" t="str">
        <f>Hold_Long&amp;"-YEAR HOLDCO ROLL-UP"</f>
        <v>10-YEAR HOLDCO ROLL-UP</v>
      </c>
      <c r="B68" s="177" t="n"/>
      <c r="C68" s="177" t="n"/>
      <c r="D68" s="177" t="n"/>
      <c r="E68" s="177" t="n"/>
      <c r="F68" s="177" t="n"/>
    </row>
    <row r="69" ht="15" customHeight="1">
      <c r="A69" s="186" t="inlineStr">
        <is>
          <t>Line item ($M)</t>
        </is>
      </c>
      <c r="B69" s="186" t="inlineStr">
        <is>
          <t>Base</t>
        </is>
      </c>
      <c r="C69" s="186" t="inlineStr">
        <is>
          <t>Bull</t>
        </is>
      </c>
      <c r="D69" s="186" t="inlineStr">
        <is>
          <t>Bear</t>
        </is>
      </c>
      <c r="E69" s="21" t="inlineStr">
        <is>
          <t>TSMC-Shock</t>
        </is>
      </c>
      <c r="F69" s="29" t="inlineStr">
        <is>
          <t>Expected</t>
        </is>
      </c>
    </row>
    <row r="70" ht="15" customHeight="1">
      <c r="A70" s="13" t="inlineStr">
        <is>
          <t>IQT-mirror gross</t>
        </is>
      </c>
      <c r="B70" s="30">
        <f>'Fund Economics'!B38</f>
        <v>1261.4559359608952</v>
      </c>
      <c r="C70" s="30">
        <f>'Fund Economics'!C38</f>
        <v>3197.697188993902</v>
      </c>
      <c r="D70" s="30">
        <f>'Fund Economics'!D38</f>
        <v>73.96335394130377</v>
      </c>
      <c r="E70" s="31">
        <f>'Fund Economics'!E38</f>
        <v>3418.1014561193974</v>
      </c>
      <c r="F70" s="32">
        <f>'Fund Economics'!F38</f>
        <v>1890.8891899399837</v>
      </c>
    </row>
    <row r="71" ht="15" customHeight="1">
      <c r="A71" s="13" t="inlineStr">
        <is>
          <t>Weapons gross</t>
        </is>
      </c>
      <c r="B71" s="30">
        <f>'Weapons Sleeve'!C62</f>
        <v>2309.5430450299345</v>
      </c>
      <c r="C71" s="30">
        <f>'Weapons Sleeve'!F62</f>
        <v>6599.488517783072</v>
      </c>
      <c r="D71" s="30">
        <f>'Weapons Sleeve'!I62</f>
        <v>496.5196864314694</v>
      </c>
      <c r="E71" s="31">
        <f>'Weapons Sleeve'!L62</f>
        <v>6598.600299015651</v>
      </c>
      <c r="F71" s="32">
        <f>B71*P_Base+C71*P_Bull+D71*P_Bear+E71*P_Shock</f>
        <v>3753.4344975263066</v>
      </c>
    </row>
    <row r="72" ht="15" customHeight="1">
      <c r="A72" s="13" t="inlineStr">
        <is>
          <t>Consumer/Value gross</t>
        </is>
      </c>
      <c r="B72" s="30">
        <f>'Consumer Sleeve'!C62</f>
        <v>1272.2620836793592</v>
      </c>
      <c r="C72" s="30">
        <f>'Consumer Sleeve'!F62</f>
        <v>4579.070895201318</v>
      </c>
      <c r="D72" s="30">
        <f>'Consumer Sleeve'!I62</f>
        <v>157.59436270818185</v>
      </c>
      <c r="E72" s="31">
        <f>'Consumer Sleeve'!L62</f>
        <v>50.98707740480144</v>
      </c>
      <c r="F72" s="32">
        <f>B72*P_Base+C72*P_Bull+D72*P_Bear+E72*P_Shock</f>
        <v>1748.5728774729887</v>
      </c>
    </row>
    <row r="73" ht="15" customHeight="1">
      <c r="A73" s="33" t="inlineStr">
        <is>
          <t>HOLDCO gross proceeds</t>
        </is>
      </c>
      <c r="B73" s="34">
        <f>B70+B71+B72</f>
        <v>4843.261064670189</v>
      </c>
      <c r="C73" s="34">
        <f>C70+C71+C72</f>
        <v>14376.256601978293</v>
      </c>
      <c r="D73" s="34">
        <f>D70+D71+D72</f>
        <v>728.077403080955</v>
      </c>
      <c r="E73" s="34">
        <f>E70+E71+E72</f>
        <v>10067.68883253985</v>
      </c>
      <c r="F73" s="34">
        <f>F70+F71+F72</f>
        <v>7392.896564939279</v>
      </c>
    </row>
    <row r="74" ht="15" customHeight="1">
      <c r="A74" s="13" t="inlineStr">
        <is>
          <t>(-) Return of capital</t>
        </is>
      </c>
      <c r="B74" s="30">
        <f>-Holdco_Size</f>
        <v>-840.0</v>
      </c>
      <c r="C74" s="30">
        <f>-Holdco_Size</f>
        <v>-840.0</v>
      </c>
      <c r="D74" s="30">
        <f>-Holdco_Size</f>
        <v>-840.0</v>
      </c>
      <c r="E74" s="31">
        <f>-Holdco_Size</f>
        <v>-840.0</v>
      </c>
      <c r="F74" s="32">
        <f>B74*P_Base+C74*P_Bull+D74*P_Bear+E74*P_Shock</f>
        <v>-840.0</v>
      </c>
    </row>
    <row r="75" ht="15" customHeight="1">
      <c r="A75" s="13" t="inlineStr">
        <is>
          <t>(-) Preferred (8% comp.)</t>
        </is>
      </c>
      <c r="B75" s="30">
        <f>-Holdco_Size*((1+Pref)^Hold_Long-1)</f>
        <v>-973.4969977091421</v>
      </c>
      <c r="C75" s="30">
        <f>-Holdco_Size*((1+Pref)^Hold_Long-1)</f>
        <v>-973.4969977091421</v>
      </c>
      <c r="D75" s="30">
        <f>-Holdco_Size*((1+Pref)^Hold_Long-1)</f>
        <v>-973.4969977091421</v>
      </c>
      <c r="E75" s="31">
        <f>-Holdco_Size*((1+Pref)^Hold_Long-1)</f>
        <v>-973.4969977091421</v>
      </c>
      <c r="F75" s="32">
        <f>B75*P_Base+C75*P_Bull+D75*P_Bear+E75*P_Shock</f>
        <v>-973.4969977091421</v>
      </c>
    </row>
    <row r="76" ht="15" customHeight="1">
      <c r="A76" s="13" t="inlineStr">
        <is>
          <t>Profit above pref</t>
        </is>
      </c>
      <c r="B76" s="30">
        <f>MAX(0,B73+B74+B75)</f>
        <v>3029.7640669610464</v>
      </c>
      <c r="C76" s="30">
        <f>MAX(0,C73+C74+C75)</f>
        <v>12562.759604269151</v>
      </c>
      <c r="D76" s="30">
        <f>MAX(0,D73+D74+D75)</f>
        <v>0</v>
      </c>
      <c r="E76" s="31">
        <f>MAX(0,E73+E74+E75)</f>
        <v>8254.191834830708</v>
      </c>
      <c r="F76" s="32">
        <f>B76*P_Base+C76*P_Bull+D76*P_Bear+E76*P_Shock</f>
        <v>5742.212506424365</v>
      </c>
    </row>
    <row r="77" ht="15" customHeight="1">
      <c r="A77" s="13" t="inlineStr">
        <is>
          <t>(-) Carry (20%)</t>
        </is>
      </c>
      <c r="B77" s="30">
        <f>-Carry*B76</f>
        <v>-605.9528133922094</v>
      </c>
      <c r="C77" s="30">
        <f>-Carry*C76</f>
        <v>-2512.5519208538303</v>
      </c>
      <c r="D77" s="30">
        <f>-Carry*D76</f>
        <v>-0.0</v>
      </c>
      <c r="E77" s="31">
        <f>-Carry*E76</f>
        <v>-1650.8383669661416</v>
      </c>
      <c r="F77" s="32">
        <f>B77*P_Base+C77*P_Bull+D77*P_Bear+E77*P_Shock</f>
        <v>-1148.4425012848728</v>
      </c>
    </row>
    <row r="78" ht="15" customHeight="1">
      <c r="A78" s="13" t="inlineStr">
        <is>
          <t>(-) Mgmt fees (2%/yr)</t>
        </is>
      </c>
      <c r="B78" s="30">
        <f>-Holdco_Size*Mgmt_Fee*Hold_Long</f>
        <v>-168.0</v>
      </c>
      <c r="C78" s="30">
        <f>-Holdco_Size*Mgmt_Fee*Hold_Long</f>
        <v>-168.0</v>
      </c>
      <c r="D78" s="30">
        <f>-Holdco_Size*Mgmt_Fee*Hold_Long</f>
        <v>-168.0</v>
      </c>
      <c r="E78" s="31">
        <f>-Holdco_Size*Mgmt_Fee*Hold_Long</f>
        <v>-168.0</v>
      </c>
      <c r="F78" s="32">
        <f>B78*P_Base+C78*P_Bull+D78*P_Bear+E78*P_Shock</f>
        <v>-168.0</v>
      </c>
    </row>
    <row r="79" ht="15" customHeight="1">
      <c r="A79" s="33" t="inlineStr">
        <is>
          <t>NET proceeds to LP</t>
        </is>
      </c>
      <c r="B79" s="34">
        <f>B73+B77+B78</f>
        <v>4069.3082512779793</v>
      </c>
      <c r="C79" s="34">
        <f>C73+C77+C78</f>
        <v>11695.704681124464</v>
      </c>
      <c r="D79" s="34">
        <f>D73+D77+D78</f>
        <v>560.077403080955</v>
      </c>
      <c r="E79" s="34">
        <f>E73+E77+E78</f>
        <v>8248.850465573709</v>
      </c>
      <c r="F79" s="34">
        <f>B79*P_Base+C79*P_Bull+D79*P_Bear+E79*P_Shock</f>
        <v>6076.454063654406</v>
      </c>
    </row>
    <row r="80" ht="15" customHeight="1">
      <c r="A80" s="33" t="inlineStr">
        <is>
          <t>Net MOIC</t>
        </is>
      </c>
      <c r="B80" s="35">
        <f>B79/Holdco_Size</f>
        <v>4.8444145848547375</v>
      </c>
      <c r="C80" s="35">
        <f>C79/Holdco_Size</f>
        <v>13.9234579537196</v>
      </c>
      <c r="D80" s="35">
        <f>D79/Holdco_Size</f>
        <v>0.6667588131916131</v>
      </c>
      <c r="E80" s="35">
        <f>E79/Holdco_Size</f>
        <v>9.820060078063939</v>
      </c>
      <c r="F80" s="35">
        <f>F79/Holdco_Size</f>
        <v>7.233873885302865</v>
      </c>
    </row>
    <row r="81" ht="15" customHeight="1">
      <c r="A81" s="13" t="inlineStr">
        <is>
          <t>Net DPI (=TVPI at exit)</t>
        </is>
      </c>
      <c r="B81" s="36">
        <f>B79/Holdco_Size</f>
        <v>4.8444145848547375</v>
      </c>
      <c r="C81" s="36">
        <f>C79/Holdco_Size</f>
        <v>13.9234579537196</v>
      </c>
      <c r="D81" s="36">
        <f>D79/Holdco_Size</f>
        <v>0.6667588131916131</v>
      </c>
      <c r="E81" s="37">
        <f>E79/Holdco_Size</f>
        <v>9.820060078063939</v>
      </c>
      <c r="F81" s="38">
        <f>F79/Holdco_Size</f>
        <v>7.233873885302865</v>
      </c>
    </row>
    <row r="82" ht="15" customHeight="1">
      <c r="A82" s="33" t="inlineStr">
        <is>
          <t>Net IRR</t>
        </is>
      </c>
      <c r="B82" s="20">
        <f>IF((B79/Holdco_Size)&lt;=0,-1,(B79/Holdco_Size)^(1/Hold_Long)-1)</f>
        <v>0.17091165877931425</v>
      </c>
      <c r="C82" s="20">
        <f>IF((C79/Holdco_Size)&lt;=0,-1,(C79/Holdco_Size)^(1/Hold_Long)-1)</f>
        <v>0.3012918528810544</v>
      </c>
      <c r="D82" s="20">
        <f>IF((D79/Holdco_Size)&lt;=0,-1,(D79/Holdco_Size)^(1/Hold_Long)-1)</f>
        <v>-0.03972222727774388</v>
      </c>
      <c r="E82" s="20">
        <f>IF((E79/Holdco_Size)&lt;=0,-1,(E79/Holdco_Size)^(1/Hold_Long)-1)</f>
        <v>0.2566415477041235</v>
      </c>
      <c r="F82" s="20">
        <f>IF((F79/Holdco_Size)&lt;=0,-1,(F79/Holdco_Size)^(1/Hold_Long)-1)</f>
        <v>0.21881304348201125</v>
      </c>
    </row>
    <row r="83" ht="15" customHeight="1">
      <c r="A83" s="13" t="inlineStr">
        <is>
          <t>KS-PME vs SPX</t>
        </is>
      </c>
      <c r="B83" s="36">
        <f>B80/(1+SPX_CAGR)^Hold_Long</f>
        <v>2.0463330737257333</v>
      </c>
      <c r="C83" s="36">
        <f>C80/(1+SPX_CAGR)^Hold_Long</f>
        <v>5.881419109008893</v>
      </c>
      <c r="D83" s="36">
        <f>D80/(1+SPX_CAGR)^Hold_Long</f>
        <v>0.2816461282850812</v>
      </c>
      <c r="E83" s="37">
        <f>E80/(1+SPX_CAGR)^Hold_Long</f>
        <v>4.1480995013391295</v>
      </c>
      <c r="F83" s="38">
        <f>F80/(1+SPX_CAGR)^Hold_Long</f>
        <v>3.055666504872435</v>
      </c>
    </row>
    <row r="84" ht="15" customHeight="1">
      <c r="A84" s="13" t="inlineStr">
        <is>
          <t>KS-PME vs NDX</t>
        </is>
      </c>
      <c r="B84" s="36">
        <f>B80/(1+NDX_CAGR)^Hold_Long</f>
        <v>1.4271080901904671</v>
      </c>
      <c r="C84" s="36">
        <f>C80/(1+NDX_CAGR)^Hold_Long</f>
        <v>4.1016884787898205</v>
      </c>
      <c r="D84" s="36">
        <f>D80/(1+NDX_CAGR)^Hold_Long</f>
        <v>0.1964193773766532</v>
      </c>
      <c r="E84" s="37">
        <f>E80/(1+NDX_CAGR)^Hold_Long</f>
        <v>2.8928752768961665</v>
      </c>
      <c r="F84" s="38">
        <f>F80/(1+NDX_CAGR)^Hold_Long</f>
        <v>2.131014958424088</v>
      </c>
    </row>
    <row r="85" ht="15" customHeight="1">
      <c r="A85" s="33" t="inlineStr">
        <is>
          <t>KS-PME vs Defense+Semis basket</t>
        </is>
      </c>
      <c r="B85" s="35">
        <f>B80/(1+Basket_CAGR)^Hold_Long</f>
        <v>1.197465195489799</v>
      </c>
      <c r="C85" s="35">
        <f>C80/(1+Basket_CAGR)^Hold_Long</f>
        <v>3.441665862490335</v>
      </c>
      <c r="D85" s="35">
        <f>D80/(1+Basket_CAGR)^Hold_Long</f>
        <v>0.16481258129293294</v>
      </c>
      <c r="E85" s="35">
        <f>E80/(1+Basket_CAGR)^Hold_Long</f>
        <v>2.427368664495302</v>
      </c>
      <c r="F85" s="35">
        <f>F80/(1+Basket_CAGR)^Hold_Long</f>
        <v>1.7881029904612287</v>
      </c>
    </row>
    <row r="86" ht="15" customHeight="1">
      <c r="A86" s="13" t="inlineStr">
        <is>
          <t>Direct Alpha vs basket (ann.)</t>
        </is>
      </c>
      <c r="B86" s="15">
        <f>IF((B80/(1+Basket_CAGR)^Hold_Long)&lt;=0,-1,(B80/(1+Basket_CAGR)^Hold_Long)^(1/Hold_Long)-1)</f>
        <v>0.01818405111244714</v>
      </c>
      <c r="C86" s="15">
        <f>IF((C80/(1+Basket_CAGR)^Hold_Long)&lt;=0,-1,(C80/(1+Basket_CAGR)^Hold_Long)^(1/Hold_Long)-1)</f>
        <v>0.13155813294004748</v>
      </c>
      <c r="D86" s="15">
        <f>IF((D80/(1+Basket_CAGR)^Hold_Long)&lt;=0,-1,(D80/(1+Basket_CAGR)^Hold_Long)^(1/Hold_Long)-1)</f>
        <v>-0.16497584980673374</v>
      </c>
      <c r="E86" s="39">
        <f>IF((E80/(1+Basket_CAGR)^Hold_Long)&lt;=0,-1,(E80/(1+Basket_CAGR)^Hold_Long)^(1/Hold_Long)-1)</f>
        <v>0.09273178061228138</v>
      </c>
      <c r="F86" s="40">
        <f>IF((F80/(1+Basket_CAGR)^Hold_Long)&lt;=0,-1,(F80/(1+Basket_CAGR)^Hold_Long)^(1/Hold_Long)-1)</f>
        <v>0.059837429114792506</v>
      </c>
    </row>
    <row r="87" ht="15" customHeight="1">
      <c r="A87" s="177" t="n"/>
      <c r="B87" s="177" t="n"/>
      <c r="C87" s="177" t="n"/>
      <c r="D87" s="177" t="n"/>
      <c r="E87" s="177" t="n"/>
      <c r="F87" s="177" t="n"/>
    </row>
    <row r="88" ht="15" customHeight="1">
      <c r="A88" s="177" t="n"/>
      <c r="B88" s="177" t="n"/>
      <c r="C88" s="177" t="n"/>
      <c r="D88" s="177" t="n"/>
      <c r="E88" s="177" t="n"/>
      <c r="F88" s="177" t="n"/>
    </row>
    <row r="89" ht="15" customHeight="1">
      <c r="A89" s="11" t="inlineStr">
        <is>
          <t>READ-THROUGH</t>
        </is>
      </c>
      <c r="B89" s="177" t="n"/>
      <c r="C89" s="177" t="n"/>
      <c r="D89" s="177" t="n"/>
      <c r="E89" s="177" t="n"/>
      <c r="F89" s="177" t="n"/>
    </row>
    <row r="90" ht="27.75" customHeight="1">
      <c r="A90" s="181" t="inlineStr">
        <is>
          <t>• The holdco is a tripartite barbell: two defense-supercycle sleeves (digital enablers + physical effectors) + a consumer/value ballast that is uncorrelated and carries the near-term DPI.</t>
        </is>
      </c>
    </row>
    <row r="91" ht="27.75" customHeight="1">
      <c r="A91" s="181" t="inlineStr">
        <is>
          <t>• Judge the IQT sleeve on its marginal contribution here — convexity and a Taiwan/TSMC hedge — not on a standalone 'beat the Nasdaq' test. That test lives at the holdco level.</t>
        </is>
      </c>
    </row>
    <row r="92" ht="27.75" customHeight="1">
      <c r="A92" s="181" t="inlineStr">
        <is>
          <t>• The KS-PME vs the Defense+Semis basket is the real scoreboard: it asks whether the holdco captures the sovereign-capital trend earlier and cheaper than the public thematic ETFs everyone else uses.</t>
        </is>
      </c>
    </row>
    <row r="93" ht="27.75" customHeight="1">
      <c r="A93" s="181" t="inlineStr">
        <is>
          <t>• All three sleeves — IQT-mirror, Weapons, and Consumer/Value — are now modeled bottom-up from individual holdings; only the SPX/NDX/thematic-basket benchmarks remain top-down inputs.</t>
        </is>
      </c>
    </row>
  </sheetData>
  <mergeCells count="8">
    <mergeCell ref="A24:F24"/>
    <mergeCell ref="A11:F11"/>
    <mergeCell ref="A10:F10"/>
    <mergeCell ref="A93:F93"/>
    <mergeCell ref="A90:F90"/>
    <mergeCell ref="A12:F12"/>
    <mergeCell ref="A92:F92"/>
    <mergeCell ref="A91:F91"/>
  </mergeCells>
  <conditionalFormatting sqref="A3">
    <cfRule type="expression" priority="1" dxfId="0">
      <formula>ISNUMBER(SEARCH("FAILING",A3))</formula>
    </cfRule>
  </conditionalFormatting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D56"/>
  <sheetViews>
    <sheetView showGridLines="0" tabSelected="0" zoomScale="90" zoomScaleNormal="100"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10" defaultColWidth="8.6640625" defaultRowHeight="15"/>
  <cols>
    <col width="32" customWidth="1" min="1" max="1"/>
    <col width="26" customWidth="1" min="2" max="2"/>
    <col width="24" customWidth="1" min="3" max="3"/>
    <col width="62" customWidth="1" min="4" max="4"/>
  </cols>
  <sheetData>
    <row r="1" ht="18" customHeight="1">
      <c r="A1" s="9" t="inlineStr">
        <is>
          <t>MACRO, GEOPOLITICAL &amp; DEFENSE-SUPERCYCLE OVERLAY</t>
        </is>
      </c>
      <c r="B1" s="177" t="n"/>
      <c r="C1" s="177" t="n"/>
      <c r="D1" s="177" t="n"/>
    </row>
    <row r="2" ht="15" customHeight="1">
      <c r="A2" s="180" t="inlineStr">
        <is>
          <t>Grounds the sleeve return assumptions in current comps and the geopolitical/macro picture. Figures as of ~Jun-Sep 2026; sourced below.</t>
        </is>
      </c>
      <c r="B2" s="177" t="n"/>
      <c r="C2" s="177" t="n"/>
      <c r="D2" s="177" t="n"/>
    </row>
    <row r="3" ht="15" customHeight="1">
      <c r="A3" s="177" t="n"/>
      <c r="B3" s="177" t="n"/>
      <c r="C3" s="177" t="n"/>
      <c r="D3" s="177" t="n"/>
    </row>
    <row r="4" ht="15" customHeight="1">
      <c r="A4" s="11" t="inlineStr">
        <is>
          <t>1 | PUBLIC &amp; PRIVATE COMPS GROUNDING THE SLEEVE ASSUMPTIONS</t>
        </is>
      </c>
      <c r="B4" s="177" t="n"/>
      <c r="C4" s="177" t="n"/>
      <c r="D4" s="177" t="n"/>
    </row>
    <row r="5" ht="15" customHeight="1">
      <c r="A5" s="186" t="inlineStr">
        <is>
          <t>Comparable</t>
        </is>
      </c>
      <c r="B5" s="186" t="inlineStr">
        <is>
          <t>Metric</t>
        </is>
      </c>
      <c r="C5" s="186" t="inlineStr">
        <is>
          <t>Value</t>
        </is>
      </c>
      <c r="D5" s="186" t="inlineStr">
        <is>
          <t>Note / relevance</t>
        </is>
      </c>
    </row>
    <row r="6" ht="15" customHeight="1">
      <c r="A6" s="183" t="inlineStr">
        <is>
          <t>ITA (US Aero &amp; Defense ETF)</t>
        </is>
      </c>
      <c r="B6" s="183" t="inlineStr">
        <is>
          <t>Total return 1/5/10-yr</t>
        </is>
      </c>
      <c r="C6" s="41" t="inlineStr">
        <is>
          <t>29.3% / 18.2% / 15.7%</t>
        </is>
      </c>
      <c r="D6" s="42" t="inlineStr">
        <is>
          <t>Defense supercycle already priced into public primes (as of Jun-26)</t>
        </is>
      </c>
    </row>
    <row r="7" ht="15" customHeight="1">
      <c r="A7" s="183" t="inlineStr">
        <is>
          <t>SOXX (Semiconductor ETF)</t>
        </is>
      </c>
      <c r="B7" s="183" t="inlineStr">
        <is>
          <t>Total return 1/5/10-yr</t>
        </is>
      </c>
      <c r="C7" s="41" t="inlineStr">
        <is>
          <t>169.6% / 34.5% / 36.6%</t>
        </is>
      </c>
      <c r="D7" s="42" t="inlineStr">
        <is>
          <t>AI-driven surge; forward mean-reversion risk off a huge base</t>
        </is>
      </c>
    </row>
    <row r="8" ht="15" customHeight="1">
      <c r="A8" s="183" t="inlineStr">
        <is>
          <t>50/50 ITA/SOXX basket</t>
        </is>
      </c>
      <c r="B8" s="183" t="inlineStr">
        <is>
          <t>Trailing 5-yr blend</t>
        </is>
      </c>
      <c r="C8" s="41" t="inlineStr">
        <is>
          <t>~26.3%</t>
        </is>
      </c>
      <c r="D8" s="42" t="inlineStr">
        <is>
          <t>Thematic hurdle; model uses 15% FORWARD (tempered)</t>
        </is>
      </c>
    </row>
    <row r="9" ht="15" customHeight="1">
      <c r="A9" s="183" t="inlineStr">
        <is>
          <t>SPX / NDX</t>
        </is>
      </c>
      <c r="B9" s="183" t="inlineStr">
        <is>
          <t>Forward CAGR (model)</t>
        </is>
      </c>
      <c r="C9" s="41" t="inlineStr">
        <is>
          <t>9.0% / 13.0%</t>
        </is>
      </c>
      <c r="D9" s="42" t="inlineStr">
        <is>
          <t>Broad-market floor benchmarks</t>
        </is>
      </c>
    </row>
    <row r="10" ht="27.75" customHeight="1">
      <c r="A10" s="183" t="inlineStr">
        <is>
          <t>Rheinmetall (RHM)</t>
        </is>
      </c>
      <c r="B10" s="183" t="inlineStr">
        <is>
          <t>Rev growth / EV-Rev / EV-EBITDA</t>
        </is>
      </c>
      <c r="C10" s="41" t="inlineStr">
        <is>
          <t>40% / 4.0x / 17.3x</t>
        </is>
      </c>
      <c r="D10" s="42" t="inlineStr">
        <is>
          <t>European rearmament bellwether; $54B cap</t>
        </is>
      </c>
    </row>
    <row r="11" ht="15" customHeight="1">
      <c r="A11" s="183" t="inlineStr">
        <is>
          <t>AeroVironment (AVAV)</t>
        </is>
      </c>
      <c r="B11" s="183" t="inlineStr">
        <is>
          <t>TTM rev / YoY</t>
        </is>
      </c>
      <c r="C11" s="41" t="inlineStr">
        <is>
          <t>$1.61B / +117%</t>
        </is>
      </c>
      <c r="D11" s="42" t="inlineStr">
        <is>
          <t>Drones/loitering munitions (incl. M&amp;A); supercycle demand</t>
        </is>
      </c>
    </row>
    <row r="12" ht="15" customHeight="1">
      <c r="A12" s="183" t="inlineStr">
        <is>
          <t>L3Harris (LHX)</t>
        </is>
      </c>
      <c r="B12" s="183" t="inlineStr">
        <is>
          <t>EV-Rev / EV-EBITDA</t>
        </is>
      </c>
      <c r="C12" s="41" t="inlineStr">
        <is>
          <t>2.6x / 15.1x</t>
        </is>
      </c>
      <c r="D12" s="42" t="inlineStr">
        <is>
          <t>Established prime multiple anchor</t>
        </is>
      </c>
    </row>
    <row r="13" ht="15" customHeight="1">
      <c r="A13" s="183" t="inlineStr">
        <is>
          <t>Saronic (private)</t>
        </is>
      </c>
      <c r="B13" s="183" t="inlineStr">
        <is>
          <t>Valuation / 2025 rev</t>
        </is>
      </c>
      <c r="C13" s="41" t="inlineStr">
        <is>
          <t>$9.25B / $200M (+1,500%)</t>
        </is>
      </c>
      <c r="D13" s="42" t="inlineStr">
        <is>
          <t>Naval autonomy hypergrowth (Series D, Mar-26)</t>
        </is>
      </c>
    </row>
    <row r="14" ht="15" customHeight="1">
      <c r="A14" s="183" t="inlineStr">
        <is>
          <t>Anduril (private)</t>
        </is>
      </c>
      <c r="B14" s="183" t="inlineStr">
        <is>
          <t>Valuation / 2025 rev</t>
        </is>
      </c>
      <c r="C14" s="41" t="inlineStr">
        <is>
          <t>$61B / $2.2B (+120%)</t>
        </is>
      </c>
      <c r="D14" s="42" t="inlineStr">
        <is>
          <t>Scale-up reference; $20B Army ceiling (Mar-26)</t>
        </is>
      </c>
    </row>
    <row r="15" ht="15" customHeight="1">
      <c r="A15" s="183" t="inlineStr">
        <is>
          <t>Epirus (private)</t>
        </is>
      </c>
      <c r="B15" s="183" t="inlineStr">
        <is>
          <t>Directed energy / HPM</t>
        </is>
      </c>
      <c r="C15" s="41" t="inlineStr">
        <is>
          <t>Growth-stage</t>
        </is>
      </c>
      <c r="D15" s="42" t="inlineStr">
        <is>
          <t>Counter-drone; Weapons-sleeve holding</t>
        </is>
      </c>
    </row>
    <row r="16" ht="48" customHeight="1">
      <c r="A16" s="179" t="inlineStr">
        <is>
          <t>Grounded sleeve assumptions (Base/Bull/Bear/Shock gross CAGR): Weapons 22/34/5/32% (original sleeve memo, reference only — model runs bottom-up per name with the munitions/FMS overlay); Consumer modeled bottom-up per-name, two now market-priced via Forge secondary (Quince 28/45/2/-18%, Whoop 27/42/-3/-16%, The Farmer's Dog 22/34/10/-5% @ $3.76B Forge-implied, Made In Cookware 14/26/-10/-14% est., Thrive Market 7/16/-5/-8% @ ~$945M Forge-implied (down from $1.29B Series C), Plunge 20/50/-22/-28% est.); thematic basket 15% fwd. IQT-mirror is bottom-up.</t>
        </is>
      </c>
    </row>
    <row r="17" ht="15" customHeight="1">
      <c r="A17" s="177" t="n"/>
      <c r="B17" s="177" t="n"/>
      <c r="C17" s="177" t="n"/>
      <c r="D17" s="177" t="n"/>
    </row>
    <row r="18" ht="15" customHeight="1">
      <c r="A18" s="11" t="inlineStr">
        <is>
          <t>2 | DEFENSE SUPERCYCLE DRIVERS</t>
        </is>
      </c>
      <c r="B18" s="177" t="n"/>
      <c r="C18" s="177" t="n"/>
      <c r="D18" s="177" t="n"/>
    </row>
    <row r="19" ht="27.75" customHeight="1">
      <c r="A19" s="181" t="inlineStr">
        <is>
          <t>• NATO 5%-of-GDP pledge (Hague summit, Jun-2025): 3.5% core defense + 1.5% defense-related, on a path to 2035 — a structural, decade-long step-up, not a cyclical bump.</t>
        </is>
      </c>
    </row>
    <row r="20" ht="27.75" customHeight="1">
      <c r="A20" s="181" t="inlineStr">
        <is>
          <t>• European allies + Canada raised defense spending ~20% in 2025 alone; all allies now above the old 2% floor. Rheinmetall growing 40%/yr is the bellwether.</t>
        </is>
      </c>
    </row>
    <row r="21" ht="27.75" customHeight="1">
      <c r="A21" s="181" t="inlineStr">
        <is>
          <t>• Munitions/energetics replenishment (Ukraine drawdown) + naval autonomy (Replicator) + counter-drone are the fastest-growing demand pools — directly the Weapons sleeve (Helicon, Saronic, Epirus).</t>
        </is>
      </c>
    </row>
    <row r="22" ht="15" customHeight="1">
      <c r="A22" s="177" t="n"/>
      <c r="B22" s="177" t="n"/>
      <c r="C22" s="177" t="n"/>
      <c r="D22" s="177" t="n"/>
    </row>
    <row r="23" ht="15" customHeight="1">
      <c r="A23" s="11" t="inlineStr">
        <is>
          <t>3 | CHINA &amp; GEOPOLITICAL PICTURE</t>
        </is>
      </c>
      <c r="B23" s="177" t="n"/>
      <c r="C23" s="177" t="n"/>
      <c r="D23" s="177" t="n"/>
    </row>
    <row r="24" ht="27.75" customHeight="1">
      <c r="A24" s="181" t="inlineStr">
        <is>
          <t>• China official defense budget ~1.78T yuan (~$245B) for 2025, +7.2% YoY (widely cited; pre-cutoff — confirm 2026 figure) — sustained double-digit real modernization for a decade.</t>
        </is>
      </c>
    </row>
    <row r="25" ht="27.75" customHeight="1">
      <c r="A25" s="181" t="inlineStr">
        <is>
          <t>• 'Davidson window' (PLA capability vs. Taiwan by 2027) frames the tail-risk timeline the TSMC-Shock scenario models — the single point of failure is TSMC leading-edge capacity.</t>
        </is>
      </c>
    </row>
    <row r="26" ht="27.75" customHeight="1">
      <c r="A26" s="181" t="inlineStr">
        <is>
          <t>• US-China tech decoupling: export controls on advanced semis/tooling, entity-list expansion, and reshoring incentives are the policy tailwind behind the IQT-mirror sleeve's sovereign-chokepoint names.</t>
        </is>
      </c>
    </row>
    <row r="27" ht="15" customHeight="1">
      <c r="A27" s="177" t="n"/>
      <c r="B27" s="177" t="n"/>
      <c r="C27" s="177" t="n"/>
      <c r="D27" s="177" t="n"/>
    </row>
    <row r="28" ht="15" customHeight="1">
      <c r="A28" s="11" t="inlineStr">
        <is>
          <t>4 | GLOBAL MACRO BACKDROP</t>
        </is>
      </c>
      <c r="B28" s="177" t="n"/>
      <c r="C28" s="177" t="n"/>
      <c r="D28" s="177" t="n"/>
    </row>
    <row r="29" ht="27.75" customHeight="1">
      <c r="A29" s="181" t="inlineStr">
        <is>
          <t>• Rates/exit markets: the Fed path drives PE exit windows and long-duration deep-tech valuations most — a higher-for-longer regime compresses the IQT sleeve's terminal multiples and delays exits (lengthens duration, lowers DPI timing).</t>
        </is>
      </c>
    </row>
    <row r="30" ht="40.5" customHeight="1">
      <c r="A30" s="181" t="inlineStr">
        <is>
          <t>• USD &amp; inflation: a decoupling/Taiwan shock is inflationary (supply shock) and USD-volatile — negative for the Consumer sleeve overall, though now modeled per-name on the Consumer Sleeve tab: import/hardware-exposed names (Quince, Whoop, Made In, Plunge) take the sharper Shock hit via COGS/chip-supply, while staple/subscription names (Farmer's Dog, Thrive Market) are more defensive; Goat Group (discretionary resale demand + cross-border logistics) also skews Shock-worse-than-Bear, while Stripe (fee-based payments infra, not import-exposed) skews milder, in line with its tighter Bear/Shock spread on the Consumer Sleeve tab.</t>
        </is>
      </c>
    </row>
    <row r="31" ht="27.75" customHeight="1">
      <c r="A31" s="181" t="inlineStr">
        <is>
          <t>• Reshoring / friend-shoring capital flows (CHIPS disbursement, allied industrial policy) are the domestic-capital trend the whole holdco front-runs — the barbell is long this structural reallocation.</t>
        </is>
      </c>
    </row>
    <row r="32" ht="15" customHeight="1">
      <c r="A32" s="177" t="n"/>
      <c r="B32" s="177" t="n"/>
      <c r="C32" s="177" t="n"/>
      <c r="D32" s="177" t="n"/>
    </row>
    <row r="33" ht="15" customHeight="1">
      <c r="A33" s="11" t="inlineStr">
        <is>
          <t>4B | CLASSIFIED / BLACK-BUDGET DIMENSION (from uploaded BX Tac Opps research)</t>
        </is>
      </c>
      <c r="B33" s="177" t="n"/>
      <c r="C33" s="177" t="n"/>
      <c r="D33" s="177" t="n"/>
    </row>
    <row r="34" ht="27.75" customHeight="1">
      <c r="A34" s="181" t="inlineStr">
        <is>
          <t>• US classified/black spending ~$170-215B in FY2026 (~16-20% of the ~$1.04T defense topline) and rising as a share (13-14% in 2013 -&gt; 16-20% now). Intelligence budget (NIP+MIP) FY26 request $115.5B, +14.2% YoY.</t>
        </is>
      </c>
    </row>
    <row r="35" ht="40.5" customHeight="1">
      <c r="A35" s="181" t="inlineStr">
        <is>
          <t>• Why it matters for the IQT-mirror sleeve: IQT is the CIA's investment arm, funded within the NIP. A growing intelligence budget = a larger IQT deployment pipeline = more signal to mirror. The sleeve's edge scales WITH the black budget — a second, independent tailwind on top of the semis/China story.</t>
        </is>
      </c>
    </row>
    <row r="36" ht="40.5" customHeight="1">
      <c r="A36" s="181" t="inlineStr">
        <is>
          <t>• Missile / energetics / EW / undersea ramp is largely classified and accelerating (AIM-424 Malice revealed Aug-26, Tomahawk Block Va/Vb combat-deployed Feb-26, LRSO, hypersonics; SSN-812 seabed warfare; EA-37B EW) — a direct tailwind to Weapons holdings: Helicon (energetics), Saronic (naval autonomy), Epirus (directed energy), Elta (EW/ISR).</t>
        </is>
      </c>
    </row>
    <row r="37" ht="27.75" customHeight="1">
      <c r="A37" s="181" t="inlineStr">
        <is>
          <t>• Public-prime classified revenue (FY24 est) as demand proxy: Northrop $9-13B (25-35% of def rev — most 'black'), Lockheed $10-18B, RTX $4-9B, Boeing $4-5.5B, GD $3.5-5B, L3Harris $2.5-4.5B. The private holdings feed the same classified demand pools.</t>
        </is>
      </c>
    </row>
    <row r="38" ht="15" customHeight="1">
      <c r="A38" s="177" t="n"/>
      <c r="B38" s="177" t="n"/>
      <c r="C38" s="177" t="n"/>
      <c r="D38" s="177" t="n"/>
    </row>
    <row r="39" ht="15" customHeight="1">
      <c r="A39" s="11" t="inlineStr">
        <is>
          <t>5 | DRIVER x SLEEVE MAPPING (direction of impact)</t>
        </is>
      </c>
      <c r="B39" s="177" t="n"/>
      <c r="C39" s="177" t="n"/>
      <c r="D39" s="177" t="n"/>
    </row>
    <row r="40" ht="15" customHeight="1">
      <c r="A40" s="186" t="inlineStr">
        <is>
          <t>Driver</t>
        </is>
      </c>
      <c r="B40" s="186" t="inlineStr">
        <is>
          <t>IQT-mirror</t>
        </is>
      </c>
      <c r="C40" s="186" t="inlineStr">
        <is>
          <t>Weapons</t>
        </is>
      </c>
      <c r="D40" s="186" t="inlineStr">
        <is>
          <t>Consumer / Value</t>
        </is>
      </c>
    </row>
    <row r="41" ht="15" customHeight="1">
      <c r="A41" s="183" t="inlineStr">
        <is>
          <t>NATO / EU rearmament</t>
        </is>
      </c>
      <c r="B41" s="43" t="inlineStr">
        <is>
          <t>+</t>
        </is>
      </c>
      <c r="C41" s="43" t="inlineStr">
        <is>
          <t>+ +</t>
        </is>
      </c>
      <c r="D41" s="41" t="inlineStr">
        <is>
          <t>0</t>
        </is>
      </c>
    </row>
    <row r="42" ht="27.75" customHeight="1">
      <c r="A42" s="183" t="inlineStr">
        <is>
          <t>US budget / Replicator / munitions</t>
        </is>
      </c>
      <c r="B42" s="43" t="inlineStr">
        <is>
          <t>+</t>
        </is>
      </c>
      <c r="C42" s="43" t="inlineStr">
        <is>
          <t>+ +</t>
        </is>
      </c>
      <c r="D42" s="41" t="inlineStr">
        <is>
          <t>0</t>
        </is>
      </c>
    </row>
    <row r="43" ht="27.75" customHeight="1">
      <c r="A43" s="183" t="inlineStr">
        <is>
          <t>Classified / black-budget growth (+14% IC)</t>
        </is>
      </c>
      <c r="B43" s="43" t="inlineStr">
        <is>
          <t>+ + (IQT = CIA arm)</t>
        </is>
      </c>
      <c r="C43" s="43" t="inlineStr">
        <is>
          <t>+ +</t>
        </is>
      </c>
      <c r="D43" s="41" t="inlineStr">
        <is>
          <t>0</t>
        </is>
      </c>
    </row>
    <row r="44" ht="27.75" customHeight="1">
      <c r="A44" s="183" t="inlineStr">
        <is>
          <t>China modernization / decoupling</t>
        </is>
      </c>
      <c r="B44" s="43" t="inlineStr">
        <is>
          <t>+ +</t>
        </is>
      </c>
      <c r="C44" s="43" t="inlineStr">
        <is>
          <t>+</t>
        </is>
      </c>
      <c r="D44" s="44" t="inlineStr">
        <is>
          <t>-</t>
        </is>
      </c>
    </row>
    <row r="45" ht="15" customHeight="1">
      <c r="A45" s="183" t="inlineStr">
        <is>
          <t>Taiwan / TSMC shock</t>
        </is>
      </c>
      <c r="B45" s="43" t="inlineStr">
        <is>
          <t>+ + (convex)</t>
        </is>
      </c>
      <c r="C45" s="43" t="inlineStr">
        <is>
          <t>+ + (conflict demand)</t>
        </is>
      </c>
      <c r="D45" s="44" t="inlineStr">
        <is>
          <t>- (inflation/spend)</t>
        </is>
      </c>
    </row>
    <row r="46" ht="15" customHeight="1">
      <c r="A46" s="183" t="inlineStr">
        <is>
          <t>CHIPS / reshoring capital</t>
        </is>
      </c>
      <c r="B46" s="43" t="inlineStr">
        <is>
          <t>+ +</t>
        </is>
      </c>
      <c r="C46" s="43" t="inlineStr">
        <is>
          <t>+</t>
        </is>
      </c>
      <c r="D46" s="41" t="inlineStr">
        <is>
          <t>0</t>
        </is>
      </c>
    </row>
    <row r="47" ht="15" customHeight="1">
      <c r="A47" s="183" t="inlineStr">
        <is>
          <t>Higher-for-longer rates</t>
        </is>
      </c>
      <c r="B47" s="44" t="inlineStr">
        <is>
          <t>- (long-duration)</t>
        </is>
      </c>
      <c r="C47" s="44" t="inlineStr">
        <is>
          <t>- / 0</t>
        </is>
      </c>
      <c r="D47" s="44" t="inlineStr">
        <is>
          <t>-</t>
        </is>
      </c>
    </row>
    <row r="48" ht="15" customHeight="1">
      <c r="A48" s="183" t="inlineStr">
        <is>
          <t>USD strength / inflation</t>
        </is>
      </c>
      <c r="B48" s="41" t="inlineStr">
        <is>
          <t>0 / -</t>
        </is>
      </c>
      <c r="C48" s="41" t="inlineStr">
        <is>
          <t>0</t>
        </is>
      </c>
      <c r="D48" s="44" t="inlineStr">
        <is>
          <t>- -</t>
        </is>
      </c>
    </row>
    <row r="49" ht="15" customHeight="1">
      <c r="A49" s="183" t="inlineStr">
        <is>
          <t>Consumer spending cycle</t>
        </is>
      </c>
      <c r="B49" s="41" t="inlineStr">
        <is>
          <t>0</t>
        </is>
      </c>
      <c r="C49" s="41" t="inlineStr">
        <is>
          <t>0</t>
        </is>
      </c>
      <c r="D49" s="43" t="inlineStr">
        <is>
          <t>+ + (primary driver)</t>
        </is>
      </c>
    </row>
    <row r="50" ht="15" customHeight="1">
      <c r="A50" s="177" t="n"/>
      <c r="B50" s="177" t="n"/>
      <c r="C50" s="177" t="n"/>
      <c r="D50" s="177" t="n"/>
    </row>
    <row r="51" ht="15" customHeight="1">
      <c r="A51" s="11" t="inlineStr">
        <is>
          <t>6 | KEY TAKEAWAY</t>
        </is>
      </c>
      <c r="B51" s="177" t="n"/>
      <c r="C51" s="177" t="n"/>
      <c r="D51" s="177" t="n"/>
    </row>
    <row r="52" ht="27.75" customHeight="1">
      <c r="A52" s="181" t="inlineStr">
        <is>
          <t>• The supercycle is already loudly priced in PUBLIC comps (ITA +29% 1yr, SOXX +170% 1yr) — so the edge is NOT the theme being undiscovered; it is capturing it at PRIVATE / VC-stage entry before the public re-rate. That is why the scoreboard is KS-PME vs the ITA/SOXX basket, not vs SPX.</t>
        </is>
      </c>
    </row>
    <row r="53" ht="40.5" customHeight="1">
      <c r="A53" s="181" t="inlineStr">
        <is>
          <t>• The barbell's logic: Weapons + IQT are both long the geopolitical supercycle (opex + capex legs) and both convex to a Taiwan/TSMC shock; Consumer is the uncorrelated ballast that carries near-term DPI and is the one sleeve hurt by the shock. Net holdco is long the supercycle with a spending-cycle diversifier.</t>
        </is>
      </c>
    </row>
    <row r="54" ht="27.75" customHeight="1">
      <c r="A54" s="181" t="inlineStr">
        <is>
          <t>• Biggest swing factors: (1) Weapons CAGR (largest sleeve), (2) the thematic-basket hurdle, (3) the rate path via IQT exit timing. All are levers on the Holdco Summary / Assumptions / PME tabs.</t>
        </is>
      </c>
    </row>
    <row r="55" ht="15" customHeight="1">
      <c r="A55" s="177" t="n"/>
      <c r="B55" s="177" t="n"/>
      <c r="C55" s="177" t="n"/>
      <c r="D55" s="177" t="n"/>
    </row>
    <row r="56" ht="36.75" customHeight="1">
      <c r="A56" s="179" t="inlineStr">
        <is>
          <t>Sources: iShares ITA &amp; SOXX fact sheets (Jun-30-2026); multiples.vc (Rheinmetall/L3Harris, Sep-2026); Macrotrends (AVAV); Sacra (Saronic $9.25B, Anduril $61B); NATO/Atlantic Council (Hague 5% pledge, +20% EU 2025); uploaded BX Tac Opps black-budget compilation (Sep-2026): classified spend ~$170-215B, IC +14.2%, contractor classified-revenue estimates. China budget &amp; Davidson window are widely-cited pre-cutoff figures — confirm current.</t>
        </is>
      </c>
    </row>
  </sheetData>
  <mergeCells count="18">
    <mergeCell ref="A37:D37"/>
    <mergeCell ref="A56:D56"/>
    <mergeCell ref="A31:D31"/>
    <mergeCell ref="A53:D53"/>
    <mergeCell ref="A34:D34"/>
    <mergeCell ref="A35:D35"/>
    <mergeCell ref="A20:D20"/>
    <mergeCell ref="A21:D21"/>
    <mergeCell ref="A26:D26"/>
    <mergeCell ref="A30:D30"/>
    <mergeCell ref="A29:D29"/>
    <mergeCell ref="A52:D52"/>
    <mergeCell ref="A25:D25"/>
    <mergeCell ref="A54:D54"/>
    <mergeCell ref="A24:D24"/>
    <mergeCell ref="A16:D16"/>
    <mergeCell ref="A19:D19"/>
    <mergeCell ref="A36:D36"/>
  </mergeCells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J29"/>
  <sheetViews>
    <sheetView showGridLines="0" tabSelected="0" zoomScale="90" zoomScaleNormal="100"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8.6640625" defaultRowHeight="15"/>
  <cols>
    <col width="30" customWidth="1" min="1" max="1"/>
    <col width="13" customWidth="1" min="2" max="2"/>
    <col width="12" customWidth="1" min="3" max="3"/>
    <col width="11" customWidth="1" min="4" max="4"/>
    <col width="17" customWidth="1" min="5" max="5"/>
    <col width="11" customWidth="1" min="6" max="8"/>
    <col width="44" customWidth="1" min="7" max="7"/>
    <col width="12" customWidth="1" min="9" max="9"/>
    <col width="42" customWidth="1" min="10" max="10"/>
  </cols>
  <sheetData>
    <row r="1" ht="18" customHeight="1">
      <c r="A1" s="9" t="inlineStr">
        <is>
          <t>ASSUMPTIONS &amp; INPUTS</t>
        </is>
      </c>
      <c r="B1" s="177" t="n"/>
      <c r="C1" s="177" t="n"/>
      <c r="D1" s="177" t="n"/>
      <c r="E1" s="177" t="n"/>
      <c r="F1" s="177" t="n"/>
      <c r="G1" s="177" t="n"/>
      <c r="H1" s="177" t="n"/>
      <c r="I1" s="177" t="n"/>
      <c r="J1" s="177" t="n"/>
    </row>
    <row r="2" ht="15" customHeight="1">
      <c r="A2" s="180" t="inlineStr">
        <is>
          <t>Blue = hardcoded input / lever. TSMC-Shock CAGR (col I) is computed on the Defense Supercycle tab. All $M.</t>
        </is>
      </c>
      <c r="B2" s="177" t="n"/>
      <c r="C2" s="177" t="n"/>
      <c r="D2" s="177" t="n"/>
      <c r="E2" s="177" t="n"/>
      <c r="F2" s="177" t="n"/>
      <c r="G2" s="177" t="n"/>
      <c r="H2" s="177" t="n"/>
      <c r="I2" s="177" t="n"/>
      <c r="J2" s="177" t="n"/>
    </row>
    <row r="3" ht="15" customHeight="1">
      <c r="A3" s="177" t="n"/>
      <c r="B3" s="177" t="n"/>
      <c r="C3" s="177" t="n"/>
      <c r="D3" s="177" t="n"/>
      <c r="E3" s="177" t="n"/>
      <c r="F3" s="177" t="n"/>
      <c r="G3" s="177" t="n"/>
      <c r="H3" s="177" t="n"/>
      <c r="I3" s="177" t="n"/>
      <c r="J3" s="177" t="n"/>
    </row>
    <row r="4" ht="15" customHeight="1">
      <c r="A4" s="11" t="inlineStr">
        <is>
          <t>FUND TERMS (apply to the holdco and all three sleeves)</t>
        </is>
      </c>
      <c r="B4" s="177" t="n"/>
      <c r="C4" s="177" t="n"/>
      <c r="D4" s="177" t="n"/>
      <c r="E4" s="203" t="inlineStr">
        <is>
          <t>VEHICLE HOLD PERIODS (yrs) — blue = lever</t>
        </is>
      </c>
      <c r="F4" s="177" t="n"/>
      <c r="G4" s="177" t="n"/>
      <c r="H4" s="177" t="n"/>
      <c r="I4" s="177" t="n"/>
      <c r="J4" s="177" t="n"/>
    </row>
    <row r="5" ht="15" customHeight="1">
      <c r="A5" s="25" t="inlineStr">
        <is>
          <t>Committed capital ($M)</t>
        </is>
      </c>
      <c r="B5" s="45">
        <f>IQT_Size</f>
        <v>250</v>
      </c>
      <c r="C5" s="180" t="inlineStr">
        <is>
          <t>IQT sleeve = 1 of 3 holdco sub-funds (see Holdco Summary)</t>
        </is>
      </c>
      <c r="D5" s="177" t="n"/>
      <c r="E5" s="200" t="inlineStr">
        <is>
          <t>Short hold (yrs)</t>
        </is>
      </c>
      <c r="F5" s="218" t="n">
        <v>5</v>
      </c>
      <c r="G5" s="194" t="inlineStr">
        <is>
          <t>Drives every 'short-hold' block model-wide</t>
        </is>
      </c>
      <c r="H5" s="177" t="n"/>
      <c r="I5" s="177" t="n"/>
      <c r="J5" s="177" t="n"/>
    </row>
    <row r="6" ht="15" customHeight="1">
      <c r="A6" s="25" t="inlineStr">
        <is>
          <t>Initial deployment ($M)</t>
        </is>
      </c>
      <c r="B6" s="14" t="n">
        <v>225</v>
      </c>
      <c r="C6" s="180" t="inlineStr">
        <is>
          <t>Memo — reserve embedded in retention</t>
        </is>
      </c>
      <c r="D6" s="177" t="n"/>
      <c r="E6" s="200" t="inlineStr">
        <is>
          <t>Mid hold (yrs)</t>
        </is>
      </c>
      <c r="F6" s="218" t="n">
        <v>7</v>
      </c>
      <c r="G6" s="194" t="inlineStr">
        <is>
          <t>Drives every 'mid-hold' block; recommended vehicle</t>
        </is>
      </c>
      <c r="H6" s="177" t="n"/>
      <c r="I6" s="177" t="n"/>
      <c r="J6" s="177" t="n"/>
    </row>
    <row r="7" ht="15" customHeight="1">
      <c r="A7" s="25" t="inlineStr">
        <is>
          <t>Follow-on reserve ($M)</t>
        </is>
      </c>
      <c r="B7" s="14" t="n">
        <v>25</v>
      </c>
      <c r="C7" s="180" t="inlineStr">
        <is>
          <t>Pro-rata defense on winners</t>
        </is>
      </c>
      <c r="D7" s="177" t="n"/>
      <c r="E7" s="200" t="inlineStr">
        <is>
          <t>Long hold (yrs)</t>
        </is>
      </c>
      <c r="F7" s="218" t="n">
        <v>10</v>
      </c>
      <c r="G7" s="194" t="inlineStr">
        <is>
          <t>Drives every 'long-hold' block model-wide</t>
        </is>
      </c>
      <c r="H7" s="177" t="n"/>
      <c r="I7" s="177" t="n"/>
      <c r="J7" s="177" t="n"/>
    </row>
    <row r="8" ht="15" customHeight="1">
      <c r="A8" s="25" t="inlineStr">
        <is>
          <t>Mgmt fee (% of committed / yr)</t>
        </is>
      </c>
      <c r="B8" s="27" t="n">
        <v>0.02</v>
      </c>
      <c r="C8" s="180" t="inlineStr">
        <is>
          <t>Charged over full vehicle life</t>
        </is>
      </c>
      <c r="D8" s="177" t="n"/>
      <c r="E8" s="177" t="n"/>
      <c r="F8" s="177" t="n"/>
      <c r="G8" s="177" t="n"/>
      <c r="H8" s="177" t="n"/>
      <c r="I8" s="177" t="n"/>
      <c r="J8" s="177" t="n"/>
    </row>
    <row r="9" ht="15" customHeight="1">
      <c r="A9" s="25" t="inlineStr">
        <is>
          <t>Carried interest (%)</t>
        </is>
      </c>
      <c r="B9" s="27" t="n">
        <v>0.2</v>
      </c>
      <c r="C9" s="180" t="inlineStr">
        <is>
          <t>Over pref, no catch-up modeled</t>
        </is>
      </c>
      <c r="D9" s="177" t="n"/>
      <c r="E9" s="177" t="n"/>
      <c r="F9" s="177" t="n"/>
      <c r="G9" s="177" t="n"/>
      <c r="H9" s="177" t="n"/>
      <c r="I9" s="177" t="n"/>
      <c r="J9" s="177" t="n"/>
    </row>
    <row r="10" ht="15" customHeight="1">
      <c r="A10" s="25" t="inlineStr">
        <is>
          <t>Preferred return (% comp.)</t>
        </is>
      </c>
      <c r="B10" s="27" t="n">
        <v>0.08</v>
      </c>
      <c r="C10" s="180" t="inlineStr">
        <is>
          <t>8% compounded hurdle</t>
        </is>
      </c>
      <c r="D10" s="177" t="n"/>
      <c r="E10" s="177" t="n"/>
      <c r="F10" s="177" t="n"/>
      <c r="G10" s="177" t="n"/>
      <c r="H10" s="177" t="n"/>
      <c r="I10" s="177" t="n"/>
      <c r="J10" s="177" t="n"/>
    </row>
    <row r="11" ht="15" customHeight="1">
      <c r="A11" s="25" t="str">
        <f>"Retention @ "&amp;Hold_Short&amp;"yr"</f>
        <v>Retention @ 5yr</v>
      </c>
      <c r="B11" s="27" t="n">
        <v>0.85</v>
      </c>
      <c r="C11" s="180" t="inlineStr">
        <is>
          <t>Ownership kept after dilution</t>
        </is>
      </c>
      <c r="D11" s="177" t="n"/>
      <c r="E11" s="177" t="n"/>
      <c r="F11" s="177" t="n"/>
      <c r="G11" s="177" t="n"/>
      <c r="H11" s="177" t="n"/>
      <c r="I11" s="177" t="n"/>
      <c r="J11" s="177" t="n"/>
    </row>
    <row r="12" ht="15" customHeight="1">
      <c r="A12" s="25" t="str">
        <f>"Retention @ "&amp;Hold_Mid&amp;"yr"</f>
        <v>Retention @ 7yr</v>
      </c>
      <c r="B12" s="27" t="n">
        <v>0.78</v>
      </c>
      <c r="C12" s="180" t="n"/>
      <c r="D12" s="177" t="n"/>
      <c r="E12" s="177" t="n"/>
      <c r="F12" s="177" t="n"/>
      <c r="G12" s="177" t="n"/>
      <c r="H12" s="177" t="n"/>
      <c r="I12" s="177" t="n"/>
      <c r="J12" s="177" t="n"/>
    </row>
    <row r="13" ht="15" customHeight="1">
      <c r="A13" s="25" t="str">
        <f>"Retention @ "&amp;Hold_Long&amp;"yr"</f>
        <v>Retention @ 10yr</v>
      </c>
      <c r="B13" s="27" t="n">
        <v>0.68</v>
      </c>
      <c r="C13" s="180" t="n"/>
      <c r="D13" s="177" t="n"/>
      <c r="E13" s="177" t="n"/>
      <c r="F13" s="177" t="n"/>
      <c r="G13" s="177" t="n"/>
      <c r="H13" s="177" t="n"/>
      <c r="I13" s="177" t="n"/>
      <c r="J13" s="177" t="n"/>
    </row>
    <row r="14" ht="15" customHeight="1">
      <c r="A14" s="177" t="n"/>
      <c r="B14" s="177" t="n"/>
      <c r="C14" s="177" t="n"/>
      <c r="D14" s="177" t="n"/>
      <c r="E14" s="177" t="n"/>
      <c r="F14" s="177" t="n"/>
      <c r="G14" s="177" t="n"/>
      <c r="H14" s="177" t="n"/>
      <c r="I14" s="177" t="n"/>
      <c r="J14" s="177" t="n"/>
    </row>
    <row r="15" ht="15" customHeight="1">
      <c r="A15" s="177" t="n"/>
      <c r="B15" s="177" t="n"/>
      <c r="C15" s="177" t="n"/>
      <c r="D15" s="177" t="n"/>
      <c r="E15" s="177" t="n"/>
      <c r="F15" s="177" t="n"/>
      <c r="G15" s="177" t="n"/>
      <c r="H15" s="177" t="n"/>
      <c r="I15" s="177" t="n"/>
      <c r="J15" s="177" t="n"/>
    </row>
    <row r="16" ht="15" customHeight="1">
      <c r="A16" s="11" t="inlineStr">
        <is>
          <t>PORTFOLIO — ENTRY MARKS, CHECKS &amp; GROWTH ASSUMPTIONS</t>
        </is>
      </c>
      <c r="B16" s="177" t="n"/>
      <c r="C16" s="177" t="n"/>
      <c r="D16" s="177" t="n"/>
      <c r="E16" s="177" t="n"/>
      <c r="F16" s="177" t="n"/>
      <c r="G16" s="177" t="n"/>
      <c r="H16" s="177" t="n"/>
      <c r="I16" s="177" t="n"/>
      <c r="J16" s="177" t="n"/>
    </row>
    <row r="17" ht="27.75" customHeight="1">
      <c r="A17" s="186" t="inlineStr">
        <is>
          <t>Company</t>
        </is>
      </c>
      <c r="B17" s="186" t="inlineStr">
        <is>
          <t>Entry post-$M</t>
        </is>
      </c>
      <c r="C17" s="186" t="inlineStr">
        <is>
          <t>Check ($M)</t>
        </is>
      </c>
      <c r="D17" s="186" t="inlineStr">
        <is>
          <t>Own %</t>
        </is>
      </c>
      <c r="E17" s="186" t="inlineStr">
        <is>
          <t>Tranche</t>
        </is>
      </c>
      <c r="F17" s="186" t="inlineStr">
        <is>
          <t>Base CAGR</t>
        </is>
      </c>
      <c r="G17" s="186" t="inlineStr">
        <is>
          <t>Bull CAGR</t>
        </is>
      </c>
      <c r="H17" s="186" t="inlineStr">
        <is>
          <t>Bear CAGR</t>
        </is>
      </c>
      <c r="I17" s="21" t="inlineStr">
        <is>
          <t>TSMC-Shock</t>
        </is>
      </c>
      <c r="J17" s="186" t="inlineStr">
        <is>
          <t>Valuation basis</t>
        </is>
      </c>
    </row>
    <row r="18" ht="15" customHeight="1">
      <c r="A18" s="13" t="inlineStr">
        <is>
          <t>Substrate (anchor)</t>
        </is>
      </c>
      <c r="B18" s="46" t="n">
        <v>1050</v>
      </c>
      <c r="C18" s="46" t="n">
        <v>80</v>
      </c>
      <c r="D18" s="15">
        <f>C18/B18</f>
        <v>0.0761904761904762</v>
      </c>
      <c r="E18" s="183" t="inlineStr">
        <is>
          <t>Anchor / growth</t>
        </is>
      </c>
      <c r="F18" s="47" t="n">
        <v>0.22</v>
      </c>
      <c r="G18" s="47" t="n">
        <v>0.34</v>
      </c>
      <c r="H18" s="47" t="n">
        <v>-0.18</v>
      </c>
      <c r="I18" s="26">
        <f>'Defense Supercycle'!I24</f>
        <v>0.408</v>
      </c>
      <c r="J18" s="42" t="inlineStr">
        <is>
          <t>Est. &gt;$1.0B post (Oct-25 round)</t>
        </is>
      </c>
    </row>
    <row r="19" ht="15" customHeight="1">
      <c r="A19" s="13" t="inlineStr">
        <is>
          <t>EUV Tech</t>
        </is>
      </c>
      <c r="B19" s="46" t="n">
        <v>180</v>
      </c>
      <c r="C19" s="46" t="n">
        <v>30</v>
      </c>
      <c r="D19" s="15">
        <f>C19/B19</f>
        <v>0.16666666666666666</v>
      </c>
      <c r="E19" s="183" t="inlineStr">
        <is>
          <t>Growth core</t>
        </is>
      </c>
      <c r="F19" s="47" t="n">
        <v>0.14</v>
      </c>
      <c r="G19" s="47" t="n">
        <v>0.26</v>
      </c>
      <c r="H19" s="47" t="n">
        <v>0.03</v>
      </c>
      <c r="I19" s="26">
        <f>'Defense Supercycle'!I25</f>
        <v>0.30400000000000005</v>
      </c>
      <c r="J19" s="42" t="inlineStr">
        <is>
          <t>Est. — undisclosed (rev-gen niche)</t>
        </is>
      </c>
    </row>
    <row r="20" ht="15" customHeight="1">
      <c r="A20" s="13" t="inlineStr">
        <is>
          <t>ThinTronics</t>
        </is>
      </c>
      <c r="B20" s="46" t="n">
        <v>120</v>
      </c>
      <c r="C20" s="46" t="n">
        <v>22.5</v>
      </c>
      <c r="D20" s="15">
        <f>C20/B20</f>
        <v>0.1875</v>
      </c>
      <c r="E20" s="183" t="inlineStr">
        <is>
          <t>Growth core</t>
        </is>
      </c>
      <c r="F20" s="47" t="n">
        <v>0.26</v>
      </c>
      <c r="G20" s="47" t="n">
        <v>0.38</v>
      </c>
      <c r="H20" s="47" t="n">
        <v>-0.1</v>
      </c>
      <c r="I20" s="26">
        <f>'Defense Supercycle'!I26</f>
        <v>0.41600000000000004</v>
      </c>
      <c r="J20" s="42" t="inlineStr">
        <is>
          <t>Est. — undisclosed + $50M CHIPS LOI</t>
        </is>
      </c>
    </row>
    <row r="21" ht="15" customHeight="1">
      <c r="A21" s="13" t="inlineStr">
        <is>
          <t>EdgeCortix</t>
        </is>
      </c>
      <c r="B21" s="46" t="n">
        <v>350</v>
      </c>
      <c r="C21" s="46" t="n">
        <v>30.5</v>
      </c>
      <c r="D21" s="15">
        <f>C21/B21</f>
        <v>0.08714285714285715</v>
      </c>
      <c r="E21" s="183" t="inlineStr">
        <is>
          <t>Growth core</t>
        </is>
      </c>
      <c r="F21" s="47" t="n">
        <v>0.24</v>
      </c>
      <c r="G21" s="47" t="n">
        <v>0.36</v>
      </c>
      <c r="H21" s="47" t="n">
        <v>-0.08</v>
      </c>
      <c r="I21" s="26">
        <f>'Defense Supercycle'!I27</f>
        <v>0.26399999999999996</v>
      </c>
      <c r="J21" s="42" t="inlineStr">
        <is>
          <t>Est. — undisclosed (&gt;$110M raised)</t>
        </is>
      </c>
    </row>
    <row r="22" ht="15" customHeight="1">
      <c r="A22" s="13" t="inlineStr">
        <is>
          <t>Syntiant</t>
        </is>
      </c>
      <c r="B22" s="46" t="n">
        <v>700</v>
      </c>
      <c r="C22" s="46" t="n">
        <v>31.5</v>
      </c>
      <c r="D22" s="15">
        <f>C22/B22</f>
        <v>0.045</v>
      </c>
      <c r="E22" s="183" t="inlineStr">
        <is>
          <t>Pre-IPO / liquid</t>
        </is>
      </c>
      <c r="F22" s="47" t="n">
        <v>0.16</v>
      </c>
      <c r="G22" s="47" t="n">
        <v>0.28</v>
      </c>
      <c r="H22" s="47" t="n">
        <v>-0.02</v>
      </c>
      <c r="I22" s="26">
        <f>'Defense Supercycle'!I28</f>
        <v>0.22</v>
      </c>
      <c r="J22" s="42" t="inlineStr">
        <is>
          <t>$646M Dec-24; S-1 filed (SYTN)</t>
        </is>
      </c>
    </row>
    <row r="23" ht="15" customHeight="1">
      <c r="A23" s="13" t="inlineStr">
        <is>
          <t>Infleqtion</t>
        </is>
      </c>
      <c r="B23" s="46" t="n">
        <v>3000</v>
      </c>
      <c r="C23" s="46" t="n">
        <v>25</v>
      </c>
      <c r="D23" s="15">
        <f>C23/B23</f>
        <v>0.008333333333333333</v>
      </c>
      <c r="E23" s="183" t="inlineStr">
        <is>
          <t>Public / liquid</t>
        </is>
      </c>
      <c r="F23" s="47" t="n">
        <v>0.15</v>
      </c>
      <c r="G23" s="47" t="n">
        <v>0.27</v>
      </c>
      <c r="H23" s="47" t="n">
        <v>-0.1</v>
      </c>
      <c r="I23" s="26">
        <f>'Defense Supercycle'!I29</f>
        <v>0.22200000000000003</v>
      </c>
      <c r="J23" s="42" t="inlineStr">
        <is>
          <t>Public NYSE:INFQ (~$3.0B mkt cap)</t>
        </is>
      </c>
    </row>
    <row r="24" ht="15" customHeight="1">
      <c r="A24" s="13" t="inlineStr">
        <is>
          <t>Diraq</t>
        </is>
      </c>
      <c r="B24" s="46" t="n">
        <v>150</v>
      </c>
      <c r="C24" s="46" t="n">
        <v>14</v>
      </c>
      <c r="D24" s="15">
        <f>C24/B24</f>
        <v>0.09333333333333334</v>
      </c>
      <c r="E24" s="183" t="inlineStr">
        <is>
          <t>Quantum venture</t>
        </is>
      </c>
      <c r="F24" s="47" t="n">
        <v>0.3</v>
      </c>
      <c r="G24" s="47" t="n">
        <v>0.42</v>
      </c>
      <c r="H24" s="47" t="n">
        <v>-0.22</v>
      </c>
      <c r="I24" s="26">
        <f>'Defense Supercycle'!I30</f>
        <v>0.384</v>
      </c>
      <c r="J24" s="42" t="inlineStr">
        <is>
          <t>Never disclosed (unverified ~$107M)</t>
        </is>
      </c>
    </row>
    <row r="25" ht="15" customHeight="1">
      <c r="A25" s="13" t="inlineStr">
        <is>
          <t>Mueon</t>
        </is>
      </c>
      <c r="B25" s="46" t="n">
        <v>65</v>
      </c>
      <c r="C25" s="46" t="n">
        <v>10</v>
      </c>
      <c r="D25" s="15">
        <f>C25/B25</f>
        <v>0.15384615384615385</v>
      </c>
      <c r="E25" s="183" t="inlineStr">
        <is>
          <t>Seed optionality</t>
        </is>
      </c>
      <c r="F25" s="47" t="n">
        <v>0.32</v>
      </c>
      <c r="G25" s="47" t="n">
        <v>0.44</v>
      </c>
      <c r="H25" s="47" t="n">
        <v>-0.28</v>
      </c>
      <c r="I25" s="26">
        <f>'Defense Supercycle'!I31</f>
        <v>0.396</v>
      </c>
      <c r="J25" s="42" t="inlineStr">
        <is>
          <t>Est. — undisclosed ($15.5M seed)</t>
        </is>
      </c>
    </row>
    <row r="26" ht="15" customHeight="1">
      <c r="A26" s="13" t="inlineStr">
        <is>
          <t>DefendEye</t>
        </is>
      </c>
      <c r="B26" s="46" t="n">
        <v>50</v>
      </c>
      <c r="C26" s="46" t="n">
        <v>6.5</v>
      </c>
      <c r="D26" s="15">
        <f>C26/B26</f>
        <v>0.13</v>
      </c>
      <c r="E26" s="183" t="inlineStr">
        <is>
          <t>Seed optionality</t>
        </is>
      </c>
      <c r="F26" s="47" t="n">
        <v>0.28</v>
      </c>
      <c r="G26" s="47" t="n">
        <v>0.4</v>
      </c>
      <c r="H26" s="47" t="n">
        <v>-0.25</v>
      </c>
      <c r="I26" s="26">
        <f>'Defense Supercycle'!I32</f>
        <v>0.21600000000000003</v>
      </c>
      <c r="J26" s="42" t="inlineStr">
        <is>
          <t>Est. — undisclosed seed</t>
        </is>
      </c>
    </row>
    <row r="27" ht="15" customHeight="1">
      <c r="A27" s="18" t="inlineStr">
        <is>
          <t>TOTAL DEPLOYED</t>
        </is>
      </c>
      <c r="B27" s="48" t="n"/>
      <c r="C27" s="49">
        <f>SUM(C18:C26)</f>
        <v>250.0</v>
      </c>
      <c r="D27" s="177" t="n"/>
      <c r="E27" s="177" t="n"/>
      <c r="F27" s="177" t="n"/>
      <c r="G27" s="177" t="n"/>
      <c r="H27" s="177" t="n"/>
      <c r="I27" s="177" t="n"/>
      <c r="J27" s="177" t="n"/>
    </row>
    <row r="28" ht="15" customHeight="1">
      <c r="A28" s="180" t="str">
        <f>"Check: deployed capital (C27) "&amp;TEXT(C27,"$#,##0")&amp;"M vs committed (B5) "&amp;TEXT(B5,"$#,##0")&amp;"M — "&amp;IF(ABS(C27-B5)&lt;0.5,"OK","MISMATCH")</f>
        <v>Check: deployed capital (C27) $250M vs committed (B5) $250M — OK</v>
      </c>
      <c r="B28" s="177" t="n"/>
      <c r="C28" s="177" t="n"/>
      <c r="D28" s="177" t="n"/>
      <c r="E28" s="177" t="n"/>
      <c r="F28" s="177" t="n"/>
      <c r="G28" s="177" t="n"/>
      <c r="H28" s="177" t="n"/>
      <c r="I28" s="177" t="n"/>
      <c r="J28" s="177" t="n"/>
    </row>
    <row r="29">
      <c r="A29" s="140" t="str">
        <f>"Check: deployment (B6) + reserve (B7) = "&amp;TEXT(B6+B7,"$#,##0")&amp;"M vs committed (B5) "&amp;TEXT(B5,"$#,##0")&amp;"M — "&amp;IF(ABS(B6+B7-B5)&lt;0.5,"OK","MISMATCH")</f>
        <v>Check: deployment (B6) + reserve (B7) = $250M vs committed (B5) $250M — OK</v>
      </c>
    </row>
  </sheetData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J47"/>
  <sheetViews>
    <sheetView showGridLines="0" tabSelected="0" zoomScale="90" zoomScaleNormal="100"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8.6640625" defaultRowHeight="15"/>
  <cols>
    <col width="34" customWidth="1" min="1" max="1"/>
    <col width="12" customWidth="1" min="2" max="10"/>
    <col width="2" customWidth="1" min="11" max="11"/>
    <col width="40" customWidth="1" min="12" max="12"/>
  </cols>
  <sheetData>
    <row r="1" ht="18" customHeight="1">
      <c r="A1" s="9" t="inlineStr">
        <is>
          <t>DEFENSE SUPERCYCLE — STRATEGIC SCORING &amp; SHOCK ENGINE</t>
        </is>
      </c>
      <c r="B1" s="177" t="n"/>
      <c r="C1" s="177" t="n"/>
      <c r="D1" s="177" t="n"/>
      <c r="E1" s="177" t="n"/>
      <c r="F1" s="177" t="n"/>
      <c r="G1" s="177" t="n"/>
      <c r="H1" s="177" t="n"/>
      <c r="I1" s="177" t="n"/>
      <c r="J1" s="177" t="n"/>
    </row>
    <row r="2" ht="15" customHeight="1">
      <c r="A2" s="180" t="inlineStr">
        <is>
          <t>Winning the US-China AI/semiconductor race + insulating against a Taiwan / loss-of-TSMC scenario. Blue = lever.</t>
        </is>
      </c>
      <c r="B2" s="177" t="n"/>
      <c r="C2" s="177" t="n"/>
      <c r="D2" s="177" t="n"/>
      <c r="E2" s="177" t="n"/>
      <c r="F2" s="177" t="n"/>
      <c r="G2" s="177" t="n"/>
      <c r="H2" s="177" t="n"/>
      <c r="I2" s="177" t="n"/>
      <c r="J2" s="177" t="n"/>
    </row>
    <row r="3" ht="15" customHeight="1">
      <c r="A3" s="177" t="n"/>
      <c r="B3" s="177" t="n"/>
      <c r="C3" s="177" t="n"/>
      <c r="D3" s="177" t="n"/>
      <c r="E3" s="177" t="n"/>
      <c r="F3" s="177" t="n"/>
      <c r="G3" s="177" t="n"/>
      <c r="H3" s="177" t="n"/>
      <c r="I3" s="177" t="n"/>
      <c r="J3" s="177" t="n"/>
    </row>
    <row r="4" ht="15" customHeight="1">
      <c r="A4" s="11" t="inlineStr">
        <is>
          <t>STRATEGIC AXIS WEIGHTS (must sum to 100%)</t>
        </is>
      </c>
      <c r="B4" s="177" t="n"/>
      <c r="C4" s="177" t="n"/>
      <c r="D4" s="177" t="n"/>
      <c r="E4" s="177" t="n"/>
      <c r="F4" s="177" t="n"/>
      <c r="G4" s="177" t="n"/>
      <c r="H4" s="177" t="n"/>
      <c r="I4" s="177" t="n"/>
      <c r="J4" s="177" t="n"/>
    </row>
    <row r="5" ht="15" customHeight="1">
      <c r="A5" s="25" t="inlineStr">
        <is>
          <t>China AI/semi-race criticality</t>
        </is>
      </c>
      <c r="B5" s="27" t="n">
        <v>0.25</v>
      </c>
      <c r="C5" s="180" t="inlineStr">
        <is>
          <t>Advances US lead in AI compute / advanced nodes</t>
        </is>
      </c>
      <c r="D5" s="177" t="n"/>
      <c r="E5" s="177" t="n"/>
      <c r="F5" s="177" t="n"/>
      <c r="G5" s="177" t="n"/>
      <c r="H5" s="177" t="n"/>
      <c r="I5" s="177" t="n"/>
      <c r="J5" s="177" t="n"/>
    </row>
    <row r="6" ht="15" customHeight="1">
      <c r="A6" s="25" t="inlineStr">
        <is>
          <t>Taiwan / TSMC-insulation value</t>
        </is>
      </c>
      <c r="B6" s="27" t="n">
        <v>0.3</v>
      </c>
      <c r="C6" s="180" t="inlineStr">
        <is>
          <t>Reduces US dependence on Taiwan-based fabrication</t>
        </is>
      </c>
      <c r="D6" s="177" t="n"/>
      <c r="E6" s="177" t="n"/>
      <c r="F6" s="177" t="n"/>
      <c r="G6" s="177" t="n"/>
      <c r="H6" s="177" t="n"/>
      <c r="I6" s="177" t="n"/>
      <c r="J6" s="177" t="n"/>
    </row>
    <row r="7" ht="15" customHeight="1">
      <c r="A7" s="25" t="inlineStr">
        <is>
          <t>Government / defense embeddedness</t>
        </is>
      </c>
      <c r="B7" s="27" t="n">
        <v>0.15</v>
      </c>
      <c r="C7" s="180" t="inlineStr">
        <is>
          <t>IQT + DoD/DIU/DARPA/CHIPS pull</t>
        </is>
      </c>
      <c r="D7" s="177" t="n"/>
      <c r="E7" s="177" t="n"/>
      <c r="F7" s="177" t="n"/>
      <c r="G7" s="177" t="n"/>
      <c r="H7" s="177" t="n"/>
      <c r="I7" s="177" t="n"/>
      <c r="J7" s="177" t="n"/>
    </row>
    <row r="8" ht="15" customHeight="1">
      <c r="A8" s="25" t="inlineStr">
        <is>
          <t>CFIUS-clean / US-sovereign</t>
        </is>
      </c>
      <c r="B8" s="27" t="n">
        <v>0.15</v>
      </c>
      <c r="C8" s="180" t="inlineStr">
        <is>
          <t>US domicile &amp; ownership; acquirable by US gov/primes</t>
        </is>
      </c>
      <c r="D8" s="177" t="n"/>
      <c r="E8" s="177" t="n"/>
      <c r="F8" s="177" t="n"/>
      <c r="G8" s="177" t="n"/>
      <c r="H8" s="177" t="n"/>
      <c r="I8" s="177" t="n"/>
      <c r="J8" s="177" t="n"/>
    </row>
    <row r="9" ht="15" customHeight="1">
      <c r="A9" s="25" t="inlineStr">
        <is>
          <t>Supply-chain chokepoint leverage</t>
        </is>
      </c>
      <c r="B9" s="27" t="n">
        <v>0.15</v>
      </c>
      <c r="C9" s="180" t="inlineStr">
        <is>
          <t>Sole/near-sole source at a critical node</t>
        </is>
      </c>
      <c r="D9" s="177" t="n"/>
      <c r="E9" s="177" t="n"/>
      <c r="F9" s="177" t="n"/>
      <c r="G9" s="177" t="n"/>
      <c r="H9" s="177" t="n"/>
      <c r="I9" s="177" t="n"/>
      <c r="J9" s="177" t="n"/>
    </row>
    <row r="10" ht="15" customHeight="1">
      <c r="A10" s="18" t="inlineStr">
        <is>
          <t>Sum (check = 100%)</t>
        </is>
      </c>
      <c r="B10" s="20">
        <f>SUM(B5:B9)</f>
        <v>1.0</v>
      </c>
      <c r="C10" s="177" t="n"/>
      <c r="D10" s="177" t="n"/>
      <c r="E10" s="177" t="n"/>
      <c r="F10" s="177" t="n"/>
      <c r="G10" s="177" t="n"/>
      <c r="H10" s="177" t="n"/>
      <c r="I10" s="177" t="n"/>
      <c r="J10" s="177" t="n"/>
    </row>
    <row r="11" ht="15" customHeight="1">
      <c r="A11" s="177" t="n"/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</row>
    <row r="12" ht="15" customHeight="1">
      <c r="A12" s="11" t="inlineStr">
        <is>
          <t>TSMC-SHOCK CALIBRATION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</row>
    <row r="13" ht="15" customHeight="1">
      <c r="A13" s="25" t="inlineStr">
        <is>
          <t>Pivot score (neutral)</t>
        </is>
      </c>
      <c r="B13" s="50" t="n">
        <v>2.5</v>
      </c>
      <c r="C13" s="180" t="inlineStr">
        <is>
          <t>Composite above pivot -&gt; positive re-rating; below -&gt; drag</t>
        </is>
      </c>
      <c r="D13" s="177" t="n"/>
      <c r="E13" s="177" t="n"/>
      <c r="F13" s="177" t="n"/>
      <c r="G13" s="177" t="n"/>
      <c r="H13" s="177" t="n"/>
      <c r="I13" s="177" t="n"/>
      <c r="J13" s="177" t="n"/>
    </row>
    <row r="14" ht="15" customHeight="1">
      <c r="A14" s="25" t="inlineStr">
        <is>
          <t>Premium per point (CAGR)</t>
        </is>
      </c>
      <c r="B14" s="27" t="n">
        <v>0.08</v>
      </c>
      <c r="C14" s="180" t="inlineStr">
        <is>
          <t>CAGR uplift per composite point above pivot, added to Base CAGR</t>
        </is>
      </c>
      <c r="D14" s="177" t="n"/>
      <c r="E14" s="177" t="n"/>
      <c r="F14" s="177" t="n"/>
      <c r="G14" s="177" t="n"/>
      <c r="H14" s="177" t="n"/>
      <c r="I14" s="177" t="n"/>
      <c r="J14" s="177" t="n"/>
    </row>
    <row r="15" ht="15" customHeight="1">
      <c r="A15" s="177" t="n"/>
      <c r="B15" s="177" t="n"/>
      <c r="C15" s="177" t="n"/>
      <c r="D15" s="177" t="n"/>
      <c r="E15" s="177" t="n"/>
      <c r="F15" s="177" t="n"/>
      <c r="G15" s="177" t="n"/>
      <c r="H15" s="177" t="n"/>
      <c r="I15" s="177" t="n"/>
      <c r="J15" s="177" t="n"/>
    </row>
    <row r="16" ht="15" customHeight="1">
      <c r="A16" s="11" t="inlineStr">
        <is>
          <t>SCENARIO PROBABILITY WEIGHTS (must sum to 100%)</t>
        </is>
      </c>
      <c r="B16" s="177" t="n"/>
      <c r="C16" s="177" t="n"/>
      <c r="D16" s="177" t="n"/>
      <c r="E16" s="177" t="n"/>
      <c r="F16" s="177" t="n"/>
      <c r="G16" s="177" t="n"/>
      <c r="H16" s="177" t="n"/>
      <c r="I16" s="177" t="n"/>
      <c r="J16" s="177" t="n"/>
    </row>
    <row r="17" ht="15" customHeight="1">
      <c r="A17" s="25" t="inlineStr">
        <is>
          <t>Base</t>
        </is>
      </c>
      <c r="B17" s="27" t="n">
        <v>0.45</v>
      </c>
      <c r="C17" s="177" t="n"/>
      <c r="D17" s="177" t="n"/>
      <c r="E17" s="177" t="n"/>
      <c r="F17" s="177" t="n"/>
      <c r="G17" s="177" t="n"/>
      <c r="H17" s="177" t="n"/>
      <c r="I17" s="177" t="n"/>
      <c r="J17" s="177" t="n"/>
    </row>
    <row r="18" ht="15" customHeight="1">
      <c r="A18" s="25" t="inlineStr">
        <is>
          <t>Bull</t>
        </is>
      </c>
      <c r="B18" s="27" t="n">
        <v>0.25</v>
      </c>
      <c r="C18" s="177" t="n"/>
      <c r="D18" s="177" t="n"/>
      <c r="E18" s="177" t="n"/>
      <c r="F18" s="177" t="n"/>
      <c r="G18" s="177" t="n"/>
      <c r="H18" s="177" t="n"/>
      <c r="I18" s="177" t="n"/>
      <c r="J18" s="177" t="n"/>
    </row>
    <row r="19" ht="15" customHeight="1">
      <c r="A19" s="25" t="inlineStr">
        <is>
          <t>Bear</t>
        </is>
      </c>
      <c r="B19" s="27" t="n">
        <v>0.15</v>
      </c>
      <c r="C19" s="177" t="n"/>
      <c r="D19" s="177" t="n"/>
      <c r="E19" s="177" t="n"/>
      <c r="F19" s="177" t="n"/>
      <c r="G19" s="177" t="n"/>
      <c r="H19" s="177" t="n"/>
      <c r="I19" s="177" t="n"/>
      <c r="J19" s="177" t="n"/>
    </row>
    <row r="20" ht="15" customHeight="1">
      <c r="A20" s="25" t="inlineStr">
        <is>
          <t>TSMC-Shock</t>
        </is>
      </c>
      <c r="B20" s="27" t="n">
        <v>0.15</v>
      </c>
      <c r="C20" s="177" t="n"/>
      <c r="D20" s="177" t="n"/>
      <c r="E20" s="177" t="n"/>
      <c r="F20" s="177" t="n"/>
      <c r="G20" s="177" t="n"/>
      <c r="H20" s="177" t="n"/>
      <c r="I20" s="177" t="n"/>
      <c r="J20" s="177" t="n"/>
    </row>
    <row r="21" ht="15" customHeight="1">
      <c r="A21" s="18" t="inlineStr">
        <is>
          <t>Sum (check = 100%)</t>
        </is>
      </c>
      <c r="B21" s="20">
        <f>SUM(B17:B20)</f>
        <v>1.0</v>
      </c>
      <c r="C21" s="177" t="n"/>
      <c r="D21" s="177" t="n"/>
      <c r="E21" s="177" t="n"/>
      <c r="F21" s="177" t="n"/>
      <c r="G21" s="177" t="n"/>
      <c r="H21" s="177" t="n"/>
      <c r="I21" s="177" t="n"/>
      <c r="J21" s="177" t="n"/>
    </row>
    <row r="22" ht="30" customHeight="1">
      <c r="A22" s="11" t="inlineStr">
        <is>
          <t>STRATEGIC SCORING MATRIX (1 = low, 5 = high; blue = lever)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177" t="n"/>
    </row>
    <row r="23" ht="27.75" customHeight="1">
      <c r="A23" s="186" t="inlineStr">
        <is>
          <t>Company</t>
        </is>
      </c>
      <c r="B23" s="186" t="inlineStr">
        <is>
          <t>China Race</t>
        </is>
      </c>
      <c r="C23" s="186" t="inlineStr">
        <is>
          <t>TSMC Insul.</t>
        </is>
      </c>
      <c r="D23" s="186" t="inlineStr">
        <is>
          <t>Gov/Defense</t>
        </is>
      </c>
      <c r="E23" s="186" t="inlineStr">
        <is>
          <t>CFIUS-Clean</t>
        </is>
      </c>
      <c r="F23" s="186" t="inlineStr">
        <is>
          <t>Chokepoint</t>
        </is>
      </c>
      <c r="G23" s="186" t="inlineStr">
        <is>
          <t>Composite</t>
        </is>
      </c>
      <c r="H23" s="186" t="inlineStr">
        <is>
          <t>Shock prem.</t>
        </is>
      </c>
      <c r="I23" s="186" t="inlineStr">
        <is>
          <t>Shock CAGR</t>
        </is>
      </c>
      <c r="J23" s="177" t="n"/>
    </row>
    <row r="24" ht="15" customHeight="1">
      <c r="A24" s="13" t="inlineStr">
        <is>
          <t>Substrate (anchor)</t>
        </is>
      </c>
      <c r="B24" s="51" t="n">
        <v>5</v>
      </c>
      <c r="C24" s="51" t="n">
        <v>5</v>
      </c>
      <c r="D24" s="51" t="n">
        <v>4</v>
      </c>
      <c r="E24" s="51" t="n">
        <v>5</v>
      </c>
      <c r="F24" s="51" t="n">
        <v>5</v>
      </c>
      <c r="G24" s="52">
        <f>B24*$B$5+C24*$B$6+D24*$B$7+E24*$B$8+F24*$B$9</f>
        <v>4.85</v>
      </c>
      <c r="H24" s="15">
        <f>(G24-$B$13)*$B$14</f>
        <v>0.18799999999999997</v>
      </c>
      <c r="I24" s="39">
        <f>Assumptions!F18+H24</f>
        <v>0.408</v>
      </c>
      <c r="J24" s="177" t="n"/>
    </row>
    <row r="25" ht="15" customHeight="1">
      <c r="A25" s="13" t="inlineStr">
        <is>
          <t>EUV Tech</t>
        </is>
      </c>
      <c r="B25" s="51" t="n">
        <v>5</v>
      </c>
      <c r="C25" s="51" t="n">
        <v>4</v>
      </c>
      <c r="D25" s="51" t="n">
        <v>4</v>
      </c>
      <c r="E25" s="51" t="n">
        <v>5</v>
      </c>
      <c r="F25" s="51" t="n">
        <v>5</v>
      </c>
      <c r="G25" s="52">
        <f>B25*$B$5+C25*$B$6+D25*$B$7+E25*$B$8+F25*$B$9</f>
        <v>4.550000000000001</v>
      </c>
      <c r="H25" s="15">
        <f>(G25-$B$13)*$B$14</f>
        <v>0.16400000000000006</v>
      </c>
      <c r="I25" s="39">
        <f>Assumptions!F19+H25</f>
        <v>0.30400000000000005</v>
      </c>
      <c r="J25" s="177" t="n"/>
    </row>
    <row r="26" ht="15" customHeight="1">
      <c r="A26" s="13" t="inlineStr">
        <is>
          <t>ThinTronics</t>
        </is>
      </c>
      <c r="B26" s="51" t="n">
        <v>4</v>
      </c>
      <c r="C26" s="51" t="n">
        <v>5</v>
      </c>
      <c r="D26" s="51" t="n">
        <v>4</v>
      </c>
      <c r="E26" s="51" t="n">
        <v>5</v>
      </c>
      <c r="F26" s="51" t="n">
        <v>4</v>
      </c>
      <c r="G26" s="52">
        <f>B26*$B$5+C26*$B$6+D26*$B$7+E26*$B$8+F26*$B$9</f>
        <v>4.45</v>
      </c>
      <c r="H26" s="15">
        <f>(G26-$B$13)*$B$14</f>
        <v>0.15600000000000003</v>
      </c>
      <c r="I26" s="39">
        <f>Assumptions!F20+H26</f>
        <v>0.41600000000000004</v>
      </c>
      <c r="J26" s="177" t="n"/>
    </row>
    <row r="27" ht="15" customHeight="1">
      <c r="A27" s="13" t="inlineStr">
        <is>
          <t>EdgeCortix</t>
        </is>
      </c>
      <c r="B27" s="51" t="n">
        <v>4</v>
      </c>
      <c r="C27" s="51" t="n">
        <v>2</v>
      </c>
      <c r="D27" s="51" t="n">
        <v>4</v>
      </c>
      <c r="E27" s="51" t="n">
        <v>2</v>
      </c>
      <c r="F27" s="51" t="n">
        <v>2</v>
      </c>
      <c r="G27" s="52">
        <f>B27*$B$5+C27*$B$6+D27*$B$7+E27*$B$8+F27*$B$9</f>
        <v>2.8</v>
      </c>
      <c r="H27" s="15">
        <f>(G27-$B$13)*$B$14</f>
        <v>0.023999999999999987</v>
      </c>
      <c r="I27" s="39">
        <f>Assumptions!F21+H27</f>
        <v>0.26399999999999996</v>
      </c>
      <c r="J27" s="177" t="n"/>
    </row>
    <row r="28" ht="15" customHeight="1">
      <c r="A28" s="13" t="inlineStr">
        <is>
          <t>Syntiant</t>
        </is>
      </c>
      <c r="B28" s="51" t="n">
        <v>4</v>
      </c>
      <c r="C28" s="51" t="n">
        <v>2</v>
      </c>
      <c r="D28" s="51" t="n">
        <v>4</v>
      </c>
      <c r="E28" s="51" t="n">
        <v>5</v>
      </c>
      <c r="F28" s="51" t="n">
        <v>2</v>
      </c>
      <c r="G28" s="52">
        <f>B28*$B$5+C28*$B$6+D28*$B$7+E28*$B$8+F28*$B$9</f>
        <v>3.25</v>
      </c>
      <c r="H28" s="15">
        <f>(G28-$B$13)*$B$14</f>
        <v>0.06</v>
      </c>
      <c r="I28" s="39">
        <f>Assumptions!F22+H28</f>
        <v>0.22</v>
      </c>
      <c r="J28" s="177" t="n"/>
    </row>
    <row r="29" ht="15" customHeight="1">
      <c r="A29" s="13" t="inlineStr">
        <is>
          <t>Infleqtion</t>
        </is>
      </c>
      <c r="B29" s="51" t="n">
        <v>4</v>
      </c>
      <c r="C29" s="51" t="n">
        <v>2</v>
      </c>
      <c r="D29" s="51" t="n">
        <v>4</v>
      </c>
      <c r="E29" s="51" t="n">
        <v>5</v>
      </c>
      <c r="F29" s="51" t="n">
        <v>3</v>
      </c>
      <c r="G29" s="52">
        <f>B29*$B$5+C29*$B$6+D29*$B$7+E29*$B$8+F29*$B$9</f>
        <v>3.4000000000000004</v>
      </c>
      <c r="H29" s="15">
        <f>(G29-$B$13)*$B$14</f>
        <v>0.07200000000000004</v>
      </c>
      <c r="I29" s="39">
        <f>Assumptions!F23+H29</f>
        <v>0.22200000000000003</v>
      </c>
      <c r="J29" s="177" t="n"/>
    </row>
    <row r="30" ht="15" customHeight="1">
      <c r="A30" s="13" t="inlineStr">
        <is>
          <t>Diraq</t>
        </is>
      </c>
      <c r="B30" s="51" t="n">
        <v>4</v>
      </c>
      <c r="C30" s="51" t="n">
        <v>4</v>
      </c>
      <c r="D30" s="51" t="n">
        <v>4</v>
      </c>
      <c r="E30" s="51" t="n">
        <v>2</v>
      </c>
      <c r="F30" s="51" t="n">
        <v>3</v>
      </c>
      <c r="G30" s="52">
        <f>B30*$B$5+C30*$B$6+D30*$B$7+E30*$B$8+F30*$B$9</f>
        <v>3.55</v>
      </c>
      <c r="H30" s="15">
        <f>(G30-$B$13)*$B$14</f>
        <v>0.08399999999999999</v>
      </c>
      <c r="I30" s="39">
        <f>Assumptions!F24+H30</f>
        <v>0.384</v>
      </c>
      <c r="J30" s="177" t="n"/>
    </row>
    <row r="31" ht="15" customHeight="1">
      <c r="A31" s="13" t="inlineStr">
        <is>
          <t>Mueon</t>
        </is>
      </c>
      <c r="B31" s="51" t="n">
        <v>3</v>
      </c>
      <c r="C31" s="51" t="n">
        <v>3</v>
      </c>
      <c r="D31" s="51" t="n">
        <v>4</v>
      </c>
      <c r="E31" s="51" t="n">
        <v>5</v>
      </c>
      <c r="F31" s="51" t="n">
        <v>3</v>
      </c>
      <c r="G31" s="52">
        <f>B31*$B$5+C31*$B$6+D31*$B$7+E31*$B$8+F31*$B$9</f>
        <v>3.45</v>
      </c>
      <c r="H31" s="15">
        <f>(G31-$B$13)*$B$14</f>
        <v>0.07600000000000001</v>
      </c>
      <c r="I31" s="39">
        <f>Assumptions!F25+H31</f>
        <v>0.396</v>
      </c>
      <c r="J31" s="177" t="n"/>
    </row>
    <row r="32" ht="15" customHeight="1">
      <c r="A32" s="13" t="inlineStr">
        <is>
          <t>DefendEye</t>
        </is>
      </c>
      <c r="B32" s="51" t="n">
        <v>2</v>
      </c>
      <c r="C32" s="51" t="n">
        <v>1</v>
      </c>
      <c r="D32" s="51" t="n">
        <v>3</v>
      </c>
      <c r="E32" s="51" t="n">
        <v>2</v>
      </c>
      <c r="F32" s="51" t="n">
        <v>1</v>
      </c>
      <c r="G32" s="52">
        <f>B32*$B$5+C32*$B$6+D32*$B$7+E32*$B$8+F32*$B$9</f>
        <v>1.7</v>
      </c>
      <c r="H32" s="15">
        <f>(G32-$B$13)*$B$14</f>
        <v>-0.064</v>
      </c>
      <c r="I32" s="39">
        <f>Assumptions!F26+H32</f>
        <v>0.21600000000000003</v>
      </c>
      <c r="J32" s="177" t="n"/>
    </row>
    <row r="33" ht="15" customHeight="1">
      <c r="A33" s="53" t="inlineStr">
        <is>
          <t>Avg / weighted</t>
        </is>
      </c>
      <c r="B33" s="177" t="n"/>
      <c r="C33" s="177" t="n"/>
      <c r="D33" s="177" t="n"/>
      <c r="E33" s="177" t="n"/>
      <c r="F33" s="177" t="n"/>
      <c r="G33" s="54">
        <f>AVERAGE(G24:G32)</f>
        <v>3.5555555555555554</v>
      </c>
      <c r="H33" s="177" t="n"/>
      <c r="I33" s="177" t="n"/>
      <c r="J33" s="177" t="n"/>
    </row>
    <row r="34" ht="15" customHeight="1">
      <c r="A34" s="177" t="n"/>
      <c r="B34" s="177" t="n"/>
      <c r="C34" s="177" t="n"/>
      <c r="D34" s="177" t="n"/>
      <c r="E34" s="177" t="n"/>
      <c r="F34" s="177" t="n"/>
      <c r="G34" s="177" t="n"/>
      <c r="H34" s="177" t="n"/>
      <c r="I34" s="177" t="n"/>
      <c r="J34" s="177" t="n"/>
    </row>
    <row r="35" ht="15" customHeight="1">
      <c r="A35" s="11" t="inlineStr">
        <is>
          <t>SCENARIO NARRATIVE — TSMC SHOCK / TAIWAN CONTINGENCY</t>
        </is>
      </c>
      <c r="B35" s="177" t="n"/>
      <c r="C35" s="177" t="n"/>
      <c r="D35" s="177" t="n"/>
      <c r="E35" s="177" t="n"/>
      <c r="F35" s="177" t="n"/>
      <c r="G35" s="177" t="n"/>
      <c r="H35" s="177" t="n"/>
      <c r="I35" s="177" t="n"/>
      <c r="J35" s="177" t="n"/>
    </row>
    <row r="36" ht="27.75" customHeight="1">
      <c r="A36" s="181" t="inlineStr">
        <is>
          <t>• Trigger: a Taiwan blockade/quarantine, kinetic event, or hard US-China tech decoupling that removes or severely constrains access to TSMC's leading-edge capacity — the single point of failure in the AI-compute supply chain.</t>
        </is>
      </c>
    </row>
    <row r="37" ht="40.5" customHeight="1">
      <c r="A37" s="181" t="inlineStr">
        <is>
          <t>• Winners (large re-rate): the US sovereign-chokepoint names. Substrate (domestic X-ray litho / fabs), EUV Tech (at-wavelength EUV metrology — no fab qualifies without it), ThinTronics (US ABF/substrate materials vs Japan's Ajinomoto monopoly). Onshoring becomes a national-security imperative; demand + pricing power inflect.</t>
        </is>
      </c>
    </row>
    <row r="38" ht="27.75" customHeight="1">
      <c r="A38" s="181" t="inlineStr">
        <is>
          <t>• Partial winners: Mueon (US advanced packaging / rack density), Infleqtion &amp; Diraq (quantum race convexity — the 'next' compute paradigm if classical leading-edge is contested), Syntiant (US-fab-flexible edge inference).</t>
        </is>
      </c>
    </row>
    <row r="39" ht="27.75" customHeight="1">
      <c r="A39" s="181" t="inlineStr">
        <is>
          <t>• Laggards / drag: EdgeCortix (Japan HQ + TSMC-Kumamoto fab exposure, near-term supply hit and CFIUS ceiling) and DefendEye (foreign-nexus, low semiconductor-sovereignty relevance).</t>
        </is>
      </c>
    </row>
    <row r="40" ht="27.75" customHeight="1">
      <c r="A40" s="181" t="inlineStr">
        <is>
          <t>• Portfolio design implication: the book is intentionally overweight the sovereign core, so a tail event that would hurt a generic tech portfolio is where this one is most convex. That asymmetry is the thesis.</t>
        </is>
      </c>
    </row>
    <row r="41" ht="15" customHeight="1">
      <c r="A41" s="177" t="n"/>
      <c r="B41" s="177" t="n"/>
      <c r="C41" s="177" t="n"/>
      <c r="D41" s="177" t="n"/>
      <c r="E41" s="177" t="n"/>
      <c r="F41" s="177" t="n"/>
      <c r="G41" s="177" t="n"/>
      <c r="H41" s="177" t="n"/>
      <c r="I41" s="177" t="n"/>
      <c r="J41" s="177" t="n"/>
    </row>
    <row r="42" ht="15" customHeight="1">
      <c r="A42" s="11" t="inlineStr">
        <is>
          <t>IQT WARTIME-FUNCTION MAP — SUBSTRATE-ANCHORED SLEEVE (from uploaded IQT strategic analysis)</t>
        </is>
      </c>
      <c r="B42" s="177" t="n"/>
      <c r="C42" s="177" t="n"/>
      <c r="D42" s="177" t="n"/>
      <c r="E42" s="177" t="n"/>
      <c r="F42" s="177" t="n"/>
      <c r="G42" s="177" t="n"/>
      <c r="H42" s="177" t="n"/>
      <c r="I42" s="177" t="n"/>
      <c r="J42" s="177" t="n"/>
    </row>
    <row r="43" ht="15" customHeight="1">
      <c r="A43" s="186" t="inlineStr">
        <is>
          <t>Strategic cluster</t>
        </is>
      </c>
      <c r="B43" s="186" t="inlineStr">
        <is>
          <t>Holdings</t>
        </is>
      </c>
      <c r="C43" s="219" t="n"/>
      <c r="D43" s="186" t="inlineStr">
        <is>
          <t>Wartime function / why IQT funds it</t>
        </is>
      </c>
      <c r="E43" s="220" t="n"/>
      <c r="F43" s="220" t="n"/>
      <c r="G43" s="220" t="n"/>
      <c r="H43" s="220" t="n"/>
      <c r="I43" s="220" t="n"/>
      <c r="J43" s="219" t="n"/>
    </row>
    <row r="44" ht="40.5" customHeight="1">
      <c r="A44" s="55" t="inlineStr">
        <is>
          <t>TSMC-alternative: packaging &amp; substrates</t>
        </is>
      </c>
      <c r="B44" s="183" t="inlineStr">
        <is>
          <t>Substrate, ThinTronics, EUV Tech</t>
        </is>
      </c>
      <c r="C44" s="219" t="n"/>
      <c r="D44" s="183" t="inlineStr">
        <is>
          <t>Build &amp; package chips domestically if Taiwan is blockaded — X-ray litho (Substrate), CoWoS-alternative insulators for advanced packaging (ThinTronics, + $50M CHIPS LOI Jul-26), at-wavelength EUV metrology to keep domestic litho running (EUV Tech).</t>
        </is>
      </c>
      <c r="E44" s="220" t="n"/>
      <c r="F44" s="220" t="n"/>
      <c r="G44" s="220" t="n"/>
      <c r="H44" s="220" t="n"/>
      <c r="I44" s="220" t="n"/>
      <c r="J44" s="219" t="n"/>
    </row>
    <row r="45" ht="53.25" customHeight="1">
      <c r="A45" s="55" t="inlineStr">
        <is>
          <t>Denied-environment edge AI</t>
        </is>
      </c>
      <c r="B45" s="183" t="inlineStr">
        <is>
          <t>Syntiant, EdgeCortix</t>
        </is>
      </c>
      <c r="C45" s="219" t="n"/>
      <c r="D45" s="183" t="inlineStr">
        <is>
          <t>Onboard AI for autonomous weapons when GPS / cloud / comms are jammed by PLA electronic warfare — ultra-low-power SWaP-constrained inference on drones, missiles, naval sensors. Syntiant signed a Nov-2025 IQT strategic technology-development agreement; EdgeCortix's DNA accelerator targets defense/aerospace at the tactical edge.</t>
        </is>
      </c>
      <c r="E45" s="220" t="n"/>
      <c r="F45" s="220" t="n"/>
      <c r="G45" s="220" t="n"/>
      <c r="H45" s="220" t="n"/>
      <c r="I45" s="220" t="n"/>
      <c r="J45" s="219" t="n"/>
    </row>
    <row r="46" ht="40.5" customHeight="1">
      <c r="A46" s="55" t="inlineStr">
        <is>
          <t>Post-Moore's next-gen compute</t>
        </is>
      </c>
      <c r="B46" s="183" t="inlineStr">
        <is>
          <t>Diraq, Mueon (+ Infleqtion)</t>
        </is>
      </c>
      <c r="C46" s="219" t="n"/>
      <c r="D46" s="183" t="inlineStr">
        <is>
          <t>Bootstrap quantum on existing CMOS foundries (Diraq silicon spin qubits — no exotic materials) and ultra-dense secure domestic AI data-center compute (Mueon) — a hedge if China wins the legacy-silicon volume war.</t>
        </is>
      </c>
      <c r="E46" s="220" t="n"/>
      <c r="F46" s="220" t="n"/>
      <c r="G46" s="220" t="n"/>
      <c r="H46" s="220" t="n"/>
      <c r="I46" s="220" t="n"/>
      <c r="J46" s="219" t="n"/>
    </row>
    <row r="47" ht="36.75" customHeight="1">
      <c r="A47" s="182" t="inlineStr">
        <is>
          <t>Strategic takeaway: IQT is using venture capital to construct a parallel, domestic 'fail-safe' tech stack so the US can build, package and deploy AI-driven weapons entirely from domestic supply chains through a 2026/27 Taiwan contingency. Mirroring the Substrate-anchored sleeve = owning that fail-safe at VC-stage entry. The scores above are lifted for the edge-AI and next-gen-compute names to reflect this direct, documented defense pull.</t>
        </is>
      </c>
    </row>
  </sheetData>
  <mergeCells count="14">
    <mergeCell ref="A47:J47"/>
    <mergeCell ref="D46:J46"/>
    <mergeCell ref="A37:J37"/>
    <mergeCell ref="B44:C44"/>
    <mergeCell ref="A36:J36"/>
    <mergeCell ref="A40:J40"/>
    <mergeCell ref="D44:J44"/>
    <mergeCell ref="D45:J45"/>
    <mergeCell ref="B45:C45"/>
    <mergeCell ref="A39:J39"/>
    <mergeCell ref="B46:C46"/>
    <mergeCell ref="A38:J38"/>
    <mergeCell ref="D43:J43"/>
    <mergeCell ref="B43:C43"/>
  </mergeCells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H14"/>
  <sheetViews>
    <sheetView showGridLines="0" tabSelected="0" zoomScale="90" zoomScaleNormal="100" workbookViewId="0">
      <pane xSplit="1" ySplit="4" topLeftCell="B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8.6640625" defaultRowHeight="15"/>
  <cols>
    <col width="22" customWidth="1" min="1" max="1"/>
    <col width="12" customWidth="1" min="2" max="2"/>
    <col width="11" customWidth="1" min="3" max="3"/>
    <col width="10" customWidth="1" min="4" max="4"/>
    <col width="16" customWidth="1" min="5" max="5"/>
    <col width="11" customWidth="1" min="6" max="6"/>
    <col width="17" customWidth="1" min="7" max="7"/>
    <col width="46" customWidth="1" min="8" max="8"/>
  </cols>
  <sheetData>
    <row r="1" ht="18" customHeight="1">
      <c r="A1" s="9" t="inlineStr">
        <is>
          <t>ALLOCATION &amp; POSITION STRUCTURE</t>
        </is>
      </c>
      <c r="B1" s="177" t="n"/>
      <c r="C1" s="177" t="n"/>
      <c r="D1" s="177" t="n"/>
      <c r="E1" s="177" t="n"/>
      <c r="F1" s="177" t="n"/>
      <c r="G1" s="177" t="n"/>
      <c r="H1" s="177" t="n"/>
    </row>
    <row r="2" ht="15" customHeight="1">
      <c r="A2" s="180" t="inlineStr">
        <is>
          <t>Green = linked. Composite pulled from Defense Supercycle tab. Ownership &gt;15% = significant minority (seek board seat / observer).</t>
        </is>
      </c>
      <c r="B2" s="177" t="n"/>
      <c r="C2" s="177" t="n"/>
      <c r="D2" s="177" t="n"/>
      <c r="E2" s="177" t="n"/>
      <c r="F2" s="177" t="n"/>
      <c r="G2" s="177" t="n"/>
      <c r="H2" s="177" t="n"/>
    </row>
    <row r="3" ht="15" customHeight="1">
      <c r="A3" s="177" t="n"/>
      <c r="B3" s="177" t="n"/>
      <c r="C3" s="177" t="n"/>
      <c r="D3" s="177" t="n"/>
      <c r="E3" s="177" t="n"/>
      <c r="F3" s="177" t="n"/>
      <c r="G3" s="177" t="n"/>
      <c r="H3" s="177" t="n"/>
    </row>
    <row r="4" ht="15" customHeight="1">
      <c r="A4" s="186" t="inlineStr">
        <is>
          <t>Company</t>
        </is>
      </c>
      <c r="B4" s="186" t="inlineStr">
        <is>
          <t>Check ($M)</t>
        </is>
      </c>
      <c r="C4" s="186" t="inlineStr">
        <is>
          <t>Own %</t>
        </is>
      </c>
      <c r="D4" s="186" t="inlineStr">
        <is>
          <t>% Fund</t>
        </is>
      </c>
      <c r="E4" s="186" t="inlineStr">
        <is>
          <t>Supercycle</t>
        </is>
      </c>
      <c r="F4" s="186" t="inlineStr">
        <is>
          <t>Tranche</t>
        </is>
      </c>
      <c r="G4" s="186" t="inlineStr">
        <is>
          <t>Domicile</t>
        </is>
      </c>
      <c r="H4" s="186" t="inlineStr">
        <is>
          <t>Structuring / diligence flag</t>
        </is>
      </c>
    </row>
    <row r="5" ht="27.75" customHeight="1">
      <c r="A5" s="56" t="str">
        <f>Assumptions!A18</f>
        <v>Substrate (anchor)</v>
      </c>
      <c r="B5" s="57">
        <f>Assumptions!C18</f>
        <v>80</v>
      </c>
      <c r="C5" s="26">
        <f>Assumptions!D18</f>
        <v>0.0761904761904762</v>
      </c>
      <c r="D5" s="15">
        <f>Assumptions!C18/IQT_Committed</f>
        <v>0.32</v>
      </c>
      <c r="E5" s="58">
        <f>'Defense Supercycle'!G24</f>
        <v>4.85</v>
      </c>
      <c r="F5" s="59" t="str">
        <f>Assumptions!E18</f>
        <v>Anchor / growth</v>
      </c>
      <c r="G5" s="183" t="inlineStr">
        <is>
          <t>USA (SF, CA)</t>
        </is>
      </c>
      <c r="H5" s="183" t="inlineStr">
        <is>
          <t>Anchor. Binary tech risk — capped ~32% of fund; the core sovereign-litho bet.</t>
        </is>
      </c>
    </row>
    <row r="6" ht="40.5" customHeight="1">
      <c r="A6" s="56" t="str">
        <f>Assumptions!A19</f>
        <v>EUV Tech</v>
      </c>
      <c r="B6" s="57">
        <f>Assumptions!C19</f>
        <v>30</v>
      </c>
      <c r="C6" s="26">
        <f>Assumptions!D19</f>
        <v>0.16666666666666666</v>
      </c>
      <c r="D6" s="15">
        <f>Assumptions!C19/IQT_Committed</f>
        <v>0.12</v>
      </c>
      <c r="E6" s="58">
        <f>'Defense Supercycle'!G25</f>
        <v>4.550000000000001</v>
      </c>
      <c r="F6" s="59" t="str">
        <f>Assumptions!E19</f>
        <v>Growth core</v>
      </c>
      <c r="G6" s="183" t="inlineStr">
        <is>
          <t>USA (CA)</t>
        </is>
      </c>
      <c r="H6" s="183" t="inlineStr">
        <is>
          <t>Rev-generating niche leader — best risk-adjusted. ~17% stake = significant minority; seek a board seat.</t>
        </is>
      </c>
    </row>
    <row r="7" ht="40.5" customHeight="1">
      <c r="A7" s="56" t="str">
        <f>Assumptions!A20</f>
        <v>ThinTronics</v>
      </c>
      <c r="B7" s="57">
        <f>Assumptions!C20</f>
        <v>22.5</v>
      </c>
      <c r="C7" s="26">
        <f>Assumptions!D20</f>
        <v>0.1875</v>
      </c>
      <c r="D7" s="15">
        <f>Assumptions!C20/IQT_Committed</f>
        <v>0.09</v>
      </c>
      <c r="E7" s="58">
        <f>'Defense Supercycle'!G26</f>
        <v>4.45</v>
      </c>
      <c r="F7" s="59" t="str">
        <f>Assumptions!E20</f>
        <v>Growth core</v>
      </c>
      <c r="G7" s="183" t="inlineStr">
        <is>
          <t>USA (CA)</t>
        </is>
      </c>
      <c r="H7" s="183" t="inlineStr">
        <is>
          <t>CHIPS $50M LOI catalyst. ~19% stake = significant minority; likely primary + secondary blend.</t>
        </is>
      </c>
    </row>
    <row r="8" ht="27.75" customHeight="1">
      <c r="A8" s="56" t="str">
        <f>Assumptions!A21</f>
        <v>EdgeCortix</v>
      </c>
      <c r="B8" s="57">
        <f>Assumptions!C21</f>
        <v>30.5</v>
      </c>
      <c r="C8" s="26">
        <f>Assumptions!D21</f>
        <v>0.08714285714285715</v>
      </c>
      <c r="D8" s="15">
        <f>Assumptions!C21/IQT_Committed</f>
        <v>0.122</v>
      </c>
      <c r="E8" s="58">
        <f>'Defense Supercycle'!G27</f>
        <v>2.8</v>
      </c>
      <c r="F8" s="59" t="str">
        <f>Assumptions!E21</f>
        <v>Growth core</v>
      </c>
      <c r="G8" s="183" t="inlineStr">
        <is>
          <t>JAPAN (Tokyo)</t>
        </is>
      </c>
      <c r="H8" s="183" t="inlineStr">
        <is>
          <t>CFIUS/allied flag — minority only. Renesas natural acquirer. TSMC-Kumamoto fab exposure.</t>
        </is>
      </c>
    </row>
    <row r="9" ht="27.75" customHeight="1">
      <c r="A9" s="56" t="str">
        <f>Assumptions!A22</f>
        <v>Syntiant</v>
      </c>
      <c r="B9" s="57">
        <f>Assumptions!C22</f>
        <v>31.5</v>
      </c>
      <c r="C9" s="26">
        <f>Assumptions!D22</f>
        <v>0.045</v>
      </c>
      <c r="D9" s="15">
        <f>Assumptions!C22/IQT_Committed</f>
        <v>0.126</v>
      </c>
      <c r="E9" s="58">
        <f>'Defense Supercycle'!G28</f>
        <v>3.25</v>
      </c>
      <c r="F9" s="59" t="str">
        <f>Assumptions!E22</f>
        <v>Pre-IPO / liquid</v>
      </c>
      <c r="G9" s="183" t="inlineStr">
        <is>
          <t>USA (CA)</t>
        </is>
      </c>
      <c r="H9" s="183" t="inlineStr">
        <is>
          <t>Pre-IPO secondary or SYTN cornerstone. Watch pricing vs $646M Dec-24 mark.</t>
        </is>
      </c>
    </row>
    <row r="10" ht="27.75" customHeight="1">
      <c r="A10" s="56" t="str">
        <f>Assumptions!A23</f>
        <v>Infleqtion</v>
      </c>
      <c r="B10" s="57">
        <f>Assumptions!C23</f>
        <v>25</v>
      </c>
      <c r="C10" s="26">
        <f>Assumptions!D23</f>
        <v>0.008333333333333333</v>
      </c>
      <c r="D10" s="15">
        <f>Assumptions!C23/IQT_Committed</f>
        <v>0.1</v>
      </c>
      <c r="E10" s="58">
        <f>'Defense Supercycle'!G29</f>
        <v>3.4000000000000004</v>
      </c>
      <c r="F10" s="59" t="str">
        <f>Assumptions!E23</f>
        <v>Public / liquid</v>
      </c>
      <c r="G10" s="183" t="inlineStr">
        <is>
          <t>USA (CO)</t>
        </is>
      </c>
      <c r="H10" s="183" t="inlineStr">
        <is>
          <t>Public (INFQ). PIPE/secondary. Listed quantum benchmark for Diraq.</t>
        </is>
      </c>
    </row>
    <row r="11" ht="27.75" customHeight="1">
      <c r="A11" s="56" t="str">
        <f>Assumptions!A24</f>
        <v>Diraq</v>
      </c>
      <c r="B11" s="57">
        <f>Assumptions!C24</f>
        <v>14</v>
      </c>
      <c r="C11" s="26">
        <f>Assumptions!D24</f>
        <v>0.09333333333333334</v>
      </c>
      <c r="D11" s="15">
        <f>Assumptions!C24/IQT_Committed</f>
        <v>0.056</v>
      </c>
      <c r="E11" s="58">
        <f>'Defense Supercycle'!G30</f>
        <v>3.55</v>
      </c>
      <c r="F11" s="59" t="str">
        <f>Assumptions!E24</f>
        <v>Quantum venture</v>
      </c>
      <c r="G11" s="183" t="inlineStr">
        <is>
          <t>AUSTRALIA (Sydney)</t>
        </is>
      </c>
      <c r="H11" s="183" t="inlineStr">
        <is>
          <t>Allied flag — minority. NRFC sovereignty covenants. AUKUS-aligned quantum optionality.</t>
        </is>
      </c>
    </row>
    <row r="12" ht="27.75" customHeight="1">
      <c r="A12" s="56" t="str">
        <f>Assumptions!A25</f>
        <v>Mueon</v>
      </c>
      <c r="B12" s="57">
        <f>Assumptions!C25</f>
        <v>10</v>
      </c>
      <c r="C12" s="26">
        <f>Assumptions!D25</f>
        <v>0.15384615384615385</v>
      </c>
      <c r="D12" s="15">
        <f>Assumptions!C25/IQT_Committed</f>
        <v>0.04</v>
      </c>
      <c r="E12" s="58">
        <f>'Defense Supercycle'!G31</f>
        <v>3.45</v>
      </c>
      <c r="F12" s="59" t="str">
        <f>Assumptions!E25</f>
        <v>Seed optionality</v>
      </c>
      <c r="G12" s="183" t="inlineStr">
        <is>
          <t>USA (OR)</t>
        </is>
      </c>
      <c r="H12" s="183" t="inlineStr">
        <is>
          <t>Seed. Milestone-gated. Needs a shipping Cubelet design-win to scale exposure.</t>
        </is>
      </c>
    </row>
    <row r="13" ht="27.75" customHeight="1">
      <c r="A13" s="56" t="str">
        <f>Assumptions!A26</f>
        <v>DefendEye</v>
      </c>
      <c r="B13" s="57">
        <f>Assumptions!C26</f>
        <v>6.5</v>
      </c>
      <c r="C13" s="26">
        <f>Assumptions!D26</f>
        <v>0.13</v>
      </c>
      <c r="D13" s="15">
        <f>Assumptions!C26/IQT_Committed</f>
        <v>0.026</v>
      </c>
      <c r="E13" s="58">
        <f>'Defense Supercycle'!G32</f>
        <v>1.7</v>
      </c>
      <c r="F13" s="59" t="str">
        <f>Assumptions!E26</f>
        <v>Seed optionality</v>
      </c>
      <c r="G13" s="183" t="inlineStr">
        <is>
          <t>USA (FL)+POLAND</t>
        </is>
      </c>
      <c r="H13" s="183" t="inlineStr">
        <is>
          <t>EU cap table + Krakow mfg — Blue UAS/NDAA provenance diligence before US-defense thesis.</t>
        </is>
      </c>
    </row>
    <row r="14" ht="15" customHeight="1">
      <c r="A14" s="18" t="inlineStr">
        <is>
          <t>TOTAL</t>
        </is>
      </c>
      <c r="B14" s="49">
        <f>SUM(B5:B13)</f>
        <v>250.0</v>
      </c>
      <c r="C14" s="177" t="n"/>
      <c r="D14" s="60">
        <f>SUM(D5:D13)</f>
        <v>1.0</v>
      </c>
      <c r="E14" s="177" t="n"/>
      <c r="F14" s="177" t="n"/>
      <c r="G14" s="177" t="n"/>
      <c r="H14" s="177" t="n"/>
    </row>
  </sheetData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N44"/>
  <sheetViews>
    <sheetView showGridLines="0" tabSelected="0" zoomScale="90" zoomScaleNormal="10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8.6640625" defaultRowHeight="15"/>
  <cols>
    <col width="22" customWidth="1" min="1" max="1"/>
    <col width="10" customWidth="1" min="2" max="2"/>
    <col width="11" customWidth="1" min="3" max="14"/>
  </cols>
  <sheetData>
    <row r="1" ht="18" customHeight="1">
      <c r="A1" s="9" t="inlineStr">
        <is>
          <t>PORTFOLIO RETURNS BY HOLD &amp; SCENARIO</t>
        </is>
      </c>
      <c r="B1" s="177" t="n"/>
      <c r="C1" s="177" t="n"/>
      <c r="D1" s="177" t="n"/>
      <c r="E1" s="177" t="n"/>
      <c r="F1" s="177" t="n"/>
      <c r="G1" s="177" t="n"/>
      <c r="H1" s="177" t="n"/>
      <c r="I1" s="177" t="n"/>
      <c r="J1" s="177" t="n"/>
      <c r="K1" s="177" t="n"/>
      <c r="L1" s="177" t="n"/>
      <c r="M1" s="177" t="n"/>
      <c r="N1" s="177" t="n"/>
    </row>
    <row r="2" ht="15" customHeight="1">
      <c r="A2" s="180" t="inlineStr">
        <is>
          <t>Proceeds = Check x (1+CAGR)^Hold x Retention. MOIC = Proceeds/Check. Gross IRR = MOIC^(1/Hold)-1.</t>
        </is>
      </c>
      <c r="B2" s="177" t="n"/>
      <c r="C2" s="177" t="n"/>
      <c r="D2" s="177" t="n"/>
      <c r="E2" s="177" t="n"/>
      <c r="F2" s="177" t="n"/>
      <c r="G2" s="177" t="n"/>
      <c r="H2" s="177" t="n"/>
      <c r="I2" s="177" t="n"/>
      <c r="J2" s="177" t="n"/>
      <c r="K2" s="177" t="n"/>
      <c r="L2" s="177" t="n"/>
      <c r="M2" s="177" t="n"/>
      <c r="N2" s="177" t="n"/>
    </row>
    <row r="3" ht="15" customHeight="1">
      <c r="A3" s="177" t="n"/>
      <c r="B3" s="177" t="n"/>
      <c r="C3" s="177" t="n"/>
      <c r="D3" s="177" t="n"/>
      <c r="E3" s="177" t="n"/>
      <c r="F3" s="177" t="n"/>
      <c r="G3" s="177" t="n"/>
      <c r="H3" s="177" t="n"/>
      <c r="I3" s="177" t="n"/>
      <c r="J3" s="177" t="n"/>
      <c r="K3" s="177" t="n"/>
      <c r="L3" s="177" t="n"/>
      <c r="M3" s="177" t="n"/>
      <c r="N3" s="177" t="n"/>
    </row>
    <row r="4" ht="15" customHeight="1">
      <c r="A4" s="28" t="str">
        <f>Hold_Short&amp;"-YEAR HOLD VEHICLE"</f>
        <v>5-YEAR HOLD VEHICLE</v>
      </c>
      <c r="B4" s="177" t="n"/>
      <c r="C4" s="177" t="n"/>
      <c r="D4" s="177" t="n"/>
      <c r="E4" s="177" t="n"/>
      <c r="F4" s="177" t="n"/>
      <c r="G4" s="177" t="n"/>
      <c r="H4" s="177" t="n"/>
      <c r="I4" s="177" t="n"/>
      <c r="J4" s="177" t="n"/>
      <c r="K4" s="177" t="n"/>
      <c r="L4" s="177" t="n"/>
      <c r="M4" s="177" t="n"/>
      <c r="N4" s="177" t="n"/>
    </row>
    <row r="5" ht="27.75" customHeight="1">
      <c r="A5" s="186" t="inlineStr">
        <is>
          <t>Company</t>
        </is>
      </c>
      <c r="B5" s="186" t="inlineStr">
        <is>
          <t>Check ($M)</t>
        </is>
      </c>
      <c r="C5" s="186" t="inlineStr">
        <is>
          <t>Base $</t>
        </is>
      </c>
      <c r="D5" s="186" t="inlineStr">
        <is>
          <t>Base MOIC</t>
        </is>
      </c>
      <c r="E5" s="186" t="inlineStr">
        <is>
          <t>Base IRR</t>
        </is>
      </c>
      <c r="F5" s="186" t="inlineStr">
        <is>
          <t>Bull $</t>
        </is>
      </c>
      <c r="G5" s="186" t="inlineStr">
        <is>
          <t>Bull MOIC</t>
        </is>
      </c>
      <c r="H5" s="186" t="inlineStr">
        <is>
          <t>Bull IRR</t>
        </is>
      </c>
      <c r="I5" s="186" t="inlineStr">
        <is>
          <t>Bear $</t>
        </is>
      </c>
      <c r="J5" s="186" t="inlineStr">
        <is>
          <t>Bear MOIC</t>
        </is>
      </c>
      <c r="K5" s="186" t="inlineStr">
        <is>
          <t>Bear IRR</t>
        </is>
      </c>
      <c r="L5" s="21" t="inlineStr">
        <is>
          <t>Shock $</t>
        </is>
      </c>
      <c r="M5" s="21" t="inlineStr">
        <is>
          <t>Shock MOIC</t>
        </is>
      </c>
      <c r="N5" s="21" t="inlineStr">
        <is>
          <t>Shock IRR</t>
        </is>
      </c>
    </row>
    <row r="6" ht="15" customHeight="1">
      <c r="A6" s="56" t="str">
        <f>Assumptions!A18</f>
        <v>Substrate (anchor)</v>
      </c>
      <c r="B6" s="57">
        <f>Assumptions!C18</f>
        <v>80</v>
      </c>
      <c r="C6" s="61">
        <f>Assumptions!C18*(1+Assumptions!F18)^Hold_Short*Ret_IQT_Short</f>
        <v>183.78415509759998</v>
      </c>
      <c r="D6" s="36">
        <f>C6/B6</f>
        <v>2.2973019387199995</v>
      </c>
      <c r="E6" s="15">
        <f>IF((C6/B6)&lt;=0,-1,(C6/B6)^(1/Hold_Short)-1)</f>
        <v>0.18098291770302732</v>
      </c>
      <c r="F6" s="61">
        <f>Assumptions!C18*(1+Assumptions!G18)^Hold_Short*Ret_IQT_Short</f>
        <v>293.78722328320003</v>
      </c>
      <c r="G6" s="36">
        <f>F6/B6</f>
        <v>3.6723402910400003</v>
      </c>
      <c r="H6" s="15">
        <f>IF((F6/B6)&lt;=0,-1,(F6/B6)^(1/Hold_Short)-1)</f>
        <v>0.2971451719033251</v>
      </c>
      <c r="I6" s="61">
        <f>Assumptions!C18*(1+Assumptions!H18)^Hold_Short*Ret_IQT_Short</f>
        <v>25.21030933760001</v>
      </c>
      <c r="J6" s="36">
        <f>I6/B6</f>
        <v>0.3151288667200001</v>
      </c>
      <c r="K6" s="15">
        <f>IF((I6/B6)&lt;=0,-1,(I6/B6)^(1/Hold_Short)-1)</f>
        <v>-0.2062245962979652</v>
      </c>
      <c r="L6" s="62">
        <f>Assumptions!C18*(1+Assumptions!I18)^Hold_Short*Ret_IQT_Short</f>
        <v>376.2895752255241</v>
      </c>
      <c r="M6" s="37">
        <f>L6/B6</f>
        <v>4.7036196903190515</v>
      </c>
      <c r="N6" s="39">
        <f>IF((L6/B6)&lt;=0,-1,(L6/B6)^(1/Hold_Short)-1)</f>
        <v>0.36297044928349376</v>
      </c>
    </row>
    <row r="7" ht="15" customHeight="1">
      <c r="A7" s="56" t="str">
        <f>Assumptions!A19</f>
        <v>EUV Tech</v>
      </c>
      <c r="B7" s="57">
        <f>Assumptions!C19</f>
        <v>30</v>
      </c>
      <c r="C7" s="61">
        <f>Assumptions!C19*(1+Assumptions!F19)^Hold_Short*Ret_IQT_Short</f>
        <v>49.098071851200025</v>
      </c>
      <c r="D7" s="36">
        <f>C7/B7</f>
        <v>1.6366023950400008</v>
      </c>
      <c r="E7" s="15">
        <f>IF((C7/B7)&lt;=0,-1,(C7/B7)^(1/Hold_Short)-1)</f>
        <v>0.10354141490282887</v>
      </c>
      <c r="F7" s="61">
        <f>Assumptions!C19*(1+Assumptions!G19)^Hold_Short*Ret_IQT_Short</f>
        <v>80.9828219088</v>
      </c>
      <c r="G7" s="36">
        <f>F7/B7</f>
        <v>2.69942739696</v>
      </c>
      <c r="H7" s="15">
        <f>IF((F7/B7)&lt;=0,-1,(F7/B7)^(1/Hold_Short)-1)</f>
        <v>0.21970366910312644</v>
      </c>
      <c r="I7" s="61">
        <f>Assumptions!C19*(1+Assumptions!H19)^Hold_Short*Ret_IQT_Short</f>
        <v>29.56148889465</v>
      </c>
      <c r="J7" s="36">
        <f>I7/B7</f>
        <v>0.9853829631550001</v>
      </c>
      <c r="K7" s="15">
        <f>IF((I7/B7)&lt;=0,-1,(I7/B7)^(1/Hold_Short)-1)</f>
        <v>-0.0029406514474441536</v>
      </c>
      <c r="L7" s="62">
        <f>Assumptions!C19*(1+Assumptions!I19)^Hold_Short*Ret_IQT_Short</f>
        <v>96.14531738325813</v>
      </c>
      <c r="M7" s="37">
        <f>L7/B7</f>
        <v>3.2048439127752713</v>
      </c>
      <c r="N7" s="39">
        <f>IF((L7/B7)&lt;=0,-1,(L7/B7)^(1/Hold_Short)-1)</f>
        <v>0.26229649564323587</v>
      </c>
    </row>
    <row r="8" ht="15" customHeight="1">
      <c r="A8" s="56" t="str">
        <f>Assumptions!A20</f>
        <v>ThinTronics</v>
      </c>
      <c r="B8" s="57">
        <f>Assumptions!C20</f>
        <v>22.5</v>
      </c>
      <c r="C8" s="61">
        <f>Assumptions!C20*(1+Assumptions!F20)^Hold_Short*Ret_IQT_Short</f>
        <v>60.73711643159999</v>
      </c>
      <c r="D8" s="36">
        <f>C8/B8</f>
        <v>2.6994273969599996</v>
      </c>
      <c r="E8" s="15">
        <f>IF((C8/B8)&lt;=0,-1,(C8/B8)^(1/Hold_Short)-1)</f>
        <v>0.21970366910312644</v>
      </c>
      <c r="F8" s="61">
        <f>Assumptions!C20*(1+Assumptions!G20)^Hold_Short*Ret_IQT_Short</f>
        <v>95.71871855879996</v>
      </c>
      <c r="G8" s="36">
        <f>F8/B8</f>
        <v>4.254165269279999</v>
      </c>
      <c r="H8" s="15">
        <f>IF((F8/B8)&lt;=0,-1,(F8/B8)^(1/Hold_Short)-1)</f>
        <v>0.33586592330342424</v>
      </c>
      <c r="I8" s="61">
        <f>Assumptions!C20*(1+Assumptions!H20)^Hold_Short*Ret_IQT_Short</f>
        <v>11.293121250000002</v>
      </c>
      <c r="J8" s="36">
        <f>I8/B8</f>
        <v>0.5019165000000001</v>
      </c>
      <c r="K8" s="15">
        <f>IF((I8/B8)&lt;=0,-1,(I8/B8)^(1/Hold_Short)-1)</f>
        <v>-0.12878309349776673</v>
      </c>
      <c r="L8" s="62">
        <f>Assumptions!C20*(1+Assumptions!I20)^Hold_Short*Ret_IQT_Short</f>
        <v>108.87237841928598</v>
      </c>
      <c r="M8" s="37">
        <f>L8/B8</f>
        <v>4.838772374190488</v>
      </c>
      <c r="N8" s="39">
        <f>IF((L8/B8)&lt;=0,-1,(L8/B8)^(1/Hold_Short)-1)</f>
        <v>0.3707145995635135</v>
      </c>
    </row>
    <row r="9" ht="15" customHeight="1">
      <c r="A9" s="56" t="str">
        <f>Assumptions!A21</f>
        <v>EdgeCortix</v>
      </c>
      <c r="B9" s="57">
        <f>Assumptions!C21</f>
        <v>30.5</v>
      </c>
      <c r="C9" s="61">
        <f>Assumptions!C21*(1+Assumptions!F21)^Hold_Short*Ret_IQT_Short</f>
        <v>76.00237974272</v>
      </c>
      <c r="D9" s="36">
        <f>C9/B9</f>
        <v>2.49188130304</v>
      </c>
      <c r="E9" s="15">
        <f>IF((C9/B9)&lt;=0,-1,(C9/B9)^(1/Hold_Short)-1)</f>
        <v>0.20034329340307688</v>
      </c>
      <c r="F9" s="61">
        <f>Assumptions!C21*(1+Assumptions!G21)^Hold_Short*Ret_IQT_Short</f>
        <v>120.61832880127994</v>
      </c>
      <c r="G9" s="36">
        <f>F9/B9</f>
        <v>3.9546993049599983</v>
      </c>
      <c r="H9" s="15">
        <f>IF((F9/B9)&lt;=0,-1,(F9/B9)^(1/Hold_Short)-1)</f>
        <v>0.31650554760337446</v>
      </c>
      <c r="I9" s="61">
        <f>Assumptions!C21*(1+Assumptions!H21)^Hold_Short*Ret_IQT_Short</f>
        <v>17.08668848896</v>
      </c>
      <c r="J9" s="36">
        <f>I9/B9</f>
        <v>0.56021929472</v>
      </c>
      <c r="K9" s="15">
        <f>IF((I9/B9)&lt;=0,-1,(I9/B9)^(1/Hold_Short)-1)</f>
        <v>-0.10942271779771717</v>
      </c>
      <c r="L9" s="62">
        <f>Assumptions!C21*(1+Assumptions!I21)^Hold_Short*Ret_IQT_Short</f>
        <v>83.64772519478558</v>
      </c>
      <c r="M9" s="37">
        <f>L9/B9</f>
        <v>2.74254836704215</v>
      </c>
      <c r="N9" s="39">
        <f>IF((L9/B9)&lt;=0,-1,(L9/B9)^(1/Hold_Short)-1)</f>
        <v>0.22357574424313653</v>
      </c>
    </row>
    <row r="10" ht="15" customHeight="1">
      <c r="A10" s="56" t="str">
        <f>Assumptions!A22</f>
        <v>Syntiant</v>
      </c>
      <c r="B10" s="57">
        <f>Assumptions!C22</f>
        <v>31.5</v>
      </c>
      <c r="C10" s="61">
        <f>Assumptions!C22*(1+Assumptions!F22)^Hold_Short*Ret_IQT_Short</f>
        <v>56.23664788223997</v>
      </c>
      <c r="D10" s="36">
        <f>C10/B10</f>
        <v>1.785290408959999</v>
      </c>
      <c r="E10" s="15">
        <f>IF((C10/B10)&lt;=0,-1,(C10/B10)^(1/Hold_Short)-1)</f>
        <v>0.1229017906028782</v>
      </c>
      <c r="F10" s="61">
        <f>Assumptions!C22*(1+Assumptions!G22)^Hold_Short*Ret_IQT_Short</f>
        <v>91.99819948032001</v>
      </c>
      <c r="G10" s="36">
        <f>F10/B10</f>
        <v>2.92057776128</v>
      </c>
      <c r="H10" s="15">
        <f>IF((F10/B10)&lt;=0,-1,(F10/B10)^(1/Hold_Short)-1)</f>
        <v>0.23906404480317622</v>
      </c>
      <c r="I10" s="61">
        <f>Assumptions!C22*(1+Assumptions!H22)^Hold_Short*Ret_IQT_Short</f>
        <v>24.202479334319996</v>
      </c>
      <c r="J10" s="36">
        <f>I10/B10</f>
        <v>0.7683326772799999</v>
      </c>
      <c r="K10" s="15">
        <f>IF((I10/B10)&lt;=0,-1,(I10/B10)^(1/Hold_Short)-1)</f>
        <v>-0.05134159069756827</v>
      </c>
      <c r="L10" s="62">
        <f>Assumptions!C22*(1+Assumptions!I22)^Hold_Short*Ret_IQT_Short</f>
        <v>72.36501106968</v>
      </c>
      <c r="M10" s="37">
        <f>L10/B10</f>
        <v>2.29730193872</v>
      </c>
      <c r="N10" s="39">
        <f>IF((L10/B10)&lt;=0,-1,(L10/B10)^(1/Hold_Short)-1)</f>
        <v>0.18098291770302732</v>
      </c>
    </row>
    <row r="11" ht="15" customHeight="1">
      <c r="A11" s="56" t="str">
        <f>Assumptions!A23</f>
        <v>Infleqtion</v>
      </c>
      <c r="B11" s="57">
        <f>Assumptions!C23</f>
        <v>25</v>
      </c>
      <c r="C11" s="61">
        <f>Assumptions!C23*(1+Assumptions!F23)^Hold_Short*Ret_IQT_Short</f>
        <v>42.74134023437499</v>
      </c>
      <c r="D11" s="36">
        <f>C11/B11</f>
        <v>1.7096536093749994</v>
      </c>
      <c r="E11" s="15">
        <f>IF((C11/B11)&lt;=0,-1,(C11/B11)^(1/Hold_Short)-1)</f>
        <v>0.11322160275285342</v>
      </c>
      <c r="F11" s="61">
        <f>Assumptions!C23*(1+Assumptions!G23)^Hold_Short*Ret_IQT_Short</f>
        <v>70.206534989875</v>
      </c>
      <c r="G11" s="36">
        <f>F11/B11</f>
        <v>2.8082613995949997</v>
      </c>
      <c r="H11" s="15">
        <f>IF((F11/B11)&lt;=0,-1,(F11/B11)^(1/Hold_Short)-1)</f>
        <v>0.22938385695315122</v>
      </c>
      <c r="I11" s="61">
        <f>Assumptions!C23*(1+Assumptions!H23)^Hold_Short*Ret_IQT_Short</f>
        <v>12.5479125</v>
      </c>
      <c r="J11" s="36">
        <f>I11/B11</f>
        <v>0.5019165</v>
      </c>
      <c r="K11" s="15">
        <f>IF((I11/B11)&lt;=0,-1,(I11/B11)^(1/Hold_Short)-1)</f>
        <v>-0.12878309349776684</v>
      </c>
      <c r="L11" s="62">
        <f>Assumptions!C23*(1+Assumptions!I23)^Hold_Short*Ret_IQT_Short</f>
        <v>57.90485306515467</v>
      </c>
      <c r="M11" s="37">
        <f>L11/B11</f>
        <v>2.316194122606187</v>
      </c>
      <c r="N11" s="39">
        <f>IF((L11/B11)&lt;=0,-1,(L11/B11)^(1/Hold_Short)-1)</f>
        <v>0.18291895527303215</v>
      </c>
    </row>
    <row r="12" ht="15" customHeight="1">
      <c r="A12" s="56" t="str">
        <f>Assumptions!A24</f>
        <v>Diraq</v>
      </c>
      <c r="B12" s="57">
        <f>Assumptions!C24</f>
        <v>14</v>
      </c>
      <c r="C12" s="61">
        <f>Assumptions!C24*(1+Assumptions!F24)^Hold_Short*Ret_IQT_Short</f>
        <v>44.183867000000006</v>
      </c>
      <c r="D12" s="36">
        <f>C12/B12</f>
        <v>3.1559905000000006</v>
      </c>
      <c r="E12" s="15">
        <f>IF((C12/B12)&lt;=0,-1,(C12/B12)^(1/Hold_Short)-1)</f>
        <v>0.2584244205032258</v>
      </c>
      <c r="F12" s="61">
        <f>Assumptions!C24*(1+Assumptions!G24)^Hold_Short*Ret_IQT_Short</f>
        <v>68.70505368607998</v>
      </c>
      <c r="G12" s="36">
        <f>F12/B12</f>
        <v>4.907503834719998</v>
      </c>
      <c r="H12" s="15">
        <f>IF((F12/B12)&lt;=0,-1,(F12/B12)^(1/Hold_Short)-1)</f>
        <v>0.37458667470352336</v>
      </c>
      <c r="I12" s="61">
        <f>Assumptions!C24*(1+Assumptions!H24)^Hold_Short*Ret_IQT_Short</f>
        <v>3.435737497920001</v>
      </c>
      <c r="J12" s="36">
        <f>I12/B12</f>
        <v>0.24540982128000005</v>
      </c>
      <c r="K12" s="15">
        <f>IF((I12/B12)&lt;=0,-1,(I12/B12)^(1/Hold_Short)-1)</f>
        <v>-0.24494534769806453</v>
      </c>
      <c r="L12" s="62">
        <f>Assumptions!C24*(1+Assumptions!I24)^Hold_Short*Ret_IQT_Short</f>
        <v>60.42649611163072</v>
      </c>
      <c r="M12" s="37">
        <f>L12/B12</f>
        <v>4.3161782936879085</v>
      </c>
      <c r="N12" s="39">
        <f>IF((L12/B12)&lt;=0,-1,(L12/B12)^(1/Hold_Short)-1)</f>
        <v>0.3397379984434341</v>
      </c>
    </row>
    <row r="13" ht="15" customHeight="1">
      <c r="A13" s="56" t="str">
        <f>Assumptions!A25</f>
        <v>Mueon</v>
      </c>
      <c r="B13" s="57">
        <f>Assumptions!C25</f>
        <v>10</v>
      </c>
      <c r="C13" s="61">
        <f>Assumptions!C25*(1+Assumptions!F25)^Hold_Short*Ret_IQT_Short</f>
        <v>34.06344606720001</v>
      </c>
      <c r="D13" s="36">
        <f>C13/B13</f>
        <v>3.406344606720001</v>
      </c>
      <c r="E13" s="15">
        <f>IF((C13/B13)&lt;=0,-1,(C13/B13)^(1/Hold_Short)-1)</f>
        <v>0.27778479620327556</v>
      </c>
      <c r="F13" s="61">
        <f>Assumptions!C25*(1+Assumptions!G25)^Hold_Short*Ret_IQT_Short</f>
        <v>52.62975959039999</v>
      </c>
      <c r="G13" s="36">
        <f>F13/B13</f>
        <v>5.262975959039999</v>
      </c>
      <c r="H13" s="15">
        <f>IF((F13/B13)&lt;=0,-1,(F13/B13)^(1/Hold_Short)-1)</f>
        <v>0.39394705040357314</v>
      </c>
      <c r="I13" s="61">
        <f>Assumptions!C25*(1+Assumptions!H25)^Hold_Short*Ret_IQT_Short</f>
        <v>1.6446799871999997</v>
      </c>
      <c r="J13" s="36">
        <f>I13/B13</f>
        <v>0.16446799871999998</v>
      </c>
      <c r="K13" s="15">
        <f>IF((I13/B13)&lt;=0,-1,(I13/B13)^(1/Hold_Short)-1)</f>
        <v>-0.30302647479821343</v>
      </c>
      <c r="L13" s="62">
        <f>Assumptions!C25*(1+Assumptions!I25)^Hold_Short*Ret_IQT_Short</f>
        <v>45.06568919282328</v>
      </c>
      <c r="M13" s="37">
        <f>L13/B13</f>
        <v>4.506568919282328</v>
      </c>
      <c r="N13" s="39">
        <f>IF((L13/B13)&lt;=0,-1,(L13/B13)^(1/Hold_Short)-1)</f>
        <v>0.35135422386346393</v>
      </c>
    </row>
    <row r="14" ht="15" customHeight="1">
      <c r="A14" s="56" t="str">
        <f>Assumptions!A26</f>
        <v>DefendEye</v>
      </c>
      <c r="B14" s="57">
        <f>Assumptions!C26</f>
        <v>6.5</v>
      </c>
      <c r="C14" s="61">
        <f>Assumptions!C26*(1+Assumptions!F26)^Hold_Short*Ret_IQT_Short</f>
        <v>18.983755448320004</v>
      </c>
      <c r="D14" s="36">
        <f>C14/B14</f>
        <v>2.9205777612800006</v>
      </c>
      <c r="E14" s="15">
        <f>IF((C14/B14)&lt;=0,-1,(C14/B14)^(1/Hold_Short)-1)</f>
        <v>0.23906404480317622</v>
      </c>
      <c r="F14" s="61">
        <f>Assumptions!C26*(1+Assumptions!G26)^Hold_Short*Ret_IQT_Short</f>
        <v>29.714775999999993</v>
      </c>
      <c r="G14" s="36">
        <f>F14/B14</f>
        <v>4.571503999999999</v>
      </c>
      <c r="H14" s="15">
        <f>IF((F14/B14)&lt;=0,-1,(F14/B14)^(1/Hold_Short)-1)</f>
        <v>0.3552262990034738</v>
      </c>
      <c r="I14" s="61">
        <f>Assumptions!C26*(1+Assumptions!H26)^Hold_Short*Ret_IQT_Short</f>
        <v>1.3111083984375</v>
      </c>
      <c r="J14" s="36">
        <f>I14/B14</f>
        <v>0.201708984375</v>
      </c>
      <c r="K14" s="15">
        <f>IF((I14/B14)&lt;=0,-1,(I14/B14)^(1/Hold_Short)-1)</f>
        <v>-0.273985911248139</v>
      </c>
      <c r="L14" s="62">
        <f>Assumptions!C26*(1+Assumptions!I26)^Hold_Short*Ret_IQT_Short</f>
        <v>14.689268088071781</v>
      </c>
      <c r="M14" s="37">
        <f>L14/B14</f>
        <v>2.2598873981648895</v>
      </c>
      <c r="N14" s="39">
        <f>IF((L14/B14)&lt;=0,-1,(L14/B14)^(1/Hold_Short)-1)</f>
        <v>0.17711084256301723</v>
      </c>
    </row>
    <row r="15" ht="15" customHeight="1">
      <c r="A15" s="53" t="inlineStr">
        <is>
          <t>FUND TOTAL</t>
        </is>
      </c>
      <c r="B15" s="63">
        <f>SUM(B6:B14)</f>
        <v>250.0</v>
      </c>
      <c r="C15" s="63">
        <f>SUM(C6:C14)</f>
        <v>565.830779755255</v>
      </c>
      <c r="D15" s="64">
        <f>C15/B15</f>
        <v>2.26332311902102</v>
      </c>
      <c r="E15" s="65">
        <f>IF((C15/B15)&lt;=0,-1,(C15/B15)^(1/Hold_Short)-1)</f>
        <v>0.17746853889181313</v>
      </c>
      <c r="F15" s="63">
        <f>SUM(F6:F14)</f>
        <v>904.361416298755</v>
      </c>
      <c r="G15" s="64">
        <f>F15/B15</f>
        <v>3.61744566519502</v>
      </c>
      <c r="H15" s="65">
        <f>IF((F15/B15)&lt;=0,-1,(F15/B15)^(1/Hold_Short)-1)</f>
        <v>0.2932437949795841</v>
      </c>
      <c r="I15" s="63">
        <f>SUM(I6:I14)</f>
        <v>126.2935256890875</v>
      </c>
      <c r="J15" s="64">
        <f>I15/B15</f>
        <v>0.50517410275635</v>
      </c>
      <c r="K15" s="65">
        <f>IF((I15/B15)&lt;=0,-1,(I15/B15)^(1/Hold_Short)-1)</f>
        <v>-0.1276551213612328</v>
      </c>
      <c r="L15" s="66">
        <f>SUM(L6:L14)</f>
        <v>915.4063137502143</v>
      </c>
      <c r="M15" s="67">
        <f>L15/B15</f>
        <v>3.6616252550008572</v>
      </c>
      <c r="N15" s="68">
        <f>IF((L15/B15)&lt;=0,-1,(L15/B15)^(1/Hold_Short)-1)</f>
        <v>0.29638733323967204</v>
      </c>
    </row>
    <row r="16" ht="15" customHeight="1">
      <c r="A16" s="177" t="n"/>
      <c r="B16" s="177" t="n"/>
      <c r="C16" s="177" t="n"/>
      <c r="D16" s="177" t="n"/>
      <c r="E16" s="177" t="n"/>
      <c r="F16" s="177" t="n"/>
      <c r="G16" s="177" t="n"/>
      <c r="H16" s="177" t="n"/>
      <c r="I16" s="177" t="n"/>
      <c r="J16" s="177" t="n"/>
      <c r="K16" s="177" t="n"/>
      <c r="L16" s="177" t="n"/>
      <c r="M16" s="177" t="n"/>
      <c r="N16" s="177" t="n"/>
    </row>
    <row r="17" ht="15" customHeight="1">
      <c r="A17" s="177" t="n"/>
      <c r="B17" s="177" t="n"/>
      <c r="C17" s="177" t="n"/>
      <c r="D17" s="177" t="n"/>
      <c r="E17" s="177" t="n"/>
      <c r="F17" s="177" t="n"/>
      <c r="G17" s="177" t="n"/>
      <c r="H17" s="177" t="n"/>
      <c r="I17" s="177" t="n"/>
      <c r="J17" s="177" t="n"/>
      <c r="K17" s="177" t="n"/>
      <c r="L17" s="177" t="n"/>
      <c r="M17" s="177" t="n"/>
      <c r="N17" s="177" t="n"/>
    </row>
    <row r="18" ht="15" customHeight="1">
      <c r="A18" s="28" t="str">
        <f>Hold_Mid&amp;"-YEAR HOLD VEHICLE"</f>
        <v>7-YEAR HOLD VEHICLE</v>
      </c>
      <c r="B18" s="177" t="n"/>
      <c r="C18" s="177" t="n"/>
      <c r="D18" s="177" t="n"/>
      <c r="E18" s="177" t="n"/>
      <c r="F18" s="177" t="n"/>
      <c r="G18" s="177" t="n"/>
      <c r="H18" s="177" t="n"/>
      <c r="I18" s="177" t="n"/>
      <c r="J18" s="177" t="n"/>
      <c r="K18" s="177" t="n"/>
      <c r="L18" s="177" t="n"/>
      <c r="M18" s="177" t="n"/>
      <c r="N18" s="177" t="n"/>
    </row>
    <row r="19" ht="27.75" customHeight="1">
      <c r="A19" s="186" t="inlineStr">
        <is>
          <t>Company</t>
        </is>
      </c>
      <c r="B19" s="186" t="inlineStr">
        <is>
          <t>Check ($M)</t>
        </is>
      </c>
      <c r="C19" s="186" t="inlineStr">
        <is>
          <t>Base $</t>
        </is>
      </c>
      <c r="D19" s="186" t="inlineStr">
        <is>
          <t>Base MOIC</t>
        </is>
      </c>
      <c r="E19" s="186" t="inlineStr">
        <is>
          <t>Base IRR</t>
        </is>
      </c>
      <c r="F19" s="186" t="inlineStr">
        <is>
          <t>Bull $</t>
        </is>
      </c>
      <c r="G19" s="186" t="inlineStr">
        <is>
          <t>Bull MOIC</t>
        </is>
      </c>
      <c r="H19" s="186" t="inlineStr">
        <is>
          <t>Bull IRR</t>
        </is>
      </c>
      <c r="I19" s="186" t="inlineStr">
        <is>
          <t>Bear $</t>
        </is>
      </c>
      <c r="J19" s="186" t="inlineStr">
        <is>
          <t>Bear MOIC</t>
        </is>
      </c>
      <c r="K19" s="186" t="inlineStr">
        <is>
          <t>Bear IRR</t>
        </is>
      </c>
      <c r="L19" s="21" t="inlineStr">
        <is>
          <t>Shock $</t>
        </is>
      </c>
      <c r="M19" s="21" t="inlineStr">
        <is>
          <t>Shock MOIC</t>
        </is>
      </c>
      <c r="N19" s="21" t="inlineStr">
        <is>
          <t>Shock IRR</t>
        </is>
      </c>
    </row>
    <row r="20" ht="15" customHeight="1">
      <c r="A20" s="56" t="str">
        <f>Assumptions!A18</f>
        <v>Substrate (anchor)</v>
      </c>
      <c r="B20" s="57">
        <f>Assumptions!C18</f>
        <v>80</v>
      </c>
      <c r="C20" s="61">
        <f>Assumptions!C18*(1+Assumptions!F18)^Hold_Mid*Ret_IQT_Mid</f>
        <v>251.0171557986693</v>
      </c>
      <c r="D20" s="36">
        <f>C20/B20</f>
        <v>3.1377144474833663</v>
      </c>
      <c r="E20" s="15">
        <f>IF((C20/B20)&lt;=0,-1,(C20/B20)^(1/Hold_Mid)-1)</f>
        <v>0.17745623541907873</v>
      </c>
      <c r="F20" s="61">
        <f>Assumptions!C18*(1+Assumptions!G18)^Hold_Mid*Ret_IQT_Mid</f>
        <v>484.08115734035886</v>
      </c>
      <c r="G20" s="36">
        <f>F20/B20</f>
        <v>6.051014466754486</v>
      </c>
      <c r="H20" s="15">
        <f>IF((F20/B20)&lt;=0,-1,(F20/B20)^(1/Hold_Mid)-1)</f>
        <v>0.29327160283734877</v>
      </c>
      <c r="I20" s="61">
        <f>Assumptions!C18*(1+Assumptions!H18)^Hold_Mid*Ret_IQT_Mid</f>
        <v>15.555413363423241</v>
      </c>
      <c r="J20" s="36">
        <f>I20/B20</f>
        <v>0.1944426670427905</v>
      </c>
      <c r="K20" s="15">
        <f>IF((I20/B20)&lt;=0,-1,(I20/B20)^(1/Hold_Mid)-1)</f>
        <v>-0.20859498930848808</v>
      </c>
      <c r="L20" s="62">
        <f>Assumptions!C18*(1+Assumptions!I18)^Hold_Mid*Ret_IQT_Mid</f>
        <v>684.5468452220198</v>
      </c>
      <c r="M20" s="37">
        <f>L20/B20</f>
        <v>8.556835565275247</v>
      </c>
      <c r="N20" s="39">
        <f>IF((L20/B20)&lt;=0,-1,(L20/B20)^(1/Hold_Mid)-1)</f>
        <v>0.3589003110410349</v>
      </c>
    </row>
    <row r="21" ht="15" customHeight="1">
      <c r="A21" s="56" t="str">
        <f>Assumptions!A19</f>
        <v>EUV Tech</v>
      </c>
      <c r="B21" s="57">
        <f>Assumptions!C19</f>
        <v>30</v>
      </c>
      <c r="C21" s="61">
        <f>Assumptions!C19*(1+Assumptions!F19)^Hold_Mid*Ret_IQT_Mid</f>
        <v>58.55308971611678</v>
      </c>
      <c r="D21" s="36">
        <f>C21/B21</f>
        <v>1.9517696572038927</v>
      </c>
      <c r="E21" s="15">
        <f>IF((C21/B21)&lt;=0,-1,(C21/B21)^(1/Hold_Mid)-1)</f>
        <v>0.10024599047356553</v>
      </c>
      <c r="F21" s="61">
        <f>Assumptions!C19*(1+Assumptions!G19)^Hold_Mid*Ret_IQT_Mid</f>
        <v>117.98034810432999</v>
      </c>
      <c r="G21" s="36">
        <f>F21/B21</f>
        <v>3.9326782701443332</v>
      </c>
      <c r="H21" s="15">
        <f>IF((F21/B21)&lt;=0,-1,(F21/B21)^(1/Hold_Mid)-1)</f>
        <v>0.21606135789183534</v>
      </c>
      <c r="I21" s="61">
        <f>Assumptions!C19*(1+Assumptions!H19)^Hold_Mid*Ret_IQT_Mid</f>
        <v>28.779048450941964</v>
      </c>
      <c r="J21" s="36">
        <f>I21/B21</f>
        <v>0.9593016150313988</v>
      </c>
      <c r="K21" s="15">
        <f>IF((I21/B21)&lt;=0,-1,(I21/B21)^(1/Hold_Mid)-1)</f>
        <v>-0.005918096326515521</v>
      </c>
      <c r="L21" s="62">
        <f>Assumptions!C19*(1+Assumptions!I19)^Hold_Mid*Ret_IQT_Mid</f>
        <v>150.02339774445272</v>
      </c>
      <c r="M21" s="37">
        <f>L21/B21</f>
        <v>5.000779924815091</v>
      </c>
      <c r="N21" s="39">
        <f>IF((L21/B21)&lt;=0,-1,(L21/B21)^(1/Hold_Mid)-1)</f>
        <v>0.25852699261186785</v>
      </c>
    </row>
    <row r="22" ht="15" customHeight="1">
      <c r="A22" s="56" t="str">
        <f>Assumptions!A20</f>
        <v>ThinTronics</v>
      </c>
      <c r="B22" s="57">
        <f>Assumptions!C20</f>
        <v>22.5</v>
      </c>
      <c r="C22" s="61">
        <f>Assumptions!C20*(1+Assumptions!F20)^Hold_Mid*Ret_IQT_Mid</f>
        <v>88.48526107824749</v>
      </c>
      <c r="D22" s="36">
        <f>C22/B22</f>
        <v>3.932678270144333</v>
      </c>
      <c r="E22" s="15">
        <f>IF((C22/B22)&lt;=0,-1,(C22/B22)^(1/Hold_Mid)-1)</f>
        <v>0.21606135789183534</v>
      </c>
      <c r="F22" s="61">
        <f>Assumptions!C20*(1+Assumptions!G20)^Hold_Mid*Ret_IQT_Mid</f>
        <v>167.2748794661592</v>
      </c>
      <c r="G22" s="36">
        <f>F22/B22</f>
        <v>7.434439087384853</v>
      </c>
      <c r="H22" s="15">
        <f>IF((F22/B22)&lt;=0,-1,(F22/B22)^(1/Hold_Mid)-1)</f>
        <v>0.33187672531010515</v>
      </c>
      <c r="I22" s="61">
        <f>Assumptions!C20*(1+Assumptions!H20)^Hold_Mid*Ret_IQT_Mid</f>
        <v>8.394110595</v>
      </c>
      <c r="J22" s="36">
        <f>I22/B22</f>
        <v>0.373071582</v>
      </c>
      <c r="K22" s="15">
        <f>IF((I22/B22)&lt;=0,-1,(I22/B22)^(1/Hold_Mid)-1)</f>
        <v>-0.13138474436297476</v>
      </c>
      <c r="L22" s="62">
        <f>Assumptions!C20*(1+Assumptions!I20)^Hold_Mid*Ret_IQT_Mid</f>
        <v>200.3179625357773</v>
      </c>
      <c r="M22" s="37">
        <f>L22/B22</f>
        <v>8.903020557145657</v>
      </c>
      <c r="N22" s="39">
        <f>IF((L22/B22)&lt;=0,-1,(L22/B22)^(1/Hold_Mid)-1)</f>
        <v>0.3666213355355863</v>
      </c>
    </row>
    <row r="23" ht="15" customHeight="1">
      <c r="A23" s="56" t="str">
        <f>Assumptions!A21</f>
        <v>EdgeCortix</v>
      </c>
      <c r="B23" s="57">
        <f>Assumptions!C21</f>
        <v>30.5</v>
      </c>
      <c r="C23" s="61">
        <f>Assumptions!C21*(1+Assumptions!F21)^Hold_Mid*Ret_IQT_Mid</f>
        <v>107.23739069656104</v>
      </c>
      <c r="D23" s="36">
        <f>C23/B23</f>
        <v>3.515980022838067</v>
      </c>
      <c r="E23" s="15">
        <f>IF((C23/B23)&lt;=0,-1,(C23/B23)^(1/Hold_Mid)-1)</f>
        <v>0.19675879665545692</v>
      </c>
      <c r="F23" s="61">
        <f>Assumptions!C21*(1+Assumptions!G21)^Hold_Mid*Ret_IQT_Mid</f>
        <v>204.7230771078364</v>
      </c>
      <c r="G23" s="36">
        <f>F23/B23</f>
        <v>6.712232036322504</v>
      </c>
      <c r="H23" s="15">
        <f>IF((F23/B23)&lt;=0,-1,(F23/B23)^(1/Hold_Mid)-1)</f>
        <v>0.31257416407372696</v>
      </c>
      <c r="I23" s="61">
        <f>Assumptions!C21*(1+Assumptions!H21)^Hold_Mid*Ret_IQT_Mid</f>
        <v>13.271170643415866</v>
      </c>
      <c r="J23" s="36">
        <f>I23/B23</f>
        <v>0.4351203489644546</v>
      </c>
      <c r="K23" s="15">
        <f>IF((I23/B23)&lt;=0,-1,(I23/B23)^(1/Hold_Mid)-1)</f>
        <v>-0.11208218312659635</v>
      </c>
      <c r="L23" s="62">
        <f>Assumptions!C21*(1+Assumptions!I21)^Hold_Mid*Ret_IQT_Mid</f>
        <v>122.63768946257692</v>
      </c>
      <c r="M23" s="37">
        <f>L23/B23</f>
        <v>4.02090785123203</v>
      </c>
      <c r="N23" s="39">
        <f>IF((L23/B23)&lt;=0,-1,(L23/B23)^(1/Hold_Mid)-1)</f>
        <v>0.21992187013911102</v>
      </c>
    </row>
    <row r="24" ht="15" customHeight="1">
      <c r="A24" s="56" t="str">
        <f>Assumptions!A22</f>
        <v>Syntiant</v>
      </c>
      <c r="B24" s="57">
        <f>Assumptions!C22</f>
        <v>31.5</v>
      </c>
      <c r="C24" s="61">
        <f>Assumptions!C22*(1+Assumptions!F22)^Hold_Mid*Ret_IQT_Mid</f>
        <v>69.44021887584336</v>
      </c>
      <c r="D24" s="36">
        <f>C24/B24</f>
        <v>2.2044513928839162</v>
      </c>
      <c r="E24" s="15">
        <f>IF((C24/B24)&lt;=0,-1,(C24/B24)^(1/Hold_Mid)-1)</f>
        <v>0.11954855170994372</v>
      </c>
      <c r="F24" s="61">
        <f>Assumptions!C22*(1+Assumptions!G22)^Hold_Mid*Ret_IQT_Mid</f>
        <v>138.3168035556164</v>
      </c>
      <c r="G24" s="36">
        <f>F24/B24</f>
        <v>4.391009636686235</v>
      </c>
      <c r="H24" s="15">
        <f>IF((F24/B24)&lt;=0,-1,(F24/B24)^(1/Hold_Mid)-1)</f>
        <v>0.23536391912821375</v>
      </c>
      <c r="I24" s="61">
        <f>Assumptions!C22*(1+Assumptions!H22)^Hold_Mid*Ret_IQT_Mid</f>
        <v>21.32984435187191</v>
      </c>
      <c r="J24" s="36">
        <f>I24/B24</f>
        <v>0.6771379159324415</v>
      </c>
      <c r="K24" s="15">
        <f>IF((I24/B24)&lt;=0,-1,(I24/B24)^(1/Hold_Mid)-1)</f>
        <v>-0.05417449941746144</v>
      </c>
      <c r="L24" s="62">
        <f>Assumptions!C22*(1+Assumptions!I22)^Hold_Mid*Ret_IQT_Mid</f>
        <v>98.83800509572602</v>
      </c>
      <c r="M24" s="37">
        <f>L24/B24</f>
        <v>3.137714447483366</v>
      </c>
      <c r="N24" s="39">
        <f>IF((L24/B24)&lt;=0,-1,(L24/B24)^(1/Hold_Mid)-1)</f>
        <v>0.17745623541907873</v>
      </c>
    </row>
    <row r="25" ht="15" customHeight="1">
      <c r="A25" s="56" t="str">
        <f>Assumptions!A23</f>
        <v>Infleqtion</v>
      </c>
      <c r="B25" s="57">
        <f>Assumptions!C23</f>
        <v>25</v>
      </c>
      <c r="C25" s="61">
        <f>Assumptions!C23*(1+Assumptions!F23)^Hold_Mid*Ret_IQT_Mid</f>
        <v>51.870387669140605</v>
      </c>
      <c r="D25" s="36">
        <f>C25/B25</f>
        <v>2.074815506765624</v>
      </c>
      <c r="E25" s="15">
        <f>IF((C25/B25)&lt;=0,-1,(C25/B25)^(1/Hold_Mid)-1)</f>
        <v>0.10989727109175451</v>
      </c>
      <c r="F25" s="61">
        <f>Assumptions!C23*(1+Assumptions!G23)^Hold_Mid*Ret_IQT_Mid</f>
        <v>103.9107927322731</v>
      </c>
      <c r="G25" s="36">
        <f>F25/B25</f>
        <v>4.156431709290924</v>
      </c>
      <c r="H25" s="15">
        <f>IF((F25/B25)&lt;=0,-1,(F25/B25)^(1/Hold_Mid)-1)</f>
        <v>0.22571263851002454</v>
      </c>
      <c r="I25" s="61">
        <f>Assumptions!C23*(1+Assumptions!H23)^Hold_Mid*Ret_IQT_Mid</f>
        <v>9.32678955</v>
      </c>
      <c r="J25" s="36">
        <f>I25/B25</f>
        <v>0.373071582</v>
      </c>
      <c r="K25" s="15">
        <f>IF((I25/B25)&lt;=0,-1,(I25/B25)^(1/Hold_Mid)-1)</f>
        <v>-0.13138474436297476</v>
      </c>
      <c r="L25" s="62">
        <f>Assumptions!C23*(1+Assumptions!I23)^Hold_Mid*Ret_IQT_Mid</f>
        <v>79.34746431946614</v>
      </c>
      <c r="M25" s="37">
        <f>L25/B25</f>
        <v>3.1738985727786457</v>
      </c>
      <c r="N25" s="39">
        <f>IF((L25/B25)&lt;=0,-1,(L25/B25)^(1/Hold_Mid)-1)</f>
        <v>0.17938649154271658</v>
      </c>
    </row>
    <row r="26" ht="15" customHeight="1">
      <c r="A26" s="56" t="str">
        <f>Assumptions!A24</f>
        <v>Diraq</v>
      </c>
      <c r="B26" s="57">
        <f>Assumptions!C24</f>
        <v>14</v>
      </c>
      <c r="C26" s="61">
        <f>Assumptions!C24*(1+Assumptions!F24)^Hold_Mid*Ret_IQT_Mid</f>
        <v>68.52138056400003</v>
      </c>
      <c r="D26" s="36">
        <f>C26/B26</f>
        <v>4.894384326000002</v>
      </c>
      <c r="E26" s="15">
        <f>IF((C26/B26)&lt;=0,-1,(C26/B26)^(1/Hold_Mid)-1)</f>
        <v>0.25466648036459216</v>
      </c>
      <c r="F26" s="61">
        <f>Assumptions!C24*(1+Assumptions!G24)^Hold_Mid*Ret_IQT_Mid</f>
        <v>127.127951525926</v>
      </c>
      <c r="G26" s="36">
        <f>F26/B26</f>
        <v>9.08056796613757</v>
      </c>
      <c r="H26" s="15">
        <f>IF((F26/B26)&lt;=0,-1,(F26/B26)^(1/Hold_Mid)-1)</f>
        <v>0.370481847782862</v>
      </c>
      <c r="I26" s="61">
        <f>Assumptions!C24*(1+Assumptions!H24)^Hold_Mid*Ret_IQT_Mid</f>
        <v>1.9181601189563908</v>
      </c>
      <c r="J26" s="36">
        <f>I26/B26</f>
        <v>0.13701143706831362</v>
      </c>
      <c r="K26" s="15">
        <f>IF((I26/B26)&lt;=0,-1,(I26/B26)^(1/Hold_Mid)-1)</f>
        <v>-0.2472001117812448</v>
      </c>
      <c r="L26" s="62">
        <f>Assumptions!C24*(1+Assumptions!I24)^Hold_Mid*Ret_IQT_Mid</f>
        <v>106.21241145656445</v>
      </c>
      <c r="M26" s="37">
        <f>L26/B26</f>
        <v>7.5866008183260325</v>
      </c>
      <c r="N26" s="39">
        <f>IF((L26/B26)&lt;=0,-1,(L26/B26)^(1/Hold_Mid)-1)</f>
        <v>0.33573723755738105</v>
      </c>
    </row>
    <row r="27" ht="15" customHeight="1">
      <c r="A27" s="56" t="str">
        <f>Assumptions!A25</f>
        <v>Mueon</v>
      </c>
      <c r="B27" s="57">
        <f>Assumptions!C25</f>
        <v>10</v>
      </c>
      <c r="C27" s="61">
        <f>Assumptions!C25*(1+Assumptions!F25)^Hold_Mid*Ret_IQT_Mid</f>
        <v>54.46432443934313</v>
      </c>
      <c r="D27" s="36">
        <f>C27/B27</f>
        <v>5.446432443934313</v>
      </c>
      <c r="E27" s="15">
        <f>IF((C27/B27)&lt;=0,-1,(C27/B27)^(1/Hold_Mid)-1)</f>
        <v>0.27396904160097035</v>
      </c>
      <c r="F27" s="61">
        <f>Assumptions!C25*(1+Assumptions!G25)^Hold_Mid*Ret_IQT_Mid</f>
        <v>100.14564023481138</v>
      </c>
      <c r="G27" s="36">
        <f>F27/B27</f>
        <v>10.014564023481139</v>
      </c>
      <c r="H27" s="15">
        <f>IF((F27/B27)&lt;=0,-1,(F27/B27)^(1/Hold_Mid)-1)</f>
        <v>0.3897844090192404</v>
      </c>
      <c r="I27" s="61">
        <f>Assumptions!C25*(1+Assumptions!H25)^Hold_Mid*Ret_IQT_Mid</f>
        <v>0.7823878143344639</v>
      </c>
      <c r="J27" s="36">
        <f>I27/B27</f>
        <v>0.0782387814334464</v>
      </c>
      <c r="K27" s="15">
        <f>IF((I27/B27)&lt;=0,-1,(I27/B27)^(1/Hold_Mid)-1)</f>
        <v>-0.3051077954903798</v>
      </c>
      <c r="L27" s="62">
        <f>Assumptions!C25*(1+Assumptions!I25)^Hold_Mid*Ret_IQT_Mid</f>
        <v>80.592110820001</v>
      </c>
      <c r="M27" s="37">
        <f>L27/B27</f>
        <v>8.0592110820001</v>
      </c>
      <c r="N27" s="39">
        <f>IF((L27/B27)&lt;=0,-1,(L27/B27)^(1/Hold_Mid)-1)</f>
        <v>0.3473187742992079</v>
      </c>
    </row>
    <row r="28" ht="15" customHeight="1">
      <c r="A28" s="56" t="str">
        <f>Assumptions!A26</f>
        <v>DefendEye</v>
      </c>
      <c r="B28" s="57">
        <f>Assumptions!C26</f>
        <v>6.5</v>
      </c>
      <c r="C28" s="61">
        <f>Assumptions!C26*(1+Assumptions!F26)^Hold_Mid*Ret_IQT_Mid</f>
        <v>28.541562638460526</v>
      </c>
      <c r="D28" s="36">
        <f>C28/B28</f>
        <v>4.391009636686235</v>
      </c>
      <c r="E28" s="15">
        <f>IF((C28/B28)&lt;=0,-1,(C28/B28)^(1/Hold_Mid)-1)</f>
        <v>0.23536391912821375</v>
      </c>
      <c r="F28" s="61">
        <f>Assumptions!C26*(1+Assumptions!G26)^Hold_Mid*Ret_IQT_Mid</f>
        <v>53.44464652799997</v>
      </c>
      <c r="G28" s="36">
        <f>F28/B28</f>
        <v>8.222253311999996</v>
      </c>
      <c r="H28" s="15">
        <f>IF((F28/B28)&lt;=0,-1,(F28/B28)^(1/Hold_Mid)-1)</f>
        <v>0.35117928654648356</v>
      </c>
      <c r="I28" s="61">
        <f>Assumptions!C26*(1+Assumptions!H26)^Hold_Mid*Ret_IQT_Mid</f>
        <v>0.6767633056640625</v>
      </c>
      <c r="J28" s="36">
        <f>I28/B28</f>
        <v>0.10411743164062501</v>
      </c>
      <c r="K28" s="15">
        <f>IF((I28/B28)&lt;=0,-1,(I28/B28)^(1/Hold_Mid)-1)</f>
        <v>-0.2761539536358123</v>
      </c>
      <c r="L28" s="62">
        <f>Assumptions!C26*(1+Assumptions!I26)^Hold_Mid*Ret_IQT_Mid</f>
        <v>19.931637679232914</v>
      </c>
      <c r="M28" s="37">
        <f>L28/B28</f>
        <v>3.0664057968050638</v>
      </c>
      <c r="N28" s="39">
        <f>IF((L28/B28)&lt;=0,-1,(L28/B28)^(1/Hold_Mid)-1)</f>
        <v>0.17359572317180305</v>
      </c>
    </row>
    <row r="29" ht="15" customHeight="1">
      <c r="A29" s="53" t="inlineStr">
        <is>
          <t>FUND TOTAL</t>
        </is>
      </c>
      <c r="B29" s="63">
        <f>SUM(B20:B28)</f>
        <v>250.0</v>
      </c>
      <c r="C29" s="63">
        <f>SUM(C20:C28)</f>
        <v>778.1307714763823</v>
      </c>
      <c r="D29" s="64">
        <f>C29/B29</f>
        <v>3.1125230859055293</v>
      </c>
      <c r="E29" s="65">
        <f>IF((C29/B29)&lt;=0,-1,(C29/B29)^(1/Hold_Mid)-1)</f>
        <v>0.17610109541967134</v>
      </c>
      <c r="F29" s="63">
        <f>SUM(F20:F28)</f>
        <v>1497.0052965953112</v>
      </c>
      <c r="G29" s="64">
        <f>F29/B29</f>
        <v>5.9880211863812445</v>
      </c>
      <c r="H29" s="65">
        <f>IF((F29/B29)&lt;=0,-1,(F29/B29)^(1/Hold_Mid)-1)</f>
        <v>0.2913396185398953</v>
      </c>
      <c r="I29" s="63">
        <f>SUM(I20:I28)</f>
        <v>100.0336881936079</v>
      </c>
      <c r="J29" s="64">
        <f>I29/B29</f>
        <v>0.4001347527744316</v>
      </c>
      <c r="K29" s="65">
        <f>IF((I29/B29)&lt;=0,-1,(I29/B29)^(1/Hold_Mid)-1)</f>
        <v>-0.12265112271839618</v>
      </c>
      <c r="L29" s="66">
        <f>SUM(L20:L28)</f>
        <v>1542.4475243358172</v>
      </c>
      <c r="M29" s="67">
        <f>L29/B29</f>
        <v>6.169790097343268</v>
      </c>
      <c r="N29" s="68">
        <f>IF((L29/B29)&lt;=0,-1,(L29/B29)^(1/Hold_Mid)-1)</f>
        <v>0.2968679869637141</v>
      </c>
    </row>
    <row r="30" ht="15" customHeight="1">
      <c r="A30" s="177" t="n"/>
      <c r="B30" s="177" t="n"/>
      <c r="C30" s="177" t="n"/>
      <c r="D30" s="177" t="n"/>
      <c r="E30" s="177" t="n"/>
      <c r="F30" s="177" t="n"/>
      <c r="G30" s="177" t="n"/>
      <c r="H30" s="177" t="n"/>
      <c r="I30" s="177" t="n"/>
      <c r="J30" s="177" t="n"/>
      <c r="K30" s="177" t="n"/>
      <c r="L30" s="177" t="n"/>
      <c r="M30" s="177" t="n"/>
      <c r="N30" s="177" t="n"/>
    </row>
    <row r="31" ht="15" customHeight="1">
      <c r="A31" s="177" t="n"/>
      <c r="B31" s="17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</row>
    <row r="32" ht="15" customHeight="1">
      <c r="A32" s="28" t="str">
        <f>Hold_Long&amp;"-YEAR HOLD VEHICLE"</f>
        <v>10-YEAR HOLD VEHICLE</v>
      </c>
      <c r="B32" s="177" t="n"/>
      <c r="C32" s="177" t="n"/>
      <c r="D32" s="177" t="n"/>
      <c r="E32" s="177" t="n"/>
      <c r="F32" s="177" t="n"/>
      <c r="G32" s="177" t="n"/>
      <c r="H32" s="177" t="n"/>
      <c r="I32" s="177" t="n"/>
      <c r="J32" s="177" t="n"/>
      <c r="K32" s="177" t="n"/>
      <c r="L32" s="177" t="n"/>
      <c r="M32" s="177" t="n"/>
      <c r="N32" s="177" t="n"/>
    </row>
    <row r="33" ht="27.75" customHeight="1">
      <c r="A33" s="186" t="inlineStr">
        <is>
          <t>Company</t>
        </is>
      </c>
      <c r="B33" s="186" t="inlineStr">
        <is>
          <t>Check ($M)</t>
        </is>
      </c>
      <c r="C33" s="186" t="inlineStr">
        <is>
          <t>Base $</t>
        </is>
      </c>
      <c r="D33" s="186" t="inlineStr">
        <is>
          <t>Base MOIC</t>
        </is>
      </c>
      <c r="E33" s="186" t="inlineStr">
        <is>
          <t>Base IRR</t>
        </is>
      </c>
      <c r="F33" s="186" t="inlineStr">
        <is>
          <t>Bull $</t>
        </is>
      </c>
      <c r="G33" s="186" t="inlineStr">
        <is>
          <t>Bull MOIC</t>
        </is>
      </c>
      <c r="H33" s="186" t="inlineStr">
        <is>
          <t>Bull IRR</t>
        </is>
      </c>
      <c r="I33" s="186" t="inlineStr">
        <is>
          <t>Bear $</t>
        </is>
      </c>
      <c r="J33" s="186" t="inlineStr">
        <is>
          <t>Bear MOIC</t>
        </is>
      </c>
      <c r="K33" s="186" t="inlineStr">
        <is>
          <t>Bear IRR</t>
        </is>
      </c>
      <c r="L33" s="21" t="inlineStr">
        <is>
          <t>Shock $</t>
        </is>
      </c>
      <c r="M33" s="21" t="inlineStr">
        <is>
          <t>Shock MOIC</t>
        </is>
      </c>
      <c r="N33" s="21" t="inlineStr">
        <is>
          <t>Shock IRR</t>
        </is>
      </c>
    </row>
    <row r="34" ht="15" customHeight="1">
      <c r="A34" s="56" t="str">
        <f>Assumptions!A18</f>
        <v>Substrate (anchor)</v>
      </c>
      <c r="B34" s="57">
        <f>Assumptions!C18</f>
        <v>80</v>
      </c>
      <c r="C34" s="61">
        <f>Assumptions!C18*(1+Assumptions!F18)^Hold_Long*Ret_IQT_Long</f>
        <v>397.37194899927874</v>
      </c>
      <c r="D34" s="36">
        <f>C34/B34</f>
        <v>4.967149362490984</v>
      </c>
      <c r="E34" s="15">
        <f>IF((C34/B34)&lt;=0,-1,(C34/B34)^(1/Hold_Long)-1)</f>
        <v>0.17384491223357035</v>
      </c>
      <c r="F34" s="61">
        <f>Assumptions!C18*(1+Assumptions!G18)^Hold_Long*Ret_IQT_Long</f>
        <v>1015.4227360523867</v>
      </c>
      <c r="G34" s="36">
        <f>F34/B34</f>
        <v>12.692784200654833</v>
      </c>
      <c r="H34" s="15">
        <f>IF((F34/B34)&lt;=0,-1,(F34/B34)^(1/Hold_Long)-1)</f>
        <v>0.2893050675352331</v>
      </c>
      <c r="I34" s="61">
        <f>Assumptions!C18*(1+Assumptions!H18)^Hold_Long*Ret_IQT_Long</f>
        <v>7.477172904676263</v>
      </c>
      <c r="J34" s="36">
        <f>I34/B34</f>
        <v>0.0934646613084533</v>
      </c>
      <c r="K34" s="15">
        <f>IF((I34/B34)&lt;=0,-1,(I34/B34)^(1/Hold_Long)-1)</f>
        <v>-0.2110222721053051</v>
      </c>
      <c r="L34" s="62">
        <f>Assumptions!C18*(1+Assumptions!I18)^Hold_Long*Ret_IQT_Long</f>
        <v>1665.8099343930044</v>
      </c>
      <c r="M34" s="37">
        <f>L34/B34</f>
        <v>20.822624179912555</v>
      </c>
      <c r="N34" s="39">
        <f>IF((L34/B34)&lt;=0,-1,(L34/B34)^(1/Hold_Long)-1)</f>
        <v>0.3547324888728418</v>
      </c>
    </row>
    <row r="35" ht="15" customHeight="1">
      <c r="A35" s="56" t="str">
        <f>Assumptions!A19</f>
        <v>EUV Tech</v>
      </c>
      <c r="B35" s="57">
        <f>Assumptions!C19</f>
        <v>30</v>
      </c>
      <c r="C35" s="61">
        <f>Assumptions!C19*(1+Assumptions!F19)^Hold_Long*Ret_IQT_Long</f>
        <v>75.62731480801884</v>
      </c>
      <c r="D35" s="36">
        <f>C35/B35</f>
        <v>2.520910493600628</v>
      </c>
      <c r="E35" s="15">
        <f>IF((C35/B35)&lt;=0,-1,(C35/B35)^(1/Hold_Long)-1)</f>
        <v>0.09687147536579532</v>
      </c>
      <c r="F35" s="61">
        <f>Assumptions!C19*(1+Assumptions!G19)^Hold_Long*Ret_IQT_Long</f>
        <v>205.7479982529386</v>
      </c>
      <c r="G35" s="36">
        <f>F35/B35</f>
        <v>6.858266608431287</v>
      </c>
      <c r="H35" s="15">
        <f>IF((F35/B35)&lt;=0,-1,(F35/B35)^(1/Hold_Long)-1)</f>
        <v>0.21233163066745786</v>
      </c>
      <c r="I35" s="61">
        <f>Assumptions!C19*(1+Assumptions!H19)^Hold_Long*Ret_IQT_Long</f>
        <v>27.415894138620096</v>
      </c>
      <c r="J35" s="36">
        <f>I35/B35</f>
        <v>0.9138631379540032</v>
      </c>
      <c r="K35" s="15">
        <f>IF((I35/B35)&lt;=0,-1,(I35/B35)^(1/Hold_Long)-1)</f>
        <v>-0.008967000327395502</v>
      </c>
      <c r="L35" s="62">
        <f>Assumptions!C19*(1+Assumptions!I19)^Hold_Long*Ret_IQT_Long</f>
        <v>290.00539779537064</v>
      </c>
      <c r="M35" s="37">
        <f>L35/B35</f>
        <v>9.666846593179022</v>
      </c>
      <c r="N35" s="39">
        <f>IF((L35/B35)&lt;=0,-1,(L35/B35)^(1/Hold_Long)-1)</f>
        <v>0.25466702094473437</v>
      </c>
    </row>
    <row r="36" ht="15" customHeight="1">
      <c r="A36" s="56" t="str">
        <f>Assumptions!A20</f>
        <v>ThinTronics</v>
      </c>
      <c r="B36" s="57">
        <f>Assumptions!C20</f>
        <v>22.5</v>
      </c>
      <c r="C36" s="61">
        <f>Assumptions!C20*(1+Assumptions!F20)^Hold_Long*Ret_IQT_Long</f>
        <v>154.31099868970398</v>
      </c>
      <c r="D36" s="36">
        <f>C36/B36</f>
        <v>6.858266608431288</v>
      </c>
      <c r="E36" s="15">
        <f>IF((C36/B36)&lt;=0,-1,(C36/B36)^(1/Hold_Long)-1)</f>
        <v>0.21233163066745786</v>
      </c>
      <c r="F36" s="61">
        <f>Assumptions!C20*(1+Assumptions!G20)^Hold_Long*Ret_IQT_Long</f>
        <v>383.2501158709022</v>
      </c>
      <c r="G36" s="36">
        <f>F36/B36</f>
        <v>17.03333848315121</v>
      </c>
      <c r="H36" s="15">
        <f>IF((F36/B36)&lt;=0,-1,(F36/B36)^(1/Hold_Long)-1)</f>
        <v>0.3277917859691204</v>
      </c>
      <c r="I36" s="61">
        <f>Assumptions!C20*(1+Assumptions!H20)^Hold_Long*Ret_IQT_Long</f>
        <v>5.334780133530002</v>
      </c>
      <c r="J36" s="36">
        <f>I36/B36</f>
        <v>0.23710133926800006</v>
      </c>
      <c r="K36" s="15">
        <f>IF((I36/B36)&lt;=0,-1,(I36/B36)^(1/Hold_Long)-1)</f>
        <v>-0.13404883523753008</v>
      </c>
      <c r="L36" s="62">
        <f>Assumptions!C20*(1+Assumptions!I20)^Hold_Long*Ret_IQT_Long</f>
        <v>495.8199124777918</v>
      </c>
      <c r="M36" s="37">
        <f>L36/B36</f>
        <v>22.03644055456852</v>
      </c>
      <c r="N36" s="39">
        <f>IF((L36/B36)&lt;=0,-1,(L36/B36)^(1/Hold_Long)-1)</f>
        <v>0.36242983255961936</v>
      </c>
    </row>
    <row r="37" ht="15" customHeight="1">
      <c r="A37" s="56" t="str">
        <f>Assumptions!A21</f>
        <v>EdgeCortix</v>
      </c>
      <c r="B37" s="57">
        <f>Assumptions!C21</f>
        <v>30.5</v>
      </c>
      <c r="C37" s="61">
        <f>Assumptions!C21*(1+Assumptions!F21)^Hold_Long*Ret_IQT_Long</f>
        <v>178.24838500464</v>
      </c>
      <c r="D37" s="36">
        <f>C37/B37</f>
        <v>5.844209344414426</v>
      </c>
      <c r="E37" s="15">
        <f>IF((C37/B37)&lt;=0,-1,(C37/B37)^(1/Hold_Long)-1)</f>
        <v>0.193088271450514</v>
      </c>
      <c r="F37" s="61">
        <f>Assumptions!C21*(1+Assumptions!G21)^Hold_Long*Ret_IQT_Long</f>
        <v>448.94985513021965</v>
      </c>
      <c r="G37" s="36">
        <f>F37/B37</f>
        <v>14.719667381318677</v>
      </c>
      <c r="H37" s="15">
        <f>IF((F37/B37)&lt;=0,-1,(F37/B37)^(1/Hold_Long)-1)</f>
        <v>0.30854842675217675</v>
      </c>
      <c r="I37" s="61">
        <f>Assumptions!C21*(1+Assumptions!H21)^Hold_Long*Ret_IQT_Long</f>
        <v>9.009216540598135</v>
      </c>
      <c r="J37" s="36">
        <f>I37/B37</f>
        <v>0.29538414887207004</v>
      </c>
      <c r="K37" s="15">
        <f>IF((I37/B37)&lt;=0,-1,(I37/B37)^(1/Hold_Long)-1)</f>
        <v>-0.11480547602058622</v>
      </c>
      <c r="L37" s="62">
        <f>Assumptions!C21*(1+Assumptions!I21)^Hold_Long*Ret_IQT_Long</f>
        <v>215.91334789623508</v>
      </c>
      <c r="M37" s="37">
        <f>L37/B37</f>
        <v>7.079126160532298</v>
      </c>
      <c r="N37" s="39">
        <f>IF((L37/B37)&lt;=0,-1,(L37/B37)^(1/Hold_Long)-1)</f>
        <v>0.21618030251084663</v>
      </c>
    </row>
    <row r="38" ht="15" customHeight="1">
      <c r="A38" s="56" t="str">
        <f>Assumptions!A22</f>
        <v>Syntiant</v>
      </c>
      <c r="B38" s="57">
        <f>Assumptions!C22</f>
        <v>31.5</v>
      </c>
      <c r="C38" s="61">
        <f>Assumptions!C22*(1+Assumptions!F22)^Hold_Long*Ret_IQT_Long</f>
        <v>94.49293938468114</v>
      </c>
      <c r="D38" s="36">
        <f>C38/B38</f>
        <v>2.9997758534819408</v>
      </c>
      <c r="E38" s="15">
        <f>IF((C38/B38)&lt;=0,-1,(C38/B38)^(1/Hold_Long)-1)</f>
        <v>0.11611483458273897</v>
      </c>
      <c r="F38" s="61">
        <f>Assumptions!C22*(1+Assumptions!G22)^Hold_Long*Ret_IQT_Long</f>
        <v>252.88272515766957</v>
      </c>
      <c r="G38" s="36">
        <f>F38/B38</f>
        <v>8.028023020878399</v>
      </c>
      <c r="H38" s="15">
        <f>IF((F38/B38)&lt;=0,-1,(F38/B38)^(1/Hold_Long)-1)</f>
        <v>0.23157498988440173</v>
      </c>
      <c r="I38" s="61">
        <f>Assumptions!C22*(1+Assumptions!H22)^Hold_Long*Ret_IQT_Long</f>
        <v>17.50169952353125</v>
      </c>
      <c r="J38" s="36">
        <f>I38/B38</f>
        <v>0.5556095086835318</v>
      </c>
      <c r="K38" s="15">
        <f>IF((I38/B38)&lt;=0,-1,(I38/B38)^(1/Hold_Long)-1)</f>
        <v>-0.05707539836975506</v>
      </c>
      <c r="L38" s="62">
        <f>Assumptions!C22*(1+Assumptions!I22)^Hold_Long*Ret_IQT_Long</f>
        <v>156.465204918466</v>
      </c>
      <c r="M38" s="37">
        <f>L38/B38</f>
        <v>4.967149362490984</v>
      </c>
      <c r="N38" s="39">
        <f>IF((L38/B38)&lt;=0,-1,(L38/B38)^(1/Hold_Long)-1)</f>
        <v>0.17384491223357035</v>
      </c>
    </row>
    <row r="39" ht="15" customHeight="1">
      <c r="A39" s="56" t="str">
        <f>Assumptions!A23</f>
        <v>Infleqtion</v>
      </c>
      <c r="B39" s="57">
        <f>Assumptions!C23</f>
        <v>25</v>
      </c>
      <c r="C39" s="61">
        <f>Assumptions!C23*(1+Assumptions!F23)^Hold_Long*Ret_IQT_Long</f>
        <v>68.77448150703442</v>
      </c>
      <c r="D39" s="36">
        <f>C39/B39</f>
        <v>2.750979260281377</v>
      </c>
      <c r="E39" s="15">
        <f>IF((C39/B39)&lt;=0,-1,(C39/B39)^(1/Hold_Long)-1)</f>
        <v>0.10649315497426692</v>
      </c>
      <c r="F39" s="61">
        <f>Assumptions!C23*(1+Assumptions!G23)^Hold_Long*Ret_IQT_Long</f>
        <v>185.56075502247694</v>
      </c>
      <c r="G39" s="36">
        <f>F39/B39</f>
        <v>7.422430200899077</v>
      </c>
      <c r="H39" s="15">
        <f>IF((F39/B39)&lt;=0,-1,(F39/B39)^(1/Hold_Long)-1)</f>
        <v>0.22195331027592968</v>
      </c>
      <c r="I39" s="61">
        <f>Assumptions!C23*(1+Assumptions!H23)^Hold_Long*Ret_IQT_Long</f>
        <v>5.927533481700003</v>
      </c>
      <c r="J39" s="36">
        <f>I39/B39</f>
        <v>0.23710133926800012</v>
      </c>
      <c r="K39" s="15">
        <f>IF((I39/B39)&lt;=0,-1,(I39/B39)^(1/Hold_Long)-1)</f>
        <v>-0.13404883523753008</v>
      </c>
      <c r="L39" s="62">
        <f>Assumptions!C23*(1+Assumptions!I23)^Hold_Long*Ret_IQT_Long</f>
        <v>126.22953443753987</v>
      </c>
      <c r="M39" s="37">
        <f>L39/B39</f>
        <v>5.049181377501594</v>
      </c>
      <c r="N39" s="39">
        <f>IF((L39/B39)&lt;=0,-1,(L39/B39)^(1/Hold_Long)-1)</f>
        <v>0.17576924815526462</v>
      </c>
    </row>
    <row r="40" ht="15" customHeight="1">
      <c r="A40" s="56" t="str">
        <f>Assumptions!A24</f>
        <v>Diraq</v>
      </c>
      <c r="B40" s="57">
        <f>Assumptions!C24</f>
        <v>14</v>
      </c>
      <c r="C40" s="61">
        <f>Assumptions!C24*(1+Assumptions!F24)^Hold_Long*Ret_IQT_Long</f>
        <v>131.24128424024806</v>
      </c>
      <c r="D40" s="36">
        <f>C40/B40</f>
        <v>9.374377445732005</v>
      </c>
      <c r="E40" s="15">
        <f>IF((C40/B40)&lt;=0,-1,(C40/B40)^(1/Hold_Long)-1)</f>
        <v>0.2508183491013456</v>
      </c>
      <c r="F40" s="61">
        <f>Assumptions!C24*(1+Assumptions!G24)^Hold_Long*Ret_IQT_Long</f>
        <v>317.3367665214879</v>
      </c>
      <c r="G40" s="36">
        <f>F40/B40</f>
        <v>22.666911894391994</v>
      </c>
      <c r="H40" s="15">
        <f>IF((F40/B40)&lt;=0,-1,(F40/B40)^(1/Hold_Long)-1)</f>
        <v>0.36627850440300813</v>
      </c>
      <c r="I40" s="61">
        <f>Assumptions!C24*(1+Assumptions!H24)^Hold_Long*Ret_IQT_Long</f>
        <v>0.7935658591336866</v>
      </c>
      <c r="J40" s="36">
        <f>I40/B40</f>
        <v>0.05668327565240618</v>
      </c>
      <c r="K40" s="15">
        <f>IF((I40/B40)&lt;=0,-1,(I40/B40)^(1/Hold_Long)-1)</f>
        <v>-0.24950899053919273</v>
      </c>
      <c r="L40" s="62">
        <f>Assumptions!C24*(1+Assumptions!I24)^Hold_Long*Ret_IQT_Long</f>
        <v>245.46967612295282</v>
      </c>
      <c r="M40" s="37">
        <f>L40/B40</f>
        <v>17.53354829449663</v>
      </c>
      <c r="N40" s="39">
        <f>IF((L40/B40)&lt;=0,-1,(L40/B40)^(1/Hold_Long)-1)</f>
        <v>0.33164045781250917</v>
      </c>
    </row>
    <row r="41" ht="15" customHeight="1">
      <c r="A41" s="56" t="str">
        <f>Assumptions!A25</f>
        <v>Mueon</v>
      </c>
      <c r="B41" s="57">
        <f>Assumptions!C25</f>
        <v>10</v>
      </c>
      <c r="C41" s="61">
        <f>Assumptions!C25*(1+Assumptions!F25)^Hold_Long*Ret_IQT_Long</f>
        <v>109.20643369158059</v>
      </c>
      <c r="D41" s="36">
        <f>C41/B41</f>
        <v>10.920643369158059</v>
      </c>
      <c r="E41" s="15">
        <f>IF((C41/B41)&lt;=0,-1,(C41/B41)^(1/Hold_Long)-1)</f>
        <v>0.27006170831828924</v>
      </c>
      <c r="F41" s="61">
        <f>Assumptions!C25*(1+Assumptions!G25)^Hold_Long*Ret_IQT_Long</f>
        <v>260.6956794864282</v>
      </c>
      <c r="G41" s="36">
        <f>F41/B41</f>
        <v>26.06956794864282</v>
      </c>
      <c r="H41" s="15">
        <f>IF((F41/B41)&lt;=0,-1,(F41/B41)^(1/Hold_Long)-1)</f>
        <v>0.3855218636199518</v>
      </c>
      <c r="I41" s="61">
        <f>Assumptions!C25*(1+Assumptions!H25)^Hold_Long*Ret_IQT_Long</f>
        <v>0.25458562449846506</v>
      </c>
      <c r="J41" s="36">
        <f>I41/B41</f>
        <v>0.025458562449846504</v>
      </c>
      <c r="K41" s="15">
        <f>IF((I41/B41)&lt;=0,-1,(I41/B41)^(1/Hold_Long)-1)</f>
        <v>-0.3072390681900241</v>
      </c>
      <c r="L41" s="62">
        <f>Assumptions!C25*(1+Assumptions!I25)^Hold_Long*Ret_IQT_Long</f>
        <v>191.14506752227288</v>
      </c>
      <c r="M41" s="37">
        <f>L41/B41</f>
        <v>19.11450675222729</v>
      </c>
      <c r="N41" s="39">
        <f>IF((L41/B41)&lt;=0,-1,(L41/B41)^(1/Hold_Long)-1)</f>
        <v>0.3431864733426755</v>
      </c>
    </row>
    <row r="42" ht="15" customHeight="1">
      <c r="A42" s="56" t="str">
        <f>Assumptions!A26</f>
        <v>DefendEye</v>
      </c>
      <c r="B42" s="57">
        <f>Assumptions!C26</f>
        <v>6.5</v>
      </c>
      <c r="C42" s="61">
        <f>Assumptions!C26*(1+Assumptions!F26)^Hold_Long*Ret_IQT_Long</f>
        <v>52.18214963570959</v>
      </c>
      <c r="D42" s="36">
        <f>C42/B42</f>
        <v>8.028023020878399</v>
      </c>
      <c r="E42" s="15">
        <f>IF((C42/B42)&lt;=0,-1,(C42/B42)^(1/Hold_Long)-1)</f>
        <v>0.23157498988440173</v>
      </c>
      <c r="F42" s="61">
        <f>Assumptions!C26*(1+Assumptions!G26)^Hold_Long*Ret_IQT_Long</f>
        <v>127.85055749939193</v>
      </c>
      <c r="G42" s="36">
        <f>F42/B42</f>
        <v>19.669316538367987</v>
      </c>
      <c r="H42" s="15">
        <f>IF((F42/B42)&lt;=0,-1,(F42/B42)^(1/Hold_Long)-1)</f>
        <v>0.34703514518606426</v>
      </c>
      <c r="I42" s="61">
        <f>Assumptions!C26*(1+Assumptions!H26)^Hold_Long*Ret_IQT_Long</f>
        <v>0.24890573501586916</v>
      </c>
      <c r="J42" s="36">
        <f>I42/B42</f>
        <v>0.038293190002441406</v>
      </c>
      <c r="K42" s="15">
        <f>IF((I42/B42)&lt;=0,-1,(I42/B42)^(1/Hold_Long)-1)</f>
        <v>-0.2783740293646084</v>
      </c>
      <c r="L42" s="62">
        <f>Assumptions!C26*(1+Assumptions!I26)^Hold_Long*Ret_IQT_Long</f>
        <v>31.24338055576384</v>
      </c>
      <c r="M42" s="37">
        <f>L42/B42</f>
        <v>4.8066739316559755</v>
      </c>
      <c r="N42" s="39">
        <f>IF((L42/B42)&lt;=0,-1,(L42/B42)^(1/Hold_Long)-1)</f>
        <v>0.16999624039018157</v>
      </c>
    </row>
    <row r="43" ht="15" customHeight="1">
      <c r="A43" s="53" t="inlineStr">
        <is>
          <t>FUND TOTAL</t>
        </is>
      </c>
      <c r="B43" s="63">
        <f>SUM(B34:B42)</f>
        <v>250.0</v>
      </c>
      <c r="C43" s="63">
        <f>SUM(C34:C42)</f>
        <v>1261.4559359608952</v>
      </c>
      <c r="D43" s="64">
        <f>C43/B43</f>
        <v>5.045823743843581</v>
      </c>
      <c r="E43" s="65">
        <f>IF((C43/B43)&lt;=0,-1,(C43/B43)^(1/Hold_Long)-1)</f>
        <v>0.17569103776909034</v>
      </c>
      <c r="F43" s="63">
        <f>SUM(F34:F42)</f>
        <v>3197.697188993902</v>
      </c>
      <c r="G43" s="64">
        <f>F43/B43</f>
        <v>12.790788755975607</v>
      </c>
      <c r="H43" s="65">
        <f>IF((F43/B43)&lt;=0,-1,(F43/B43)^(1/Hold_Long)-1)</f>
        <v>0.29029713407562086</v>
      </c>
      <c r="I43" s="63">
        <f>SUM(I34:I42)</f>
        <v>73.96335394130377</v>
      </c>
      <c r="J43" s="64">
        <f>I43/B43</f>
        <v>0.29585341576521507</v>
      </c>
      <c r="K43" s="65">
        <f>IF((I43/B43)&lt;=0,-1,(I43/B43)^(1/Hold_Long)-1)</f>
        <v>-0.11466494856842613</v>
      </c>
      <c r="L43" s="66">
        <f>SUM(L34:L42)</f>
        <v>3418.1014561193974</v>
      </c>
      <c r="M43" s="67">
        <f>L43/B43</f>
        <v>13.67240582447759</v>
      </c>
      <c r="N43" s="68">
        <f>IF((L43/B43)&lt;=0,-1,(L43/B43)^(1/Hold_Long)-1)</f>
        <v>0.2989262515476212</v>
      </c>
    </row>
    <row r="44"/>
  </sheetData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F50"/>
  <sheetViews>
    <sheetView showGridLines="0" tabSelected="0" zoomScale="90" zoomScaleNormal="10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8.6640625" defaultRowHeight="15"/>
  <cols>
    <col width="30" customWidth="1" min="1" max="1"/>
    <col width="13" customWidth="1" min="2" max="5"/>
    <col width="14" customWidth="1" min="6" max="6"/>
  </cols>
  <sheetData>
    <row r="1" ht="18" customHeight="1">
      <c r="A1" s="9" t="inlineStr">
        <is>
          <t>FUND ECONOMICS — GROSS-&gt;NET WATERFALL</t>
        </is>
      </c>
      <c r="B1" s="177" t="n"/>
      <c r="C1" s="177" t="n"/>
      <c r="D1" s="177" t="n"/>
      <c r="E1" s="177" t="n"/>
      <c r="F1" s="177" t="n"/>
    </row>
    <row r="2" ht="15" customHeight="1">
      <c r="A2" s="180" t="inlineStr">
        <is>
          <t>Whole-fund European waterfall: return of capital -&gt; 8% comp. pref -&gt; 20% carry (no catch-up). Expected = prob-weighted. $M.</t>
        </is>
      </c>
      <c r="B2" s="177" t="n"/>
      <c r="C2" s="177" t="n"/>
      <c r="D2" s="177" t="n"/>
      <c r="E2" s="177" t="n"/>
      <c r="F2" s="177" t="n"/>
    </row>
    <row r="3" ht="15" customHeight="1">
      <c r="A3" s="177" t="n"/>
      <c r="B3" s="177" t="n"/>
      <c r="C3" s="177" t="n"/>
      <c r="D3" s="177" t="n"/>
      <c r="E3" s="177" t="n"/>
      <c r="F3" s="177" t="n"/>
    </row>
    <row r="4" ht="15" customHeight="1">
      <c r="A4" s="28" t="str">
        <f>Hold_Short&amp;"-YEAR VEHICLE"</f>
        <v>5-YEAR VEHICLE</v>
      </c>
      <c r="B4" s="177" t="n"/>
      <c r="C4" s="177" t="n"/>
      <c r="D4" s="177" t="n"/>
      <c r="E4" s="177" t="n"/>
      <c r="F4" s="177" t="n"/>
    </row>
    <row r="5" ht="15" customHeight="1">
      <c r="A5" s="186" t="inlineStr">
        <is>
          <t>Line item ($M)</t>
        </is>
      </c>
      <c r="B5" s="186" t="inlineStr">
        <is>
          <t>Base</t>
        </is>
      </c>
      <c r="C5" s="186" t="inlineStr">
        <is>
          <t>Bull</t>
        </is>
      </c>
      <c r="D5" s="186" t="inlineStr">
        <is>
          <t>Bear</t>
        </is>
      </c>
      <c r="E5" s="21" t="inlineStr">
        <is>
          <t>TSMC-Shock</t>
        </is>
      </c>
      <c r="F5" s="29" t="inlineStr">
        <is>
          <t>Expected</t>
        </is>
      </c>
    </row>
    <row r="6" ht="15" customHeight="1">
      <c r="A6" s="13" t="inlineStr">
        <is>
          <t>Gross exit proceeds</t>
        </is>
      </c>
      <c r="B6" s="30">
        <f>'Portfolio Returns'!C15</f>
        <v>565.830779755255</v>
      </c>
      <c r="C6" s="30">
        <f>'Portfolio Returns'!F15</f>
        <v>904.361416298755</v>
      </c>
      <c r="D6" s="30">
        <f>'Portfolio Returns'!I15</f>
        <v>126.2935256890875</v>
      </c>
      <c r="E6" s="31">
        <f>'Portfolio Returns'!L15</f>
        <v>915.4063137502143</v>
      </c>
      <c r="F6" s="30">
        <f>B6*P_Base+C6*P_Bull+D6*P_Bear+E6*P_Shock</f>
        <v>636.9691808804487</v>
      </c>
    </row>
    <row r="7" ht="15" customHeight="1">
      <c r="A7" s="13" t="inlineStr">
        <is>
          <t>(-) Return of committed capital</t>
        </is>
      </c>
      <c r="B7" s="30">
        <f>-IQT_Committed</f>
        <v>-250.0</v>
      </c>
      <c r="C7" s="30">
        <f>-IQT_Committed</f>
        <v>-250.0</v>
      </c>
      <c r="D7" s="30">
        <f>-IQT_Committed</f>
        <v>-250.0</v>
      </c>
      <c r="E7" s="31">
        <f>-IQT_Committed</f>
        <v>-250.0</v>
      </c>
      <c r="F7" s="30">
        <f>B7*P_Base+C7*P_Bull+D7*P_Bear+E7*P_Shock</f>
        <v>-250.0</v>
      </c>
    </row>
    <row r="8" ht="15" customHeight="1">
      <c r="A8" s="13" t="inlineStr">
        <is>
          <t>(-) Preferred return (8% comp.)</t>
        </is>
      </c>
      <c r="B8" s="30">
        <f>-IQT_Committed*((1+Pref)^Hold_Short-1)</f>
        <v>-117.33201920000013</v>
      </c>
      <c r="C8" s="30">
        <f>-IQT_Committed*((1+Pref)^Hold_Short-1)</f>
        <v>-117.33201920000013</v>
      </c>
      <c r="D8" s="30">
        <f>-IQT_Committed*((1+Pref)^Hold_Short-1)</f>
        <v>-117.33201920000013</v>
      </c>
      <c r="E8" s="31">
        <f>-IQT_Committed*((1+Pref)^Hold_Short-1)</f>
        <v>-117.33201920000013</v>
      </c>
      <c r="F8" s="30">
        <f>B8*P_Base+C8*P_Bull+D8*P_Bear+E8*P_Shock</f>
        <v>-117.33201920000013</v>
      </c>
    </row>
    <row r="9" ht="15" customHeight="1">
      <c r="A9" s="13" t="inlineStr">
        <is>
          <t>Profit above pref (carry base)</t>
        </is>
      </c>
      <c r="B9" s="30">
        <f>MAX(0,B6+B7+B8)</f>
        <v>198.49876055525485</v>
      </c>
      <c r="C9" s="30">
        <f>MAX(0,C6+C7+C8)</f>
        <v>537.0293970987549</v>
      </c>
      <c r="D9" s="30">
        <f>MAX(0,D6+D7+D8)</f>
        <v>0</v>
      </c>
      <c r="E9" s="31">
        <f>MAX(0,E6+E7+E8)</f>
        <v>548.0742945502142</v>
      </c>
      <c r="F9" s="30">
        <f>B9*P_Base+C9*P_Bull+D9*P_Bear+E9*P_Shock</f>
        <v>305.7929357070855</v>
      </c>
    </row>
    <row r="10" ht="15" customHeight="1">
      <c r="A10" s="13" t="inlineStr">
        <is>
          <t>(-) GP carried interest (20%)</t>
        </is>
      </c>
      <c r="B10" s="30">
        <f>-Carry*B9</f>
        <v>-39.69975211105097</v>
      </c>
      <c r="C10" s="30">
        <f>-Carry*C9</f>
        <v>-107.40587941975099</v>
      </c>
      <c r="D10" s="30">
        <f>-Carry*D9</f>
        <v>-0.0</v>
      </c>
      <c r="E10" s="31">
        <f>-Carry*E9</f>
        <v>-109.61485891004284</v>
      </c>
      <c r="F10" s="30">
        <f>B10*P_Base+C10*P_Bull+D10*P_Bear+E10*P_Shock</f>
        <v>-61.158587141417115</v>
      </c>
    </row>
    <row r="11" ht="15" customHeight="1">
      <c r="A11" s="13" t="inlineStr">
        <is>
          <t>(-) Management fees</t>
        </is>
      </c>
      <c r="B11" s="30">
        <f>-IQT_Committed*Mgmt_Fee*Hold_Short</f>
        <v>-25.0</v>
      </c>
      <c r="C11" s="30">
        <f>-IQT_Committed*Mgmt_Fee*Hold_Short</f>
        <v>-25.0</v>
      </c>
      <c r="D11" s="30">
        <f>-IQT_Committed*Mgmt_Fee*Hold_Short</f>
        <v>-25.0</v>
      </c>
      <c r="E11" s="31">
        <f>-IQT_Committed*Mgmt_Fee*Hold_Short</f>
        <v>-25.0</v>
      </c>
      <c r="F11" s="30">
        <f>B11*P_Base+C11*P_Bull+D11*P_Bear+E11*P_Shock</f>
        <v>-25.0</v>
      </c>
    </row>
    <row r="12" ht="15" customHeight="1">
      <c r="A12" s="33" t="inlineStr">
        <is>
          <t>Net proceeds to LPs</t>
        </is>
      </c>
      <c r="B12" s="34">
        <f>B6+B10+B11</f>
        <v>501.131027644204</v>
      </c>
      <c r="C12" s="34">
        <f>C6+C10+C11</f>
        <v>771.9555368790041</v>
      </c>
      <c r="D12" s="34">
        <f>D6+D10+D11</f>
        <v>101.2935256890875</v>
      </c>
      <c r="E12" s="34">
        <f>E6+E10+E11</f>
        <v>780.7914548401715</v>
      </c>
      <c r="F12" s="69">
        <f>B12*P_Base+C12*P_Bull+D12*P_Bear+E12*P_Shock</f>
        <v>550.8105937390317</v>
      </c>
    </row>
    <row r="13" ht="15" customHeight="1">
      <c r="A13" s="13" t="inlineStr">
        <is>
          <t>Gross MOIC</t>
        </is>
      </c>
      <c r="B13" s="36">
        <f>B6/IQT_Committed</f>
        <v>2.26332311902102</v>
      </c>
      <c r="C13" s="36">
        <f>C6/IQT_Committed</f>
        <v>3.61744566519502</v>
      </c>
      <c r="D13" s="36">
        <f>D6/IQT_Committed</f>
        <v>0.50517410275635</v>
      </c>
      <c r="E13" s="37">
        <f>E6/IQT_Committed</f>
        <v>3.6616252550008572</v>
      </c>
      <c r="F13" s="36">
        <f>F6/IQT_Committed</f>
        <v>2.5478767235217945</v>
      </c>
    </row>
    <row r="14" ht="15" customHeight="1">
      <c r="A14" s="33" t="inlineStr">
        <is>
          <t>Net MOIC (to LP)</t>
        </is>
      </c>
      <c r="B14" s="35">
        <f>B12/IQT_Committed</f>
        <v>2.004524110576816</v>
      </c>
      <c r="C14" s="35">
        <f>C12/IQT_Committed</f>
        <v>3.0878221475160164</v>
      </c>
      <c r="D14" s="35">
        <f>D12/IQT_Committed</f>
        <v>0.40517410275635</v>
      </c>
      <c r="E14" s="35">
        <f>E12/IQT_Committed</f>
        <v>3.1231658193606857</v>
      </c>
      <c r="F14" s="70">
        <f>F12/IQT_Committed</f>
        <v>2.2032423749561265</v>
      </c>
    </row>
    <row r="15" ht="15" customHeight="1">
      <c r="A15" s="13" t="inlineStr">
        <is>
          <t>Gross IRR</t>
        </is>
      </c>
      <c r="B15" s="15">
        <f>IF((B6/IQT_Committed)&lt;=0,-1,(B6/IQT_Committed)^(1/Hold_Short)-1)</f>
        <v>0.17746853889181313</v>
      </c>
      <c r="C15" s="15">
        <f>IF((C6/IQT_Committed)&lt;=0,-1,(C6/IQT_Committed)^(1/Hold_Short)-1)</f>
        <v>0.2932437949795841</v>
      </c>
      <c r="D15" s="15">
        <f>IF((D6/IQT_Committed)&lt;=0,-1,(D6/IQT_Committed)^(1/Hold_Short)-1)</f>
        <v>-0.1276551213612328</v>
      </c>
      <c r="E15" s="39">
        <f>IF((E6/IQT_Committed)&lt;=0,-1,(E6/IQT_Committed)^(1/Hold_Short)-1)</f>
        <v>0.29638733323967204</v>
      </c>
      <c r="F15" s="15">
        <f>IF((F6/IQT_Committed)&lt;=0,-1,(F6/IQT_Committed)^(1/Hold_Short)-1)</f>
        <v>0.20569006487290808</v>
      </c>
    </row>
    <row r="16" ht="15" customHeight="1">
      <c r="A16" s="33" t="inlineStr">
        <is>
          <t>Net IRR (to LP)</t>
        </is>
      </c>
      <c r="B16" s="20">
        <f>IF((B12/IQT_Committed)&lt;=0,-1,(B12/IQT_Committed)^(1/Hold_Short)-1)</f>
        <v>0.1492175692505382</v>
      </c>
      <c r="C16" s="20">
        <f>IF((C12/IQT_Committed)&lt;=0,-1,(C12/IQT_Committed)^(1/Hold_Short)-1)</f>
        <v>0.2529405230598696</v>
      </c>
      <c r="D16" s="20">
        <f>IF((D12/IQT_Committed)&lt;=0,-1,(D12/IQT_Committed)^(1/Hold_Short)-1)</f>
        <v>-0.1653039932407776</v>
      </c>
      <c r="E16" s="20">
        <f>IF((E12/IQT_Committed)&lt;=0,-1,(E12/IQT_Committed)^(1/Hold_Short)-1)</f>
        <v>0.25579574901845725</v>
      </c>
      <c r="F16" s="71">
        <f>IF((F12/IQT_Committed)&lt;=0,-1,(F12/IQT_Committed)^(1/Hold_Short)-1)</f>
        <v>0.1711498177436066</v>
      </c>
    </row>
    <row r="17" ht="15" customHeight="1">
      <c r="A17" s="13" t="inlineStr">
        <is>
          <t>DPI = TVPI at exit</t>
        </is>
      </c>
      <c r="B17" s="36">
        <f>B12/IQT_Committed</f>
        <v>2.004524110576816</v>
      </c>
      <c r="C17" s="36">
        <f>C12/IQT_Committed</f>
        <v>3.0878221475160164</v>
      </c>
      <c r="D17" s="36">
        <f>D12/IQT_Committed</f>
        <v>0.40517410275635</v>
      </c>
      <c r="E17" s="37">
        <f>E12/IQT_Committed</f>
        <v>3.1231658193606857</v>
      </c>
      <c r="F17" s="36">
        <f>F12/IQT_Committed</f>
        <v>2.2032423749561265</v>
      </c>
    </row>
    <row r="18" ht="15" customHeight="1">
      <c r="A18" s="177" t="n"/>
      <c r="B18" s="177" t="n"/>
      <c r="C18" s="177" t="n"/>
      <c r="D18" s="177" t="n"/>
      <c r="E18" s="177" t="n"/>
      <c r="F18" s="177" t="n"/>
    </row>
    <row r="19" ht="15" customHeight="1">
      <c r="A19" s="177" t="n"/>
      <c r="B19" s="177" t="n"/>
      <c r="C19" s="177" t="n"/>
      <c r="D19" s="177" t="n"/>
      <c r="E19" s="177" t="n"/>
      <c r="F19" s="177" t="n"/>
    </row>
    <row r="20" ht="15" customHeight="1">
      <c r="A20" s="28" t="str">
        <f>Hold_Mid&amp;"-YEAR VEHICLE"</f>
        <v>7-YEAR VEHICLE</v>
      </c>
      <c r="B20" s="177" t="n"/>
      <c r="C20" s="177" t="n"/>
      <c r="D20" s="177" t="n"/>
      <c r="E20" s="177" t="n"/>
      <c r="F20" s="177" t="n"/>
    </row>
    <row r="21" ht="15" customHeight="1">
      <c r="A21" s="186" t="inlineStr">
        <is>
          <t>Line item ($M)</t>
        </is>
      </c>
      <c r="B21" s="186" t="inlineStr">
        <is>
          <t>Base</t>
        </is>
      </c>
      <c r="C21" s="186" t="inlineStr">
        <is>
          <t>Bull</t>
        </is>
      </c>
      <c r="D21" s="186" t="inlineStr">
        <is>
          <t>Bear</t>
        </is>
      </c>
      <c r="E21" s="21" t="inlineStr">
        <is>
          <t>TSMC-Shock</t>
        </is>
      </c>
      <c r="F21" s="29" t="inlineStr">
        <is>
          <t>Expected</t>
        </is>
      </c>
    </row>
    <row r="22" ht="15" customHeight="1">
      <c r="A22" s="13" t="inlineStr">
        <is>
          <t>Gross exit proceeds</t>
        </is>
      </c>
      <c r="B22" s="30">
        <f>'Portfolio Returns'!C29</f>
        <v>778.1307714763823</v>
      </c>
      <c r="C22" s="30">
        <f>'Portfolio Returns'!F29</f>
        <v>1497.0052965953112</v>
      </c>
      <c r="D22" s="30">
        <f>'Portfolio Returns'!I29</f>
        <v>100.0336881936079</v>
      </c>
      <c r="E22" s="31">
        <f>'Portfolio Returns'!L29</f>
        <v>1542.4475243358172</v>
      </c>
      <c r="F22" s="30">
        <f>B22*P_Base+C22*P_Bull+D22*P_Bear+E22*P_Shock</f>
        <v>970.7823531926136</v>
      </c>
    </row>
    <row r="23" ht="15" customHeight="1">
      <c r="A23" s="13" t="inlineStr">
        <is>
          <t>(-) Return of committed capital</t>
        </is>
      </c>
      <c r="B23" s="30">
        <f>-IQT_Committed</f>
        <v>-250.0</v>
      </c>
      <c r="C23" s="30">
        <f>-IQT_Committed</f>
        <v>-250.0</v>
      </c>
      <c r="D23" s="30">
        <f>-IQT_Committed</f>
        <v>-250.0</v>
      </c>
      <c r="E23" s="31">
        <f>-IQT_Committed</f>
        <v>-250.0</v>
      </c>
      <c r="F23" s="30">
        <f>B23*P_Base+C23*P_Bull+D23*P_Bear+E23*P_Shock</f>
        <v>-250.0</v>
      </c>
    </row>
    <row r="24" ht="15" customHeight="1">
      <c r="A24" s="13" t="inlineStr">
        <is>
          <t>(-) Preferred return (8% comp.)</t>
        </is>
      </c>
      <c r="B24" s="30">
        <f>-IQT_Committed*((1+Pref)^Hold_Mid-1)</f>
        <v>-178.4560671948802</v>
      </c>
      <c r="C24" s="30">
        <f>-IQT_Committed*((1+Pref)^Hold_Mid-1)</f>
        <v>-178.4560671948802</v>
      </c>
      <c r="D24" s="30">
        <f>-IQT_Committed*((1+Pref)^Hold_Mid-1)</f>
        <v>-178.4560671948802</v>
      </c>
      <c r="E24" s="31">
        <f>-IQT_Committed*((1+Pref)^Hold_Mid-1)</f>
        <v>-178.4560671948802</v>
      </c>
      <c r="F24" s="30">
        <f>B24*P_Base+C24*P_Bull+D24*P_Bear+E24*P_Shock</f>
        <v>-178.45606719488023</v>
      </c>
    </row>
    <row r="25" ht="15" customHeight="1">
      <c r="A25" s="13" t="inlineStr">
        <is>
          <t>Profit above pref (carry base)</t>
        </is>
      </c>
      <c r="B25" s="30">
        <f>MAX(0,B22+B23+B24)</f>
        <v>349.67470428150204</v>
      </c>
      <c r="C25" s="30">
        <f>MAX(0,C22+C23+C24)</f>
        <v>1068.549229400431</v>
      </c>
      <c r="D25" s="30">
        <f>MAX(0,D22+D23+D24)</f>
        <v>0</v>
      </c>
      <c r="E25" s="31">
        <f>MAX(0,E22+E23+E24)</f>
        <v>1113.991457140937</v>
      </c>
      <c r="F25" s="30">
        <f>B25*P_Base+C25*P_Bull+D25*P_Bear+E25*P_Shock</f>
        <v>591.5896428479242</v>
      </c>
    </row>
    <row r="26" ht="15" customHeight="1">
      <c r="A26" s="13" t="inlineStr">
        <is>
          <t>(-) GP carried interest (20%)</t>
        </is>
      </c>
      <c r="B26" s="30">
        <f>-Carry*B25</f>
        <v>-69.93494085630041</v>
      </c>
      <c r="C26" s="30">
        <f>-Carry*C25</f>
        <v>-213.7098458800862</v>
      </c>
      <c r="D26" s="30">
        <f>-Carry*D25</f>
        <v>-0.0</v>
      </c>
      <c r="E26" s="31">
        <f>-Carry*E25</f>
        <v>-222.7982914281874</v>
      </c>
      <c r="F26" s="30">
        <f>B26*P_Base+C26*P_Bull+D26*P_Bear+E26*P_Shock</f>
        <v>-118.31792856958484</v>
      </c>
    </row>
    <row r="27" ht="15" customHeight="1">
      <c r="A27" s="13" t="inlineStr">
        <is>
          <t>(-) Management fees</t>
        </is>
      </c>
      <c r="B27" s="30">
        <f>-IQT_Committed*Mgmt_Fee*Hold_Mid</f>
        <v>-35.0</v>
      </c>
      <c r="C27" s="30">
        <f>-IQT_Committed*Mgmt_Fee*Hold_Mid</f>
        <v>-35.0</v>
      </c>
      <c r="D27" s="30">
        <f>-IQT_Committed*Mgmt_Fee*Hold_Mid</f>
        <v>-35.0</v>
      </c>
      <c r="E27" s="31">
        <f>-IQT_Committed*Mgmt_Fee*Hold_Mid</f>
        <v>-35.0</v>
      </c>
      <c r="F27" s="30">
        <f>B27*P_Base+C27*P_Bull+D27*P_Bear+E27*P_Shock</f>
        <v>-35.0</v>
      </c>
    </row>
    <row r="28" ht="15" customHeight="1">
      <c r="A28" s="33" t="inlineStr">
        <is>
          <t>Net proceeds to LPs</t>
        </is>
      </c>
      <c r="B28" s="34">
        <f>B22+B26+B27</f>
        <v>673.1958306200819</v>
      </c>
      <c r="C28" s="34">
        <f>C22+C26+C27</f>
        <v>1248.295450715225</v>
      </c>
      <c r="D28" s="34">
        <f>D22+D26+D27</f>
        <v>65.0336881936079</v>
      </c>
      <c r="E28" s="34">
        <f>E22+E26+E27</f>
        <v>1284.6492329076298</v>
      </c>
      <c r="F28" s="69">
        <f>B28*P_Base+C28*P_Bull+D28*P_Bear+E28*P_Shock</f>
        <v>817.4644246230287</v>
      </c>
    </row>
    <row r="29" ht="15" customHeight="1">
      <c r="A29" s="13" t="inlineStr">
        <is>
          <t>Gross MOIC</t>
        </is>
      </c>
      <c r="B29" s="36">
        <f>B22/IQT_Committed</f>
        <v>3.1125230859055293</v>
      </c>
      <c r="C29" s="36">
        <f>C22/IQT_Committed</f>
        <v>5.9880211863812445</v>
      </c>
      <c r="D29" s="36">
        <f>D22/IQT_Committed</f>
        <v>0.4001347527744316</v>
      </c>
      <c r="E29" s="37">
        <f>E22/IQT_Committed</f>
        <v>6.169790097343268</v>
      </c>
      <c r="F29" s="36">
        <f>F22/IQT_Committed</f>
        <v>3.8831294127704545</v>
      </c>
    </row>
    <row r="30" ht="15" customHeight="1">
      <c r="A30" s="33" t="inlineStr">
        <is>
          <t>Net MOIC (to LP)</t>
        </is>
      </c>
      <c r="B30" s="35">
        <f>B28/IQT_Committed</f>
        <v>2.6927833224803277</v>
      </c>
      <c r="C30" s="35">
        <f>C28/IQT_Committed</f>
        <v>4.993181802860899</v>
      </c>
      <c r="D30" s="35">
        <f>D28/IQT_Committed</f>
        <v>0.2601347527744316</v>
      </c>
      <c r="E30" s="35">
        <f>E28/IQT_Committed</f>
        <v>5.138596931630519</v>
      </c>
      <c r="F30" s="70">
        <f>F28/IQT_Committed</f>
        <v>3.269857698492115</v>
      </c>
    </row>
    <row r="31" ht="15" customHeight="1">
      <c r="A31" s="13" t="inlineStr">
        <is>
          <t>Gross IRR</t>
        </is>
      </c>
      <c r="B31" s="15">
        <f>IF((B22/IQT_Committed)&lt;=0,-1,(B22/IQT_Committed)^(1/Hold_Mid)-1)</f>
        <v>0.17610109541967134</v>
      </c>
      <c r="C31" s="15">
        <f>IF((C22/IQT_Committed)&lt;=0,-1,(C22/IQT_Committed)^(1/Hold_Mid)-1)</f>
        <v>0.2913396185398953</v>
      </c>
      <c r="D31" s="15">
        <f>IF((D22/IQT_Committed)&lt;=0,-1,(D22/IQT_Committed)^(1/Hold_Mid)-1)</f>
        <v>-0.12265112271839618</v>
      </c>
      <c r="E31" s="39">
        <f>IF((E22/IQT_Committed)&lt;=0,-1,(E22/IQT_Committed)^(1/Hold_Mid)-1)</f>
        <v>0.2968679869637141</v>
      </c>
      <c r="F31" s="15">
        <f>IF((F22/IQT_Committed)&lt;=0,-1,(F22/IQT_Committed)^(1/Hold_Mid)-1)</f>
        <v>0.2138606633027409</v>
      </c>
    </row>
    <row r="32" ht="15" customHeight="1">
      <c r="A32" s="33" t="inlineStr">
        <is>
          <t>Net IRR (to LP)</t>
        </is>
      </c>
      <c r="B32" s="20">
        <f>IF((B28/IQT_Committed)&lt;=0,-1,(B28/IQT_Committed)^(1/Hold_Mid)-1)</f>
        <v>0.1520129049646377</v>
      </c>
      <c r="C32" s="20">
        <f>IF((C28/IQT_Committed)&lt;=0,-1,(C28/IQT_Committed)^(1/Hold_Mid)-1)</f>
        <v>0.258253644559407</v>
      </c>
      <c r="D32" s="20">
        <f>IF((D28/IQT_Committed)&lt;=0,-1,(D28/IQT_Committed)^(1/Hold_Mid)-1)</f>
        <v>-0.17499437274931617</v>
      </c>
      <c r="E32" s="20">
        <f>IF((E28/IQT_Committed)&lt;=0,-1,(E28/IQT_Committed)^(1/Hold_Mid)-1)</f>
        <v>0.263424289157445</v>
      </c>
      <c r="F32" s="71">
        <f>IF((F28/IQT_Committed)&lt;=0,-1,(F28/IQT_Committed)^(1/Hold_Mid)-1)</f>
        <v>0.184415608120029</v>
      </c>
    </row>
    <row r="33" ht="15" customHeight="1">
      <c r="A33" s="13" t="inlineStr">
        <is>
          <t>DPI = TVPI at exit</t>
        </is>
      </c>
      <c r="B33" s="36">
        <f>B28/IQT_Committed</f>
        <v>2.6927833224803277</v>
      </c>
      <c r="C33" s="36">
        <f>C28/IQT_Committed</f>
        <v>4.993181802860899</v>
      </c>
      <c r="D33" s="36">
        <f>D28/IQT_Committed</f>
        <v>0.2601347527744316</v>
      </c>
      <c r="E33" s="37">
        <f>E28/IQT_Committed</f>
        <v>5.138596931630519</v>
      </c>
      <c r="F33" s="36">
        <f>F28/IQT_Committed</f>
        <v>3.269857698492115</v>
      </c>
    </row>
    <row r="34" ht="15" customHeight="1">
      <c r="A34" s="177" t="n"/>
      <c r="B34" s="177" t="n"/>
      <c r="C34" s="177" t="n"/>
      <c r="D34" s="177" t="n"/>
      <c r="E34" s="177" t="n"/>
      <c r="F34" s="177" t="n"/>
    </row>
    <row r="35" ht="15" customHeight="1">
      <c r="A35" s="177" t="n"/>
      <c r="B35" s="177" t="n"/>
      <c r="C35" s="177" t="n"/>
      <c r="D35" s="177" t="n"/>
      <c r="E35" s="177" t="n"/>
      <c r="F35" s="177" t="n"/>
    </row>
    <row r="36" ht="15" customHeight="1">
      <c r="A36" s="28" t="str">
        <f>Hold_Long&amp;"-YEAR VEHICLE"</f>
        <v>10-YEAR VEHICLE</v>
      </c>
      <c r="B36" s="177" t="n"/>
      <c r="C36" s="177" t="n"/>
      <c r="D36" s="177" t="n"/>
      <c r="E36" s="177" t="n"/>
      <c r="F36" s="177" t="n"/>
    </row>
    <row r="37" ht="15" customHeight="1">
      <c r="A37" s="186" t="inlineStr">
        <is>
          <t>Line item ($M)</t>
        </is>
      </c>
      <c r="B37" s="186" t="inlineStr">
        <is>
          <t>Base</t>
        </is>
      </c>
      <c r="C37" s="186" t="inlineStr">
        <is>
          <t>Bull</t>
        </is>
      </c>
      <c r="D37" s="186" t="inlineStr">
        <is>
          <t>Bear</t>
        </is>
      </c>
      <c r="E37" s="21" t="inlineStr">
        <is>
          <t>TSMC-Shock</t>
        </is>
      </c>
      <c r="F37" s="29" t="inlineStr">
        <is>
          <t>Expected</t>
        </is>
      </c>
    </row>
    <row r="38" ht="15" customHeight="1">
      <c r="A38" s="13" t="inlineStr">
        <is>
          <t>Gross exit proceeds</t>
        </is>
      </c>
      <c r="B38" s="30">
        <f>'Portfolio Returns'!C43</f>
        <v>1261.4559359608952</v>
      </c>
      <c r="C38" s="30">
        <f>'Portfolio Returns'!F43</f>
        <v>3197.697188993902</v>
      </c>
      <c r="D38" s="30">
        <f>'Portfolio Returns'!I43</f>
        <v>73.96335394130377</v>
      </c>
      <c r="E38" s="31">
        <f>'Portfolio Returns'!L43</f>
        <v>3418.1014561193974</v>
      </c>
      <c r="F38" s="30">
        <f>B38*P_Base+C38*P_Bull+D38*P_Bear+E38*P_Shock</f>
        <v>1890.8891899399837</v>
      </c>
    </row>
    <row r="39" ht="15" customHeight="1">
      <c r="A39" s="13" t="inlineStr">
        <is>
          <t>(-) Return of committed capital</t>
        </is>
      </c>
      <c r="B39" s="30">
        <f>-IQT_Committed</f>
        <v>-250.0</v>
      </c>
      <c r="C39" s="30">
        <f>-IQT_Committed</f>
        <v>-250.0</v>
      </c>
      <c r="D39" s="30">
        <f>-IQT_Committed</f>
        <v>-250.0</v>
      </c>
      <c r="E39" s="31">
        <f>-IQT_Committed</f>
        <v>-250.0</v>
      </c>
      <c r="F39" s="30">
        <f>B39*P_Base+C39*P_Bull+D39*P_Bear+E39*P_Shock</f>
        <v>-250.0</v>
      </c>
    </row>
    <row r="40" ht="15" customHeight="1">
      <c r="A40" s="13" t="inlineStr">
        <is>
          <t>(-) Preferred return (8% comp.)</t>
        </is>
      </c>
      <c r="B40" s="30">
        <f>-IQT_Committed*((1+Pref)^Hold_Long-1)</f>
        <v>-289.73124931819706</v>
      </c>
      <c r="C40" s="30">
        <f>-IQT_Committed*((1+Pref)^Hold_Long-1)</f>
        <v>-289.73124931819706</v>
      </c>
      <c r="D40" s="30">
        <f>-IQT_Committed*((1+Pref)^Hold_Long-1)</f>
        <v>-289.73124931819706</v>
      </c>
      <c r="E40" s="31">
        <f>-IQT_Committed*((1+Pref)^Hold_Long-1)</f>
        <v>-289.73124931819706</v>
      </c>
      <c r="F40" s="30">
        <f>B40*P_Base+C40*P_Bull+D40*P_Bear+E40*P_Shock</f>
        <v>-289.73124931819706</v>
      </c>
    </row>
    <row r="41" ht="15" customHeight="1">
      <c r="A41" s="13" t="inlineStr">
        <is>
          <t>Profit above pref (carry base)</t>
        </is>
      </c>
      <c r="B41" s="30">
        <f>MAX(0,B38+B39+B40)</f>
        <v>721.7246866426981</v>
      </c>
      <c r="C41" s="30">
        <f>MAX(0,C38+C39+C40)</f>
        <v>2657.9659396757047</v>
      </c>
      <c r="D41" s="30">
        <f>MAX(0,D38+D39+D40)</f>
        <v>0</v>
      </c>
      <c r="E41" s="31">
        <f>MAX(0,E38+E39+E40)</f>
        <v>2878.3702068012003</v>
      </c>
      <c r="F41" s="30">
        <f>B41*P_Base+C41*P_Bull+D41*P_Bear+E41*P_Shock</f>
        <v>1421.0231249283204</v>
      </c>
    </row>
    <row r="42" ht="15" customHeight="1">
      <c r="A42" s="13" t="inlineStr">
        <is>
          <t>(-) GP carried interest (20%)</t>
        </is>
      </c>
      <c r="B42" s="30">
        <f>-Carry*B41</f>
        <v>-144.34493732853963</v>
      </c>
      <c r="C42" s="30">
        <f>-Carry*C41</f>
        <v>-531.5931879351409</v>
      </c>
      <c r="D42" s="30">
        <f>-Carry*D41</f>
        <v>-0.0</v>
      </c>
      <c r="E42" s="31">
        <f>-Carry*E41</f>
        <v>-575.67404136024</v>
      </c>
      <c r="F42" s="30">
        <f>B42*P_Base+C42*P_Bull+D42*P_Bear+E42*P_Shock</f>
        <v>-284.20462498566405</v>
      </c>
    </row>
    <row r="43" ht="15" customHeight="1">
      <c r="A43" s="13" t="inlineStr">
        <is>
          <t>(-) Management fees</t>
        </is>
      </c>
      <c r="B43" s="30">
        <f>-IQT_Committed*Mgmt_Fee*Hold_Long</f>
        <v>-50.0</v>
      </c>
      <c r="C43" s="30">
        <f>-IQT_Committed*Mgmt_Fee*Hold_Long</f>
        <v>-50.0</v>
      </c>
      <c r="D43" s="30">
        <f>-IQT_Committed*Mgmt_Fee*Hold_Long</f>
        <v>-50.0</v>
      </c>
      <c r="E43" s="31">
        <f>-IQT_Committed*Mgmt_Fee*Hold_Long</f>
        <v>-50.0</v>
      </c>
      <c r="F43" s="30">
        <f>B43*P_Base+C43*P_Bull+D43*P_Bear+E43*P_Shock</f>
        <v>-50.0</v>
      </c>
    </row>
    <row r="44" ht="15" customHeight="1">
      <c r="A44" s="33" t="inlineStr">
        <is>
          <t>Net proceeds to LPs</t>
        </is>
      </c>
      <c r="B44" s="34">
        <f>B38+B42+B43</f>
        <v>1067.1109986323556</v>
      </c>
      <c r="C44" s="34">
        <f>C38+C42+C43</f>
        <v>2616.104001058761</v>
      </c>
      <c r="D44" s="34">
        <f>D38+D42+D43</f>
        <v>23.963353941303765</v>
      </c>
      <c r="E44" s="34">
        <f>E38+E42+E43</f>
        <v>2792.4274147591573</v>
      </c>
      <c r="F44" s="69">
        <f>B44*P_Base+C44*P_Bull+D44*P_Bear+E44*P_Shock</f>
        <v>1556.6845649543193</v>
      </c>
    </row>
    <row r="45" ht="15" customHeight="1">
      <c r="A45" s="13" t="inlineStr">
        <is>
          <t>Gross MOIC</t>
        </is>
      </c>
      <c r="B45" s="36">
        <f>B38/IQT_Committed</f>
        <v>5.045823743843581</v>
      </c>
      <c r="C45" s="36">
        <f>C38/IQT_Committed</f>
        <v>12.790788755975607</v>
      </c>
      <c r="D45" s="36">
        <f>D38/IQT_Committed</f>
        <v>0.29585341576521507</v>
      </c>
      <c r="E45" s="37">
        <f>E38/IQT_Committed</f>
        <v>13.67240582447759</v>
      </c>
      <c r="F45" s="36">
        <f>F38/IQT_Committed</f>
        <v>7.563556759759935</v>
      </c>
    </row>
    <row r="46" ht="15" customHeight="1">
      <c r="A46" s="33" t="inlineStr">
        <is>
          <t>Net MOIC (to LP)</t>
        </is>
      </c>
      <c r="B46" s="35">
        <f>B44/IQT_Committed</f>
        <v>4.268443994529423</v>
      </c>
      <c r="C46" s="35">
        <f>C44/IQT_Committed</f>
        <v>10.464416004235042</v>
      </c>
      <c r="D46" s="35">
        <f>D44/IQT_Committed</f>
        <v>0.09585341576521506</v>
      </c>
      <c r="E46" s="35">
        <f>E44/IQT_Committed</f>
        <v>11.169709659036629</v>
      </c>
      <c r="F46" s="70">
        <f>F44/IQT_Committed</f>
        <v>6.226738259817277</v>
      </c>
    </row>
    <row r="47" ht="15" customHeight="1">
      <c r="A47" s="13" t="inlineStr">
        <is>
          <t>Gross IRR</t>
        </is>
      </c>
      <c r="B47" s="15">
        <f>IF((B38/IQT_Committed)&lt;=0,-1,(B38/IQT_Committed)^(1/Hold_Long)-1)</f>
        <v>0.17569103776909034</v>
      </c>
      <c r="C47" s="15">
        <f>IF((C38/IQT_Committed)&lt;=0,-1,(C38/IQT_Committed)^(1/Hold_Long)-1)</f>
        <v>0.29029713407562086</v>
      </c>
      <c r="D47" s="15">
        <f>IF((D38/IQT_Committed)&lt;=0,-1,(D38/IQT_Committed)^(1/Hold_Long)-1)</f>
        <v>-0.11466494856842613</v>
      </c>
      <c r="E47" s="39">
        <f>IF((E38/IQT_Committed)&lt;=0,-1,(E38/IQT_Committed)^(1/Hold_Long)-1)</f>
        <v>0.2989262515476212</v>
      </c>
      <c r="F47" s="15">
        <f>IF((F38/IQT_Committed)&lt;=0,-1,(F38/IQT_Committed)^(1/Hold_Long)-1)</f>
        <v>0.22425703142900466</v>
      </c>
    </row>
    <row r="48" ht="15" customHeight="1">
      <c r="A48" s="33" t="inlineStr">
        <is>
          <t>Net IRR (to LP)</t>
        </is>
      </c>
      <c r="B48" s="20">
        <f>IF((B44/IQT_Committed)&lt;=0,-1,(B44/IQT_Committed)^(1/Hold_Long)-1)</f>
        <v>0.1561840098732863</v>
      </c>
      <c r="C48" s="20">
        <f>IF((C44/IQT_Committed)&lt;=0,-1,(C44/IQT_Committed)^(1/Hold_Long)-1)</f>
        <v>0.2646533524821302</v>
      </c>
      <c r="D48" s="20">
        <f>IF((D44/IQT_Committed)&lt;=0,-1,(D44/IQT_Committed)^(1/Hold_Long)-1)</f>
        <v>-0.20902863853914744</v>
      </c>
      <c r="E48" s="20">
        <f>IF((E44/IQT_Committed)&lt;=0,-1,(E44/IQT_Committed)^(1/Hold_Long)-1)</f>
        <v>0.272929022562435</v>
      </c>
      <c r="F48" s="71">
        <f>IF((F44/IQT_Committed)&lt;=0,-1,(F44/IQT_Committed)^(1/Hold_Long)-1)</f>
        <v>0.20067663957019932</v>
      </c>
    </row>
    <row r="49" ht="15" customHeight="1">
      <c r="A49" s="13" t="inlineStr">
        <is>
          <t>DPI = TVPI at exit</t>
        </is>
      </c>
      <c r="B49" s="36">
        <f>B44/IQT_Committed</f>
        <v>4.268443994529423</v>
      </c>
      <c r="C49" s="36">
        <f>C44/IQT_Committed</f>
        <v>10.464416004235042</v>
      </c>
      <c r="D49" s="36">
        <f>D44/IQT_Committed</f>
        <v>0.09585341576521506</v>
      </c>
      <c r="E49" s="37">
        <f>E44/IQT_Committed</f>
        <v>11.169709659036629</v>
      </c>
      <c r="F49" s="36">
        <f>F44/IQT_Committed</f>
        <v>6.226738259817277</v>
      </c>
    </row>
    <row r="50"/>
  </sheetData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J36"/>
  <sheetViews>
    <sheetView showGridLines="0" tabSelected="0" zoomScale="90" zoomScaleNormal="10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8.6640625" defaultRowHeight="15"/>
  <cols>
    <col width="36" customWidth="1" min="1" max="1"/>
    <col width="28" customWidth="1" min="2" max="2"/>
    <col width="12" customWidth="1" min="3" max="3"/>
    <col width="11" customWidth="1" min="4" max="5"/>
    <col width="13" customWidth="1" min="6" max="6"/>
    <col width="14" customWidth="1" min="7" max="7"/>
    <col width="11" customWidth="1" min="8" max="8"/>
    <col width="12" customWidth="1" min="9" max="9"/>
    <col width="11" customWidth="1" min="10" max="10"/>
  </cols>
  <sheetData>
    <row r="1" ht="18" customHeight="1">
      <c r="A1" s="9" t="inlineStr">
        <is>
          <t>IQT SLEEVE — STRATEGIC-FUNCTION CLUSTER ROLL-UP</t>
        </is>
      </c>
      <c r="B1" s="177" t="n"/>
      <c r="C1" s="177" t="n"/>
      <c r="D1" s="177" t="n"/>
      <c r="E1" s="177" t="n"/>
      <c r="F1" s="177" t="n"/>
      <c r="G1" s="177" t="n"/>
      <c r="H1" s="177" t="n"/>
      <c r="I1" s="177" t="n"/>
      <c r="J1" s="177" t="n"/>
    </row>
    <row r="2" ht="15" customHeight="1">
      <c r="A2" s="180" t="inlineStr">
        <is>
          <t>The nine Substrate-anchored names grouped by wartime function (per the IQT strategic analysis). Green links to live per-name figures.</t>
        </is>
      </c>
      <c r="B2" s="177" t="n"/>
      <c r="C2" s="177" t="n"/>
      <c r="D2" s="177" t="n"/>
      <c r="E2" s="177" t="n"/>
      <c r="F2" s="177" t="n"/>
      <c r="G2" s="177" t="n"/>
      <c r="H2" s="177" t="n"/>
      <c r="I2" s="177" t="n"/>
      <c r="J2" s="177" t="n"/>
    </row>
    <row r="3" ht="15" customHeight="1">
      <c r="A3" s="177" t="n"/>
      <c r="B3" s="177" t="n"/>
      <c r="C3" s="177" t="n"/>
      <c r="D3" s="177" t="n"/>
      <c r="E3" s="177" t="n"/>
      <c r="F3" s="177" t="n"/>
      <c r="G3" s="177" t="n"/>
      <c r="H3" s="177" t="n"/>
      <c r="I3" s="177" t="n"/>
      <c r="J3" s="177" t="n"/>
    </row>
    <row r="4" ht="15" customHeight="1">
      <c r="A4" s="11" t="inlineStr">
        <is>
          <t>SIZING &amp; STRATEGIC SCORE BY CLUSTER</t>
        </is>
      </c>
      <c r="B4" s="177" t="n"/>
      <c r="C4" s="177" t="n"/>
      <c r="D4" s="177" t="n"/>
      <c r="E4" s="177" t="n"/>
      <c r="F4" s="177" t="n"/>
      <c r="G4" s="177" t="n"/>
      <c r="H4" s="177" t="n"/>
      <c r="I4" s="177" t="n"/>
      <c r="J4" s="177" t="n"/>
    </row>
    <row r="5" ht="27.75" customHeight="1">
      <c r="A5" s="186" t="inlineStr">
        <is>
          <t>Strategic cluster</t>
        </is>
      </c>
      <c r="B5" s="186" t="inlineStr">
        <is>
          <t>Holdings</t>
        </is>
      </c>
      <c r="C5" s="186" t="inlineStr">
        <is>
          <t>Check ($M)</t>
        </is>
      </c>
      <c r="D5" s="186" t="inlineStr">
        <is>
          <t>% Sleeve</t>
        </is>
      </c>
      <c r="E5" s="186" t="inlineStr">
        <is>
          <t>% Holdco</t>
        </is>
      </c>
      <c r="F5" s="186" t="inlineStr">
        <is>
          <t>Avg composite</t>
        </is>
      </c>
      <c r="G5" s="186" t="inlineStr">
        <is>
          <t>Avg shock CAGR</t>
        </is>
      </c>
      <c r="H5" s="177" t="n"/>
      <c r="I5" s="177" t="n"/>
      <c r="J5" s="177" t="n"/>
    </row>
    <row r="6" ht="27.75" customHeight="1">
      <c r="A6" s="55" t="inlineStr">
        <is>
          <t>TSMC-alternative: packaging &amp; substrates</t>
        </is>
      </c>
      <c r="B6" s="183" t="inlineStr">
        <is>
          <t>Substrate, ThinTronics, EUV Tech</t>
        </is>
      </c>
      <c r="C6" s="57">
        <f>Assumptions!C18+Assumptions!C19+Assumptions!C20</f>
        <v>132.5</v>
      </c>
      <c r="D6" s="15">
        <f>C6/IQT_Committed</f>
        <v>0.53</v>
      </c>
      <c r="E6" s="15">
        <f>C6/Holdco_Size</f>
        <v>0.15773809523809523</v>
      </c>
      <c r="F6" s="58">
        <f>AVERAGE('Defense Supercycle'!G24,'Defense Supercycle'!G25,'Defense Supercycle'!G26)</f>
        <v>4.616666666666667</v>
      </c>
      <c r="G6" s="72">
        <f>AVERAGE('Defense Supercycle'!I24,'Defense Supercycle'!I25,'Defense Supercycle'!I26)</f>
        <v>0.37600000000000006</v>
      </c>
      <c r="H6" s="177" t="n"/>
      <c r="I6" s="177" t="n"/>
      <c r="J6" s="177" t="n"/>
    </row>
    <row r="7" ht="15" customHeight="1">
      <c r="A7" s="55" t="inlineStr">
        <is>
          <t>Denied-environment edge AI</t>
        </is>
      </c>
      <c r="B7" s="183" t="inlineStr">
        <is>
          <t>Syntiant, EdgeCortix</t>
        </is>
      </c>
      <c r="C7" s="57">
        <f>Assumptions!C21+Assumptions!C22</f>
        <v>62.0</v>
      </c>
      <c r="D7" s="15">
        <f>C7/IQT_Committed</f>
        <v>0.248</v>
      </c>
      <c r="E7" s="15">
        <f>C7/Holdco_Size</f>
        <v>0.07380952380952381</v>
      </c>
      <c r="F7" s="58">
        <f>AVERAGE('Defense Supercycle'!G27,'Defense Supercycle'!G28)</f>
        <v>3.025</v>
      </c>
      <c r="G7" s="72">
        <f>AVERAGE('Defense Supercycle'!I27,'Defense Supercycle'!I28)</f>
        <v>0.242</v>
      </c>
      <c r="H7" s="177" t="n"/>
      <c r="I7" s="177" t="n"/>
      <c r="J7" s="177" t="n"/>
    </row>
    <row r="8" ht="15" customHeight="1">
      <c r="A8" s="55" t="inlineStr">
        <is>
          <t>Post-Moore's next-gen compute</t>
        </is>
      </c>
      <c r="B8" s="183" t="inlineStr">
        <is>
          <t>Infleqtion, Diraq, Mueon</t>
        </is>
      </c>
      <c r="C8" s="57">
        <f>Assumptions!C23+Assumptions!C24+Assumptions!C25</f>
        <v>49.0</v>
      </c>
      <c r="D8" s="15">
        <f>C8/IQT_Committed</f>
        <v>0.196</v>
      </c>
      <c r="E8" s="15">
        <f>C8/Holdco_Size</f>
        <v>0.058333333333333334</v>
      </c>
      <c r="F8" s="58">
        <f>AVERAGE('Defense Supercycle'!G29,'Defense Supercycle'!G30,'Defense Supercycle'!G31)</f>
        <v>3.466666666666667</v>
      </c>
      <c r="G8" s="72">
        <f>AVERAGE('Defense Supercycle'!I29,'Defense Supercycle'!I30,'Defense Supercycle'!I31)</f>
        <v>0.3340000000000001</v>
      </c>
      <c r="H8" s="177" t="n"/>
      <c r="I8" s="177" t="n"/>
      <c r="J8" s="177" t="n"/>
    </row>
    <row r="9" ht="15" customHeight="1">
      <c r="A9" s="55" t="inlineStr">
        <is>
          <t>Autonomous sensing (adjacent)</t>
        </is>
      </c>
      <c r="B9" s="183" t="inlineStr">
        <is>
          <t>DefendEye</t>
        </is>
      </c>
      <c r="C9" s="57">
        <f>Assumptions!C26</f>
        <v>6.5</v>
      </c>
      <c r="D9" s="15">
        <f>C9/IQT_Committed</f>
        <v>0.026</v>
      </c>
      <c r="E9" s="15">
        <f>C9/Holdco_Size</f>
        <v>0.007738095238095238</v>
      </c>
      <c r="F9" s="58">
        <f>AVERAGE('Defense Supercycle'!G32)</f>
        <v>1.7</v>
      </c>
      <c r="G9" s="72">
        <f>AVERAGE('Defense Supercycle'!I32)</f>
        <v>0.21600000000000003</v>
      </c>
      <c r="H9" s="177" t="n"/>
      <c r="I9" s="177" t="n"/>
      <c r="J9" s="177" t="n"/>
    </row>
    <row r="10" ht="15" customHeight="1">
      <c r="A10" s="53" t="inlineStr">
        <is>
          <t>IQT SLEEVE TOTAL</t>
        </is>
      </c>
      <c r="B10" s="177" t="n"/>
      <c r="C10" s="19">
        <f>SUM(C6:C9)</f>
        <v>250.0</v>
      </c>
      <c r="D10" s="20">
        <f>SUM(D6:D9)</f>
        <v>1.0</v>
      </c>
      <c r="E10" s="177" t="n"/>
      <c r="F10" s="54">
        <f>AVERAGE('Defense Supercycle'!G24,'Defense Supercycle'!G25,'Defense Supercycle'!G26,'Defense Supercycle'!G27,'Defense Supercycle'!G28,'Defense Supercycle'!G29,'Defense Supercycle'!G30,'Defense Supercycle'!G31,'Defense Supercycle'!G32)</f>
        <v>3.5555555555555554</v>
      </c>
      <c r="G10" s="177" t="n"/>
      <c r="H10" s="177" t="n"/>
      <c r="I10" s="177" t="n"/>
      <c r="J10" s="177" t="n"/>
    </row>
    <row r="11" ht="15" customHeight="1">
      <c r="A11" s="177" t="n"/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</row>
    <row r="12" ht="15" customHeight="1">
      <c r="A12" s="28" t="str">
        <f>Hold_Short&amp;"-YEAR HOLD — CLUSTER GROSS PROCEEDS &amp; MOIC"</f>
        <v>5-YEAR HOLD — CLUSTER GROSS PROCEEDS &amp; MOIC</v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</row>
    <row r="13" ht="27.75" customHeight="1">
      <c r="A13" s="186" t="inlineStr">
        <is>
          <t>Cluster</t>
        </is>
      </c>
      <c r="B13" s="186" t="inlineStr">
        <is>
          <t>Check ($M)</t>
        </is>
      </c>
      <c r="C13" s="186" t="inlineStr">
        <is>
          <t>Base $</t>
        </is>
      </c>
      <c r="D13" s="186" t="inlineStr">
        <is>
          <t>Base MOIC</t>
        </is>
      </c>
      <c r="E13" s="186" t="inlineStr">
        <is>
          <t>Bull $</t>
        </is>
      </c>
      <c r="F13" s="186" t="inlineStr">
        <is>
          <t>Bull MOIC</t>
        </is>
      </c>
      <c r="G13" s="186" t="inlineStr">
        <is>
          <t>Bear $</t>
        </is>
      </c>
      <c r="H13" s="186" t="inlineStr">
        <is>
          <t>Bear MOIC</t>
        </is>
      </c>
      <c r="I13" s="21" t="inlineStr">
        <is>
          <t>Shock $</t>
        </is>
      </c>
      <c r="J13" s="21" t="inlineStr">
        <is>
          <t>Shock MOIC</t>
        </is>
      </c>
    </row>
    <row r="14" ht="27.75" customHeight="1">
      <c r="A14" s="183" t="inlineStr">
        <is>
          <t>TSMC-alternative: packaging &amp; substrates</t>
        </is>
      </c>
      <c r="B14" s="57">
        <f>Assumptions!C18+Assumptions!C19+Assumptions!C20</f>
        <v>132.5</v>
      </c>
      <c r="C14" s="61">
        <f>'Portfolio Returns'!C6+'Portfolio Returns'!C7+'Portfolio Returns'!C8</f>
        <v>293.6193433804</v>
      </c>
      <c r="D14" s="36">
        <f>C14/B14</f>
        <v>2.215995044380377</v>
      </c>
      <c r="E14" s="61">
        <f>'Portfolio Returns'!F6+'Portfolio Returns'!F7+'Portfolio Returns'!F8</f>
        <v>470.4887637508</v>
      </c>
      <c r="F14" s="36">
        <f>E14/B14</f>
        <v>3.55085859434566</v>
      </c>
      <c r="G14" s="61">
        <f>'Portfolio Returns'!I6+'Portfolio Returns'!I7+'Portfolio Returns'!I8</f>
        <v>66.06491948225</v>
      </c>
      <c r="H14" s="36">
        <f>G14/B14</f>
        <v>0.4986031659037736</v>
      </c>
      <c r="I14" s="62">
        <f>'Portfolio Returns'!L6+'Portfolio Returns'!L7+'Portfolio Returns'!L8</f>
        <v>581.3072710280683</v>
      </c>
      <c r="J14" s="37">
        <f>I14/B14</f>
        <v>4.387224687004289</v>
      </c>
    </row>
    <row r="15" ht="15" customHeight="1">
      <c r="A15" s="183" t="inlineStr">
        <is>
          <t>Denied-environment edge AI</t>
        </is>
      </c>
      <c r="B15" s="57">
        <f>Assumptions!C21+Assumptions!C22</f>
        <v>62.0</v>
      </c>
      <c r="C15" s="61">
        <f>'Portfolio Returns'!C9+'Portfolio Returns'!C10</f>
        <v>132.23902762495996</v>
      </c>
      <c r="D15" s="36">
        <f>C15/B15</f>
        <v>2.132887542338064</v>
      </c>
      <c r="E15" s="61">
        <f>'Portfolio Returns'!F9+'Portfolio Returns'!F10</f>
        <v>212.61652828159995</v>
      </c>
      <c r="F15" s="36">
        <f>E15/B15</f>
        <v>3.4292988432516123</v>
      </c>
      <c r="G15" s="61">
        <f>'Portfolio Returns'!I9+'Portfolio Returns'!I10</f>
        <v>41.289167823279996</v>
      </c>
      <c r="H15" s="36">
        <f>G15/B15</f>
        <v>0.6659543197303225</v>
      </c>
      <c r="I15" s="62">
        <f>'Portfolio Returns'!L9+'Portfolio Returns'!L10</f>
        <v>156.01273626446556</v>
      </c>
      <c r="J15" s="37">
        <f>I15/B15</f>
        <v>2.516334455878477</v>
      </c>
    </row>
    <row r="16" ht="15" customHeight="1">
      <c r="A16" s="183" t="inlineStr">
        <is>
          <t>Post-Moore's next-gen compute</t>
        </is>
      </c>
      <c r="B16" s="57">
        <f>Assumptions!C23+Assumptions!C24+Assumptions!C25</f>
        <v>49.0</v>
      </c>
      <c r="C16" s="61">
        <f>'Portfolio Returns'!C11+'Portfolio Returns'!C12+'Portfolio Returns'!C13</f>
        <v>120.988653301575</v>
      </c>
      <c r="D16" s="36">
        <f>C16/B16</f>
        <v>2.469156189828061</v>
      </c>
      <c r="E16" s="61">
        <f>'Portfolio Returns'!F11+'Portfolio Returns'!F12+'Portfolio Returns'!F13</f>
        <v>191.541348266355</v>
      </c>
      <c r="F16" s="36">
        <f>E16/B16</f>
        <v>3.9090071074766324</v>
      </c>
      <c r="G16" s="61">
        <f>'Portfolio Returns'!I11+'Portfolio Returns'!I12+'Portfolio Returns'!I13</f>
        <v>17.62832998512</v>
      </c>
      <c r="H16" s="36">
        <f>G16/B16</f>
        <v>0.35976183643102044</v>
      </c>
      <c r="I16" s="62">
        <f>'Portfolio Returns'!L11+'Portfolio Returns'!L12+'Portfolio Returns'!L13</f>
        <v>163.39703836960865</v>
      </c>
      <c r="J16" s="37">
        <f>I16/B16</f>
        <v>3.334633436114462</v>
      </c>
    </row>
    <row r="17" ht="15" customHeight="1">
      <c r="A17" s="183" t="inlineStr">
        <is>
          <t>Autonomous sensing (adjacent)</t>
        </is>
      </c>
      <c r="B17" s="57">
        <f>Assumptions!C26</f>
        <v>6.5</v>
      </c>
      <c r="C17" s="61">
        <f>'Portfolio Returns'!C14</f>
        <v>18.983755448320004</v>
      </c>
      <c r="D17" s="36">
        <f>C17/B17</f>
        <v>2.9205777612800006</v>
      </c>
      <c r="E17" s="61">
        <f>'Portfolio Returns'!F14</f>
        <v>29.714775999999993</v>
      </c>
      <c r="F17" s="36">
        <f>E17/B17</f>
        <v>4.571503999999999</v>
      </c>
      <c r="G17" s="61">
        <f>'Portfolio Returns'!I14</f>
        <v>1.3111083984375</v>
      </c>
      <c r="H17" s="36">
        <f>G17/B17</f>
        <v>0.201708984375</v>
      </c>
      <c r="I17" s="62">
        <f>'Portfolio Returns'!L14</f>
        <v>14.689268088071781</v>
      </c>
      <c r="J17" s="37">
        <f>I17/B17</f>
        <v>2.2598873981648895</v>
      </c>
    </row>
    <row r="18" ht="15" customHeight="1">
      <c r="A18" s="53" t="inlineStr">
        <is>
          <t>SLEEVE TOTAL</t>
        </is>
      </c>
      <c r="B18" s="73">
        <f>SUM(B14:B17)</f>
        <v>250.0</v>
      </c>
      <c r="C18" s="73">
        <f>SUM(C14:C17)</f>
        <v>565.830779755255</v>
      </c>
      <c r="D18" s="74">
        <f>C18/B18</f>
        <v>2.26332311902102</v>
      </c>
      <c r="E18" s="73">
        <f>SUM(E14:E17)</f>
        <v>904.3614162987549</v>
      </c>
      <c r="F18" s="74">
        <f>E18/B18</f>
        <v>3.6174456651950195</v>
      </c>
      <c r="G18" s="73">
        <f>SUM(G14:G17)</f>
        <v>126.2935256890875</v>
      </c>
      <c r="H18" s="74">
        <f>G18/B18</f>
        <v>0.50517410275635</v>
      </c>
      <c r="I18" s="75">
        <f>SUM(I14:I17)</f>
        <v>915.4063137502143</v>
      </c>
      <c r="J18" s="76">
        <f>I18/B18</f>
        <v>3.6616252550008572</v>
      </c>
    </row>
    <row r="19" ht="15" customHeight="1">
      <c r="A19" s="177" t="n"/>
      <c r="B19" s="177" t="n"/>
      <c r="C19" s="177" t="n"/>
      <c r="D19" s="177" t="n"/>
      <c r="E19" s="177" t="n"/>
      <c r="F19" s="177" t="n"/>
      <c r="G19" s="177" t="n"/>
      <c r="H19" s="177" t="n"/>
      <c r="I19" s="177" t="n"/>
      <c r="J19" s="177" t="n"/>
    </row>
    <row r="20" ht="15" customHeight="1">
      <c r="A20" s="28" t="str">
        <f>Hold_Mid&amp;"-YEAR HOLD — CLUSTER GROSS PROCEEDS &amp; MOIC"</f>
        <v>7-YEAR HOLD — CLUSTER GROSS PROCEEDS &amp; MOIC</v>
      </c>
      <c r="B20" s="177" t="n"/>
      <c r="C20" s="177" t="n"/>
      <c r="D20" s="177" t="n"/>
      <c r="E20" s="177" t="n"/>
      <c r="F20" s="177" t="n"/>
      <c r="G20" s="177" t="n"/>
      <c r="H20" s="177" t="n"/>
      <c r="I20" s="177" t="n"/>
      <c r="J20" s="177" t="n"/>
    </row>
    <row r="21" ht="27.75" customHeight="1">
      <c r="A21" s="186" t="inlineStr">
        <is>
          <t>Cluster</t>
        </is>
      </c>
      <c r="B21" s="186" t="inlineStr">
        <is>
          <t>Check ($M)</t>
        </is>
      </c>
      <c r="C21" s="186" t="inlineStr">
        <is>
          <t>Base $</t>
        </is>
      </c>
      <c r="D21" s="186" t="inlineStr">
        <is>
          <t>Base MOIC</t>
        </is>
      </c>
      <c r="E21" s="186" t="inlineStr">
        <is>
          <t>Bull $</t>
        </is>
      </c>
      <c r="F21" s="186" t="inlineStr">
        <is>
          <t>Bull MOIC</t>
        </is>
      </c>
      <c r="G21" s="186" t="inlineStr">
        <is>
          <t>Bear $</t>
        </is>
      </c>
      <c r="H21" s="186" t="inlineStr">
        <is>
          <t>Bear MOIC</t>
        </is>
      </c>
      <c r="I21" s="21" t="inlineStr">
        <is>
          <t>Shock $</t>
        </is>
      </c>
      <c r="J21" s="21" t="inlineStr">
        <is>
          <t>Shock MOIC</t>
        </is>
      </c>
    </row>
    <row r="22" ht="27.75" customHeight="1">
      <c r="A22" s="183" t="inlineStr">
        <is>
          <t>TSMC-alternative: packaging &amp; substrates</t>
        </is>
      </c>
      <c r="B22" s="57">
        <f>Assumptions!C18+Assumptions!C19+Assumptions!C20</f>
        <v>132.5</v>
      </c>
      <c r="C22" s="61">
        <f>'Portfolio Returns'!C20+'Portfolio Returns'!C21+'Portfolio Returns'!C22</f>
        <v>398.0555065930336</v>
      </c>
      <c r="D22" s="36">
        <f>C22/B22</f>
        <v>3.004192502588933</v>
      </c>
      <c r="E22" s="61">
        <f>'Portfolio Returns'!F20+'Portfolio Returns'!F21+'Portfolio Returns'!F22</f>
        <v>769.336384910848</v>
      </c>
      <c r="F22" s="36">
        <f>E22/B22</f>
        <v>5.806312338949796</v>
      </c>
      <c r="G22" s="61">
        <f>'Portfolio Returns'!I20+'Portfolio Returns'!I21+'Portfolio Returns'!I22</f>
        <v>52.728572409365206</v>
      </c>
      <c r="H22" s="36">
        <f>G22/B22</f>
        <v>0.3979514898820016</v>
      </c>
      <c r="I22" s="62">
        <f>'Portfolio Returns'!L20+'Portfolio Returns'!L21+'Portfolio Returns'!L22</f>
        <v>1034.8882055022498</v>
      </c>
      <c r="J22" s="37">
        <f>I22/B22</f>
        <v>7.810477022658489</v>
      </c>
    </row>
    <row r="23" ht="15" customHeight="1">
      <c r="A23" s="183" t="inlineStr">
        <is>
          <t>Denied-environment edge AI</t>
        </is>
      </c>
      <c r="B23" s="57">
        <f>Assumptions!C21+Assumptions!C22</f>
        <v>62.0</v>
      </c>
      <c r="C23" s="61">
        <f>'Portfolio Returns'!C23+'Portfolio Returns'!C24</f>
        <v>176.67760957240438</v>
      </c>
      <c r="D23" s="36">
        <f>C23/B23</f>
        <v>2.8496388640710384</v>
      </c>
      <c r="E23" s="61">
        <f>'Portfolio Returns'!F23+'Portfolio Returns'!F24</f>
        <v>343.0398806634528</v>
      </c>
      <c r="F23" s="36">
        <f>E23/B23</f>
        <v>5.532901301023432</v>
      </c>
      <c r="G23" s="61">
        <f>'Portfolio Returns'!I23+'Portfolio Returns'!I24</f>
        <v>34.60101499528778</v>
      </c>
      <c r="H23" s="36">
        <f>G23/B23</f>
        <v>0.5580808870207706</v>
      </c>
      <c r="I23" s="62">
        <f>'Portfolio Returns'!L23+'Portfolio Returns'!L24</f>
        <v>221.47569455830293</v>
      </c>
      <c r="J23" s="37">
        <f>I23/B23</f>
        <v>3.572188621908112</v>
      </c>
    </row>
    <row r="24" ht="15" customHeight="1">
      <c r="A24" s="183" t="inlineStr">
        <is>
          <t>Post-Moore's next-gen compute</t>
        </is>
      </c>
      <c r="B24" s="57">
        <f>Assumptions!C23+Assumptions!C24+Assumptions!C25</f>
        <v>49.0</v>
      </c>
      <c r="C24" s="61">
        <f>'Portfolio Returns'!C25+'Portfolio Returns'!C26+'Portfolio Returns'!C27</f>
        <v>174.85609267248375</v>
      </c>
      <c r="D24" s="36">
        <f>C24/B24</f>
        <v>3.568491687193546</v>
      </c>
      <c r="E24" s="61">
        <f>'Portfolio Returns'!F25+'Portfolio Returns'!F26+'Portfolio Returns'!F27</f>
        <v>331.18438449301044</v>
      </c>
      <c r="F24" s="36">
        <f>E24/B24</f>
        <v>6.758864989653274</v>
      </c>
      <c r="G24" s="61">
        <f>'Portfolio Returns'!I25+'Portfolio Returns'!I26+'Portfolio Returns'!I27</f>
        <v>12.027337483290856</v>
      </c>
      <c r="H24" s="36">
        <f>G24/B24</f>
        <v>0.24545586700593583</v>
      </c>
      <c r="I24" s="62">
        <f>'Portfolio Returns'!L25+'Portfolio Returns'!L26+'Portfolio Returns'!L27</f>
        <v>266.1519865960316</v>
      </c>
      <c r="J24" s="37">
        <f>I24/B24</f>
        <v>5.431673195837379</v>
      </c>
    </row>
    <row r="25" ht="15" customHeight="1">
      <c r="A25" s="183" t="inlineStr">
        <is>
          <t>Autonomous sensing (adjacent)</t>
        </is>
      </c>
      <c r="B25" s="57">
        <f>Assumptions!C26</f>
        <v>6.5</v>
      </c>
      <c r="C25" s="61">
        <f>'Portfolio Returns'!C28</f>
        <v>28.541562638460526</v>
      </c>
      <c r="D25" s="36">
        <f>C25/B25</f>
        <v>4.391009636686235</v>
      </c>
      <c r="E25" s="61">
        <f>'Portfolio Returns'!F28</f>
        <v>53.44464652799997</v>
      </c>
      <c r="F25" s="36">
        <f>E25/B25</f>
        <v>8.222253311999996</v>
      </c>
      <c r="G25" s="61">
        <f>'Portfolio Returns'!I28</f>
        <v>0.6767633056640625</v>
      </c>
      <c r="H25" s="36">
        <f>G25/B25</f>
        <v>0.10411743164062501</v>
      </c>
      <c r="I25" s="62">
        <f>'Portfolio Returns'!L28</f>
        <v>19.931637679232914</v>
      </c>
      <c r="J25" s="37">
        <f>I25/B25</f>
        <v>3.0664057968050638</v>
      </c>
    </row>
    <row r="26" ht="15" customHeight="1">
      <c r="A26" s="53" t="inlineStr">
        <is>
          <t>SLEEVE TOTAL</t>
        </is>
      </c>
      <c r="B26" s="73">
        <f>SUM(B22:B25)</f>
        <v>250.0</v>
      </c>
      <c r="C26" s="73">
        <f>SUM(C22:C25)</f>
        <v>778.1307714763823</v>
      </c>
      <c r="D26" s="74">
        <f>C26/B26</f>
        <v>3.1125230859055293</v>
      </c>
      <c r="E26" s="73">
        <f>SUM(E22:E25)</f>
        <v>1497.0052965953112</v>
      </c>
      <c r="F26" s="74">
        <f>E26/B26</f>
        <v>5.9880211863812445</v>
      </c>
      <c r="G26" s="73">
        <f>SUM(G22:G25)</f>
        <v>100.0336881936079</v>
      </c>
      <c r="H26" s="74">
        <f>G26/B26</f>
        <v>0.4001347527744316</v>
      </c>
      <c r="I26" s="75">
        <f>SUM(I22:I25)</f>
        <v>1542.447524335817</v>
      </c>
      <c r="J26" s="76">
        <f>I26/B26</f>
        <v>6.1697900973432676</v>
      </c>
    </row>
    <row r="27" ht="15" customHeight="1">
      <c r="A27" s="177" t="n"/>
      <c r="B27" s="177" t="n"/>
      <c r="C27" s="177" t="n"/>
      <c r="D27" s="177" t="n"/>
      <c r="E27" s="177" t="n"/>
      <c r="F27" s="177" t="n"/>
      <c r="G27" s="177" t="n"/>
      <c r="H27" s="177" t="n"/>
      <c r="I27" s="177" t="n"/>
      <c r="J27" s="177" t="n"/>
    </row>
    <row r="28" ht="15" customHeight="1">
      <c r="A28" s="28" t="str">
        <f>Hold_Long&amp;"-YEAR HOLD — CLUSTER GROSS PROCEEDS &amp; MOIC"</f>
        <v>10-YEAR HOLD — CLUSTER GROSS PROCEEDS &amp; MOIC</v>
      </c>
      <c r="B28" s="177" t="n"/>
      <c r="C28" s="177" t="n"/>
      <c r="D28" s="177" t="n"/>
      <c r="E28" s="177" t="n"/>
      <c r="F28" s="177" t="n"/>
      <c r="G28" s="177" t="n"/>
      <c r="H28" s="177" t="n"/>
      <c r="I28" s="177" t="n"/>
      <c r="J28" s="177" t="n"/>
    </row>
    <row r="29" ht="27.75" customHeight="1">
      <c r="A29" s="186" t="inlineStr">
        <is>
          <t>Cluster</t>
        </is>
      </c>
      <c r="B29" s="186" t="inlineStr">
        <is>
          <t>Check ($M)</t>
        </is>
      </c>
      <c r="C29" s="186" t="inlineStr">
        <is>
          <t>Base $</t>
        </is>
      </c>
      <c r="D29" s="186" t="inlineStr">
        <is>
          <t>Base MOIC</t>
        </is>
      </c>
      <c r="E29" s="186" t="inlineStr">
        <is>
          <t>Bull $</t>
        </is>
      </c>
      <c r="F29" s="186" t="inlineStr">
        <is>
          <t>Bull MOIC</t>
        </is>
      </c>
      <c r="G29" s="186" t="inlineStr">
        <is>
          <t>Bear $</t>
        </is>
      </c>
      <c r="H29" s="186" t="inlineStr">
        <is>
          <t>Bear MOIC</t>
        </is>
      </c>
      <c r="I29" s="21" t="inlineStr">
        <is>
          <t>Shock $</t>
        </is>
      </c>
      <c r="J29" s="21" t="inlineStr">
        <is>
          <t>Shock MOIC</t>
        </is>
      </c>
    </row>
    <row r="30" ht="27.75" customHeight="1">
      <c r="A30" s="183" t="inlineStr">
        <is>
          <t>TSMC-alternative: packaging &amp; substrates</t>
        </is>
      </c>
      <c r="B30" s="57">
        <f>Assumptions!C18+Assumptions!C19+Assumptions!C20</f>
        <v>132.5</v>
      </c>
      <c r="C30" s="61">
        <f>'Portfolio Returns'!C34+'Portfolio Returns'!C35+'Portfolio Returns'!C36</f>
        <v>627.3102624970015</v>
      </c>
      <c r="D30" s="36">
        <f>C30/B30</f>
        <v>4.734417075449068</v>
      </c>
      <c r="E30" s="61">
        <f>'Portfolio Returns'!F34+'Portfolio Returns'!F35+'Portfolio Returns'!F36</f>
        <v>1604.4208501762275</v>
      </c>
      <c r="F30" s="36">
        <f>E30/B30</f>
        <v>12.108836605103605</v>
      </c>
      <c r="G30" s="61">
        <f>'Portfolio Returns'!I34+'Portfolio Returns'!I35+'Portfolio Returns'!I36</f>
        <v>40.227847176826366</v>
      </c>
      <c r="H30" s="36">
        <f>G30/B30</f>
        <v>0.3036063937873688</v>
      </c>
      <c r="I30" s="62">
        <f>'Portfolio Returns'!L34+'Portfolio Returns'!L35+'Portfolio Returns'!L36</f>
        <v>2451.6352446661667</v>
      </c>
      <c r="J30" s="37">
        <f>I30/B30</f>
        <v>18.502907506914465</v>
      </c>
    </row>
    <row r="31" ht="15" customHeight="1">
      <c r="A31" s="183" t="inlineStr">
        <is>
          <t>Denied-environment edge AI</t>
        </is>
      </c>
      <c r="B31" s="57">
        <f>Assumptions!C21+Assumptions!C22</f>
        <v>62.0</v>
      </c>
      <c r="C31" s="61">
        <f>'Portfolio Returns'!C37+'Portfolio Returns'!C38</f>
        <v>272.7413243893211</v>
      </c>
      <c r="D31" s="36">
        <f>C31/B31</f>
        <v>4.399053619182599</v>
      </c>
      <c r="E31" s="61">
        <f>'Portfolio Returns'!F37+'Portfolio Returns'!F38</f>
        <v>701.8325802878892</v>
      </c>
      <c r="F31" s="36">
        <f>E31/B31</f>
        <v>11.31988032722402</v>
      </c>
      <c r="G31" s="61">
        <f>'Portfolio Returns'!I37+'Portfolio Returns'!I38</f>
        <v>26.510916064129386</v>
      </c>
      <c r="H31" s="36">
        <f>G31/B31</f>
        <v>0.42759542038918363</v>
      </c>
      <c r="I31" s="62">
        <f>'Portfolio Returns'!L37+'Portfolio Returns'!L38</f>
        <v>372.37855281470104</v>
      </c>
      <c r="J31" s="37">
        <f>I31/B31</f>
        <v>6.006105690559695</v>
      </c>
    </row>
    <row r="32" ht="15" customHeight="1">
      <c r="A32" s="183" t="inlineStr">
        <is>
          <t>Post-Moore's next-gen compute</t>
        </is>
      </c>
      <c r="B32" s="57">
        <f>Assumptions!C23+Assumptions!C24+Assumptions!C25</f>
        <v>49.0</v>
      </c>
      <c r="C32" s="61">
        <f>'Portfolio Returns'!C39+'Portfolio Returns'!C40+'Portfolio Returns'!C41</f>
        <v>309.2221994388631</v>
      </c>
      <c r="D32" s="36">
        <f>C32/B32</f>
        <v>6.310657131405369</v>
      </c>
      <c r="E32" s="61">
        <f>'Portfolio Returns'!F39+'Portfolio Returns'!F40+'Portfolio Returns'!F41</f>
        <v>763.5932010303931</v>
      </c>
      <c r="F32" s="36">
        <f>E32/B32</f>
        <v>15.58353471490598</v>
      </c>
      <c r="G32" s="61">
        <f>'Portfolio Returns'!I39+'Portfolio Returns'!I40+'Portfolio Returns'!I41</f>
        <v>6.975684965332155</v>
      </c>
      <c r="H32" s="36">
        <f>G32/B32</f>
        <v>0.1423609176598399</v>
      </c>
      <c r="I32" s="62">
        <f>'Portfolio Returns'!L39+'Portfolio Returns'!L40+'Portfolio Returns'!L41</f>
        <v>562.8442780827656</v>
      </c>
      <c r="J32" s="37">
        <f>I32/B32</f>
        <v>11.486617920056442</v>
      </c>
    </row>
    <row r="33" ht="15" customHeight="1">
      <c r="A33" s="183" t="inlineStr">
        <is>
          <t>Autonomous sensing (adjacent)</t>
        </is>
      </c>
      <c r="B33" s="57">
        <f>Assumptions!C26</f>
        <v>6.5</v>
      </c>
      <c r="C33" s="61">
        <f>'Portfolio Returns'!C42</f>
        <v>52.18214963570959</v>
      </c>
      <c r="D33" s="36">
        <f>C33/B33</f>
        <v>8.028023020878399</v>
      </c>
      <c r="E33" s="61">
        <f>'Portfolio Returns'!F42</f>
        <v>127.85055749939193</v>
      </c>
      <c r="F33" s="36">
        <f>E33/B33</f>
        <v>19.669316538367987</v>
      </c>
      <c r="G33" s="61">
        <f>'Portfolio Returns'!I42</f>
        <v>0.24890573501586916</v>
      </c>
      <c r="H33" s="36">
        <f>G33/B33</f>
        <v>0.038293190002441406</v>
      </c>
      <c r="I33" s="62">
        <f>'Portfolio Returns'!L42</f>
        <v>31.24338055576384</v>
      </c>
      <c r="J33" s="37">
        <f>I33/B33</f>
        <v>4.8066739316559755</v>
      </c>
    </row>
    <row r="34" ht="15" customHeight="1">
      <c r="A34" s="53" t="inlineStr">
        <is>
          <t>SLEEVE TOTAL</t>
        </is>
      </c>
      <c r="B34" s="73">
        <f>SUM(B30:B33)</f>
        <v>250.0</v>
      </c>
      <c r="C34" s="73">
        <f>SUM(C30:C33)</f>
        <v>1261.4559359608952</v>
      </c>
      <c r="D34" s="74">
        <f>C34/B34</f>
        <v>5.045823743843581</v>
      </c>
      <c r="E34" s="73">
        <f>SUM(E30:E33)</f>
        <v>3197.697188993902</v>
      </c>
      <c r="F34" s="74">
        <f>E34/B34</f>
        <v>12.790788755975607</v>
      </c>
      <c r="G34" s="73">
        <f>SUM(G30:G33)</f>
        <v>73.96335394130377</v>
      </c>
      <c r="H34" s="74">
        <f>G34/B34</f>
        <v>0.29585341576521507</v>
      </c>
      <c r="I34" s="75">
        <f>SUM(I30:I33)</f>
        <v>3418.101456119397</v>
      </c>
      <c r="J34" s="76">
        <f>I34/B34</f>
        <v>13.672405824477588</v>
      </c>
    </row>
    <row r="35" ht="15" customHeight="1">
      <c r="A35" s="177" t="n"/>
      <c r="B35" s="177" t="n"/>
      <c r="C35" s="177" t="n"/>
      <c r="D35" s="177" t="n"/>
      <c r="E35" s="177" t="n"/>
      <c r="F35" s="177" t="n"/>
      <c r="G35" s="177" t="n"/>
      <c r="H35" s="177" t="n"/>
      <c r="I35" s="177" t="n"/>
      <c r="J35" s="177" t="n"/>
    </row>
    <row r="36" ht="25.5" customHeight="1">
      <c r="A36" s="179" t="inlineStr">
        <is>
          <t>Read: sized by strategic function, the sleeve is ~53% TSMC-alternative packaging/substrates (the sovereign core), ~25% denied-environment edge AI, ~20% next-gen compute, ~3% adjacent autonomy — a deliberate overweight to the domestic fail-safe chokepoints that re-rate hardest in a Taiwan/TSMC shock.</t>
        </is>
      </c>
    </row>
  </sheetData>
  <mergeCells count="1">
    <mergeCell ref="A36:J36"/>
  </mergeCells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V63"/>
  <sheetViews>
    <sheetView showGridLines="0" tabSelected="0" zoomScale="90" zoomScaleNormal="100" workbookViewId="0">
      <pane xSplit="1" ySplit="11" topLeftCell="B1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8.6640625" defaultRowHeight="15"/>
  <cols>
    <col width="24" customWidth="1" min="1" max="1"/>
    <col width="12" customWidth="1" min="2" max="2"/>
    <col width="10" customWidth="1" min="3" max="4"/>
    <col width="24" customWidth="1" min="5" max="5"/>
    <col width="9" customWidth="1" min="6" max="6"/>
    <col width="10" customWidth="1" min="7" max="9"/>
    <col width="24" customWidth="1" min="10" max="10"/>
    <col width="10" customWidth="1" min="11" max="11"/>
    <col width="11" customWidth="1" min="12" max="14"/>
    <col width="13" customWidth="1" min="16" max="22"/>
  </cols>
  <sheetData>
    <row r="1" ht="18" customHeight="1">
      <c r="A1" s="9" t="inlineStr">
        <is>
          <t>WEAPONS SLEEVE — BOTTOM-UP ($390M)</t>
        </is>
      </c>
      <c r="B1" s="177" t="n"/>
      <c r="C1" s="177" t="n"/>
      <c r="D1" s="177" t="n"/>
      <c r="E1" s="177" t="n"/>
      <c r="F1" s="177" t="n"/>
      <c r="G1" s="177" t="n"/>
      <c r="H1" s="177" t="n"/>
      <c r="I1" s="177" t="n"/>
      <c r="J1" s="177" t="n"/>
      <c r="K1" s="177" t="n"/>
      <c r="L1" s="177" t="n"/>
      <c r="M1" s="177" t="n"/>
      <c r="N1" s="177" t="n"/>
    </row>
    <row r="2" ht="15" customHeight="1">
      <c r="A2" s="180" t="inlineStr">
        <is>
          <t>Physical-layer defense holdings. Blue = input. Most entry marks are estimates; several names are access-constrained (see flags). Proceeds use munitions/FMS-adjusted CAGRs (cols S:V).</t>
        </is>
      </c>
      <c r="B2" s="177" t="n"/>
      <c r="C2" s="177" t="n"/>
      <c r="D2" s="177" t="n"/>
      <c r="E2" s="177" t="n"/>
      <c r="F2" s="177" t="n"/>
      <c r="G2" s="177" t="n"/>
      <c r="H2" s="177" t="n"/>
      <c r="I2" s="177" t="n"/>
      <c r="J2" s="177" t="n"/>
      <c r="K2" s="177" t="n"/>
      <c r="L2" s="177" t="n"/>
      <c r="M2" s="177" t="n"/>
      <c r="N2" s="177" t="n"/>
    </row>
    <row r="3" ht="15" customHeight="1">
      <c r="A3" s="177" t="n"/>
      <c r="B3" s="177" t="n"/>
      <c r="C3" s="177" t="n"/>
      <c r="D3" s="177" t="n"/>
      <c r="E3" s="177" t="n"/>
      <c r="F3" s="177" t="n"/>
      <c r="G3" s="177" t="n"/>
      <c r="H3" s="177" t="n"/>
      <c r="I3" s="177" t="n"/>
      <c r="J3" s="177" t="n"/>
      <c r="K3" s="177" t="n"/>
      <c r="L3" s="177" t="n"/>
      <c r="M3" s="177" t="n"/>
      <c r="N3" s="177" t="n"/>
    </row>
    <row r="4" ht="15" customHeight="1">
      <c r="A4" s="11" t="inlineStr">
        <is>
          <t>SLEEVE TERMS</t>
        </is>
      </c>
      <c r="B4" s="177" t="n"/>
      <c r="C4" s="177" t="n"/>
      <c r="D4" s="177" t="n"/>
      <c r="E4" s="177" t="n"/>
      <c r="F4" s="177" t="n"/>
      <c r="G4" s="177" t="n"/>
      <c r="H4" s="177" t="n"/>
      <c r="I4" s="177" t="n"/>
      <c r="J4" s="177" t="n"/>
      <c r="K4" s="177" t="n"/>
      <c r="L4" s="177" t="n"/>
      <c r="M4" s="177" t="n"/>
      <c r="N4" s="177" t="n"/>
      <c r="P4" s="131" t="inlineStr">
        <is>
          <t>MUNITIONS / FMS OVERLAY — CAGR UPLIFT PER EXPOSURE POINT</t>
        </is>
      </c>
    </row>
    <row r="5" ht="15" customHeight="1">
      <c r="A5" s="25" t="inlineStr">
        <is>
          <t>Committed ($M)</t>
        </is>
      </c>
      <c r="B5" s="45">
        <f>Wpn_Size</f>
        <v>390</v>
      </c>
      <c r="C5" s="177" t="n"/>
      <c r="D5" s="177" t="n"/>
      <c r="E5" s="177" t="n"/>
      <c r="F5" s="177" t="n"/>
      <c r="G5" s="177" t="n"/>
      <c r="H5" s="177" t="n"/>
      <c r="I5" s="177" t="n"/>
      <c r="J5" s="177" t="n"/>
      <c r="K5" s="177" t="n"/>
      <c r="L5" s="177" t="n"/>
      <c r="M5" s="177" t="n"/>
      <c r="N5" s="177" t="n"/>
      <c r="P5" t="inlineStr">
        <is>
          <t>Base uplift / pt</t>
        </is>
      </c>
      <c r="Q5" s="134" t="n">
        <v>0.005</v>
      </c>
    </row>
    <row r="6" ht="15" customHeight="1">
      <c r="A6" s="25" t="str">
        <f>"Retention @ "&amp;Hold_Short&amp;"yr"</f>
        <v>Retention @ 5yr</v>
      </c>
      <c r="B6" s="27" t="n">
        <v>0.92</v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P6" t="inlineStr">
        <is>
          <t>Bull uplift / pt</t>
        </is>
      </c>
      <c r="Q6" s="134" t="n">
        <v>0.008</v>
      </c>
    </row>
    <row r="7" ht="15" customHeight="1">
      <c r="A7" s="25" t="str">
        <f>"Retention @ "&amp;Hold_Mid&amp;"yr"</f>
        <v>Retention @ 7yr</v>
      </c>
      <c r="B7" s="27" t="n">
        <v>0.88</v>
      </c>
      <c r="C7" s="177" t="n"/>
      <c r="D7" s="177" t="n"/>
      <c r="E7" s="177" t="n"/>
      <c r="F7" s="177" t="n"/>
      <c r="G7" s="177" t="n"/>
      <c r="H7" s="177" t="n"/>
      <c r="I7" s="177" t="n"/>
      <c r="J7" s="177" t="n"/>
      <c r="K7" s="177" t="n"/>
      <c r="L7" s="177" t="n"/>
      <c r="M7" s="177" t="n"/>
      <c r="N7" s="177" t="n"/>
      <c r="P7" t="inlineStr">
        <is>
          <t>Bear uplift / pt (backlog cushion)</t>
        </is>
      </c>
      <c r="Q7" s="134" t="n">
        <v>0.004</v>
      </c>
    </row>
    <row r="8" ht="15" customHeight="1">
      <c r="A8" s="25" t="str">
        <f>"Retention @ "&amp;Hold_Long&amp;"yr"</f>
        <v>Retention @ 10yr</v>
      </c>
      <c r="B8" s="27" t="n">
        <v>0.82</v>
      </c>
      <c r="C8" s="177" t="n"/>
      <c r="D8" s="177" t="n"/>
      <c r="E8" s="177" t="n"/>
      <c r="F8" s="177" t="n"/>
      <c r="G8" s="177" t="n"/>
      <c r="H8" s="177" t="n"/>
      <c r="I8" s="177" t="n"/>
      <c r="J8" s="177" t="n"/>
      <c r="K8" s="177" t="n"/>
      <c r="L8" s="177" t="n"/>
      <c r="M8" s="177" t="n"/>
      <c r="N8" s="177" t="n"/>
      <c r="P8" t="inlineStr">
        <is>
          <t>Shock uplift / pt</t>
        </is>
      </c>
      <c r="Q8" s="134" t="n">
        <v>0.006</v>
      </c>
    </row>
    <row r="9" ht="15" customHeight="1">
      <c r="A9" s="177" t="n"/>
      <c r="B9" s="177" t="n"/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n"/>
      <c r="L9" s="177" t="n"/>
      <c r="M9" s="177" t="n"/>
      <c r="N9" s="177" t="n"/>
    </row>
    <row r="10" ht="15" customHeight="1">
      <c r="A10" s="11" t="inlineStr">
        <is>
          <t>HOLDINGS, ENTRY MARKS &amp; GROWTH ASSUMPTIONS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</row>
    <row r="11" ht="27.75" customHeight="1">
      <c r="A11" s="186" t="inlineStr">
        <is>
          <t>Company</t>
        </is>
      </c>
      <c r="B11" s="186" t="inlineStr">
        <is>
          <t>Entry post-$M</t>
        </is>
      </c>
      <c r="C11" s="186" t="inlineStr">
        <is>
          <t>Check ($M)</t>
        </is>
      </c>
      <c r="D11" s="186" t="inlineStr">
        <is>
          <t>Own %</t>
        </is>
      </c>
      <c r="E11" s="186" t="inlineStr">
        <is>
          <t>Access / structure flag</t>
        </is>
      </c>
      <c r="F11" s="186" t="inlineStr">
        <is>
          <t>Base</t>
        </is>
      </c>
      <c r="G11" s="186" t="inlineStr">
        <is>
          <t>Bull</t>
        </is>
      </c>
      <c r="H11" s="186" t="inlineStr">
        <is>
          <t>Bear</t>
        </is>
      </c>
      <c r="I11" s="21" t="inlineStr">
        <is>
          <t>Shock</t>
        </is>
      </c>
      <c r="J11" s="186" t="inlineStr">
        <is>
          <t>Valuation basis</t>
        </is>
      </c>
      <c r="K11" s="177" t="n"/>
      <c r="L11" s="177" t="n"/>
      <c r="M11" s="177" t="n"/>
      <c r="N11" s="177" t="n"/>
      <c r="P11" s="186" t="inlineStr">
        <is>
          <t>Munitions shortage (0-5)</t>
        </is>
      </c>
      <c r="Q11" s="186" t="inlineStr">
        <is>
          <t>FMS / export backlog (0-5)</t>
        </is>
      </c>
      <c r="R11" s="186" t="inlineStr">
        <is>
          <t>Exposure score</t>
        </is>
      </c>
      <c r="S11" s="186" t="inlineStr">
        <is>
          <t>Adj. Base</t>
        </is>
      </c>
      <c r="T11" s="186" t="inlineStr">
        <is>
          <t>Adj. Bull</t>
        </is>
      </c>
      <c r="U11" s="186" t="inlineStr">
        <is>
          <t>Adj. Bear</t>
        </is>
      </c>
      <c r="V11" s="186" t="inlineStr">
        <is>
          <t>Adj. Shock</t>
        </is>
      </c>
    </row>
    <row r="12" ht="40.5" customHeight="1">
      <c r="A12" s="13" t="inlineStr">
        <is>
          <t>Saronic</t>
        </is>
      </c>
      <c r="B12" s="46" t="n">
        <v>9250</v>
      </c>
      <c r="C12" s="46" t="n">
        <v>70</v>
      </c>
      <c r="D12" s="15">
        <f>C12/B12</f>
        <v>0.0075675675675675675</v>
      </c>
      <c r="E12" s="183" t="inlineStr">
        <is>
          <t>US clean; late/expensive — secondary or late primary</t>
        </is>
      </c>
      <c r="F12" s="47" t="n">
        <v>0.26</v>
      </c>
      <c r="G12" s="47" t="n">
        <v>0.4</v>
      </c>
      <c r="H12" s="47" t="n">
        <v>0</v>
      </c>
      <c r="I12" s="77" t="n">
        <v>0.38</v>
      </c>
      <c r="J12" s="42" t="inlineStr">
        <is>
          <t>Series D Mar-26 $9.25B post</t>
        </is>
      </c>
      <c r="K12" s="177" t="n"/>
      <c r="L12" s="177" t="n"/>
      <c r="M12" s="177" t="n"/>
      <c r="N12" s="177" t="n"/>
      <c r="P12" s="135" t="n">
        <v>2</v>
      </c>
      <c r="Q12" s="135" t="n">
        <v>3</v>
      </c>
      <c r="R12" s="133">
        <f>AVERAGE(P12:Q12)</f>
        <v>2.5</v>
      </c>
      <c r="S12" s="132">
        <f>F12+$R12*$Q$5</f>
        <v>0.2725</v>
      </c>
      <c r="T12" s="132">
        <f>G12+$R12*$Q$6</f>
        <v>0.42000000000000004</v>
      </c>
      <c r="U12" s="132">
        <f>H12+$R12*$Q$7</f>
        <v>0.01</v>
      </c>
      <c r="V12" s="132">
        <f>I12+$R12*$Q$8</f>
        <v>0.395</v>
      </c>
    </row>
    <row r="13" ht="27.75" customHeight="1">
      <c r="A13" s="13" t="inlineStr">
        <is>
          <t>Epirus</t>
        </is>
      </c>
      <c r="B13" s="46" t="n">
        <v>1350</v>
      </c>
      <c r="C13" s="46" t="n">
        <v>45</v>
      </c>
      <c r="D13" s="15">
        <f>C13/B13</f>
        <v>0.03333333333333333</v>
      </c>
      <c r="E13" s="183" t="inlineStr">
        <is>
          <t>US clean; directed energy / HPM</t>
        </is>
      </c>
      <c r="F13" s="47" t="n">
        <v>0.24</v>
      </c>
      <c r="G13" s="47" t="n">
        <v>0.38</v>
      </c>
      <c r="H13" s="47" t="n">
        <v>-0.02</v>
      </c>
      <c r="I13" s="77" t="n">
        <v>0.4</v>
      </c>
      <c r="J13" s="42" t="inlineStr">
        <is>
          <t>Est. — Series D 2025 (~$1.35B)</t>
        </is>
      </c>
      <c r="K13" s="177" t="n"/>
      <c r="L13" s="177" t="n"/>
      <c r="M13" s="177" t="n"/>
      <c r="N13" s="177" t="n"/>
      <c r="P13" s="135" t="n">
        <v>3</v>
      </c>
      <c r="Q13" s="135" t="n">
        <v>3</v>
      </c>
      <c r="R13" s="133">
        <f>AVERAGE(P13:Q13)</f>
        <v>3.0</v>
      </c>
      <c r="S13" s="132">
        <f>F13+$R13*$Q$5</f>
        <v>0.255</v>
      </c>
      <c r="T13" s="132">
        <f>G13+$R13*$Q$6</f>
        <v>0.404</v>
      </c>
      <c r="U13" s="132">
        <f>H13+$R13*$Q$7</f>
        <v>-0.008</v>
      </c>
      <c r="V13" s="132">
        <f>I13+$R13*$Q$8</f>
        <v>0.41800000000000004</v>
      </c>
    </row>
    <row r="14" ht="53.25" customHeight="1">
      <c r="A14" s="13" t="inlineStr">
        <is>
          <t>Israel Aerospace Ind.</t>
        </is>
      </c>
      <c r="B14" s="46" t="n">
        <v>16000</v>
      </c>
      <c r="C14" s="46" t="n">
        <v>40</v>
      </c>
      <c r="D14" s="15">
        <f>C14/B14</f>
        <v>0.0025</v>
      </c>
      <c r="E14" s="183" t="inlineStr">
        <is>
          <t>IPO ATTEMPT (H2-26) — cornerstone/IPO allocation; ITAR/foreign-own. remains</t>
        </is>
      </c>
      <c r="F14" s="47" t="n">
        <v>0.17</v>
      </c>
      <c r="G14" s="47" t="n">
        <v>0.28</v>
      </c>
      <c r="H14" s="47" t="n">
        <v>0.06</v>
      </c>
      <c r="I14" s="77" t="n">
        <v>0.28</v>
      </c>
      <c r="J14" s="42" t="inlineStr">
        <is>
          <t>Est. — IPO-pending (Elbit-comp scale)</t>
        </is>
      </c>
      <c r="K14" s="177" t="n"/>
      <c r="L14" s="177" t="n"/>
      <c r="M14" s="177" t="n"/>
      <c r="N14" s="177" t="n"/>
      <c r="P14" s="135" t="n">
        <v>5</v>
      </c>
      <c r="Q14" s="135" t="n">
        <v>5</v>
      </c>
      <c r="R14" s="133">
        <f>AVERAGE(P14:Q14)</f>
        <v>5.0</v>
      </c>
      <c r="S14" s="132">
        <f>F14+$R14*$Q$5</f>
        <v>0.195</v>
      </c>
      <c r="T14" s="132">
        <f>G14+$R14*$Q$6</f>
        <v>0.32</v>
      </c>
      <c r="U14" s="132">
        <f>H14+$R14*$Q$7</f>
        <v>0.08</v>
      </c>
      <c r="V14" s="132">
        <f>I14+$R14*$Q$8</f>
        <v>0.31000000000000005</v>
      </c>
    </row>
    <row r="15" ht="40.5" customHeight="1">
      <c r="A15" s="13" t="inlineStr">
        <is>
          <t>Elta Systems</t>
        </is>
      </c>
      <c r="B15" s="46" t="n">
        <v>3000</v>
      </c>
      <c r="C15" s="46" t="n">
        <v>30</v>
      </c>
      <c r="D15" s="15">
        <f>C15/B15</f>
        <v>0.01</v>
      </c>
      <c r="E15" s="183" t="inlineStr">
        <is>
          <t>IAI subsidiary — consolidates into IAI IPO; EW/ISR</t>
        </is>
      </c>
      <c r="F15" s="47" t="n">
        <v>0.16</v>
      </c>
      <c r="G15" s="47" t="n">
        <v>0.26</v>
      </c>
      <c r="H15" s="47" t="n">
        <v>0.05</v>
      </c>
      <c r="I15" s="77" t="n">
        <v>0.28</v>
      </c>
      <c r="J15" s="42" t="inlineStr">
        <is>
          <t>Est. notional (within IAI)</t>
        </is>
      </c>
      <c r="K15" s="177" t="n"/>
      <c r="L15" s="177" t="n"/>
      <c r="M15" s="177" t="n"/>
      <c r="N15" s="177" t="n"/>
      <c r="P15" s="135" t="n">
        <v>2</v>
      </c>
      <c r="Q15" s="135" t="n">
        <v>4</v>
      </c>
      <c r="R15" s="133">
        <f>AVERAGE(P15:Q15)</f>
        <v>3.0</v>
      </c>
      <c r="S15" s="132">
        <f>F15+$R15*$Q$5</f>
        <v>0.175</v>
      </c>
      <c r="T15" s="132">
        <f>G15+$R15*$Q$6</f>
        <v>0.28400000000000003</v>
      </c>
      <c r="U15" s="132">
        <f>H15+$R15*$Q$7</f>
        <v>0.062</v>
      </c>
      <c r="V15" s="132">
        <f>I15+$R15*$Q$8</f>
        <v>0.29800000000000004</v>
      </c>
    </row>
    <row r="16" ht="27.75" customHeight="1">
      <c r="A16" s="13" t="inlineStr">
        <is>
          <t>Heckler &amp; Koch</t>
        </is>
      </c>
      <c r="B16" s="46" t="n">
        <v>1800</v>
      </c>
      <c r="C16" s="46" t="n">
        <v>35</v>
      </c>
      <c r="D16" s="15">
        <f>C16/B16</f>
        <v>0.019444444444444445</v>
      </c>
      <c r="E16" s="183" t="inlineStr">
        <is>
          <t>Listed; closely held (CDR) — secondary/block</t>
        </is>
      </c>
      <c r="F16" s="47" t="n">
        <v>0.12</v>
      </c>
      <c r="G16" s="47" t="n">
        <v>0.2</v>
      </c>
      <c r="H16" s="47" t="n">
        <v>0.04</v>
      </c>
      <c r="I16" s="77" t="n">
        <v>0.22</v>
      </c>
      <c r="J16" s="42" t="inlineStr">
        <is>
          <t>Est. EV — listed small-arms</t>
        </is>
      </c>
      <c r="K16" s="177" t="n"/>
      <c r="L16" s="177" t="n"/>
      <c r="M16" s="177" t="n"/>
      <c r="N16" s="177" t="n"/>
      <c r="P16" s="135" t="n">
        <v>3</v>
      </c>
      <c r="Q16" s="135" t="n">
        <v>3</v>
      </c>
      <c r="R16" s="133">
        <f>AVERAGE(P16:Q16)</f>
        <v>3.0</v>
      </c>
      <c r="S16" s="132">
        <f>F16+$R16*$Q$5</f>
        <v>0.135</v>
      </c>
      <c r="T16" s="132">
        <f>G16+$R16*$Q$6</f>
        <v>0.224</v>
      </c>
      <c r="U16" s="132">
        <f>H16+$R16*$Q$7</f>
        <v>0.052000000000000005</v>
      </c>
      <c r="V16" s="132">
        <f>I16+$R16*$Q$8</f>
        <v>0.238</v>
      </c>
    </row>
    <row r="17" ht="27.75" customHeight="1">
      <c r="A17" s="13" t="inlineStr">
        <is>
          <t>Helicon Chemical</t>
        </is>
      </c>
      <c r="B17" s="46" t="n">
        <v>150</v>
      </c>
      <c r="C17" s="46" t="n">
        <v>40</v>
      </c>
      <c r="D17" s="15">
        <f>C17/B17</f>
        <v>0.26666666666666666</v>
      </c>
      <c r="E17" s="183" t="inlineStr">
        <is>
          <t>US clean; investable small — real stake</t>
        </is>
      </c>
      <c r="F17" s="47" t="n">
        <v>0.28</v>
      </c>
      <c r="G17" s="47" t="n">
        <v>0.44</v>
      </c>
      <c r="H17" s="47" t="n">
        <v>0.02</v>
      </c>
      <c r="I17" s="77" t="n">
        <v>0.46</v>
      </c>
      <c r="J17" s="42" t="inlineStr">
        <is>
          <t>Est. — early-growth energetics</t>
        </is>
      </c>
      <c r="K17" s="177" t="n"/>
      <c r="L17" s="177" t="n"/>
      <c r="M17" s="177" t="n"/>
      <c r="N17" s="177" t="n"/>
      <c r="P17" s="135" t="n">
        <v>5</v>
      </c>
      <c r="Q17" s="135" t="n">
        <v>3</v>
      </c>
      <c r="R17" s="133">
        <f>AVERAGE(P17:Q17)</f>
        <v>4.0</v>
      </c>
      <c r="S17" s="132">
        <f>F17+$R17*$Q$5</f>
        <v>0.30000000000000004</v>
      </c>
      <c r="T17" s="132">
        <f>G17+$R17*$Q$6</f>
        <v>0.472</v>
      </c>
      <c r="U17" s="132">
        <f>H17+$R17*$Q$7</f>
        <v>0.036000000000000004</v>
      </c>
      <c r="V17" s="132">
        <f>I17+$R17*$Q$8</f>
        <v>0.48400000000000004</v>
      </c>
    </row>
    <row r="18" ht="27.75" customHeight="1">
      <c r="A18" s="13" t="inlineStr">
        <is>
          <t>The Ellwood Group</t>
        </is>
      </c>
      <c r="B18" s="125" t="n">
        <v>1200</v>
      </c>
      <c r="C18" s="125" t="n">
        <v>50</v>
      </c>
      <c r="D18" s="15">
        <f>C18/B18</f>
        <v>0.041666666666666664</v>
      </c>
      <c r="E18" s="183" t="inlineStr">
        <is>
          <t>FAMILY-OWNED private (Ellwood City, PA) — minority/structured pref; missile-casing &amp; naval open/closed-die forgings</t>
        </is>
      </c>
      <c r="F18" s="126" t="n">
        <v>0.13</v>
      </c>
      <c r="G18" s="126" t="n">
        <v>0.22</v>
      </c>
      <c r="H18" s="126" t="n">
        <v>0.04</v>
      </c>
      <c r="I18" s="127" t="n">
        <v>0.23</v>
      </c>
      <c r="J18" s="42" t="inlineStr">
        <is>
          <t>Post-money $1.2B (user input); ~0.9x sales on &gt;$1.3B (AIST)</t>
        </is>
      </c>
      <c r="K18" s="177" t="n"/>
      <c r="L18" s="177" t="n"/>
      <c r="M18" s="177" t="n"/>
      <c r="N18" s="177" t="n"/>
      <c r="P18" s="135" t="n">
        <v>5</v>
      </c>
      <c r="Q18" s="135" t="n">
        <v>4</v>
      </c>
      <c r="R18" s="133">
        <f>AVERAGE(P18:Q18)</f>
        <v>4.5</v>
      </c>
      <c r="S18" s="132">
        <f>F18+$R18*$Q$5</f>
        <v>0.1525</v>
      </c>
      <c r="T18" s="132">
        <f>G18+$R18*$Q$6</f>
        <v>0.256</v>
      </c>
      <c r="U18" s="132">
        <f>H18+$R18*$Q$7</f>
        <v>0.058</v>
      </c>
      <c r="V18" s="132">
        <f>I18+$R18*$Q$8</f>
        <v>0.257</v>
      </c>
    </row>
    <row r="19" ht="27.75" customHeight="1">
      <c r="A19" s="13" t="inlineStr">
        <is>
          <t>Superior &amp; Grand Valley</t>
        </is>
      </c>
      <c r="B19" s="128" t="n">
        <v>400</v>
      </c>
      <c r="C19" s="125" t="n">
        <v>40</v>
      </c>
      <c r="D19" s="15">
        <f>C19/B19</f>
        <v>0.1</v>
      </c>
      <c r="E19" s="183" t="inlineStr">
        <is>
          <t>Private forger — missile procurement metal forging; entry mark unverified (placeholder)</t>
        </is>
      </c>
      <c r="F19" s="126" t="n">
        <v>0.13</v>
      </c>
      <c r="G19" s="126" t="n">
        <v>0.21</v>
      </c>
      <c r="H19" s="126" t="n">
        <v>0.03</v>
      </c>
      <c r="I19" s="127" t="n">
        <v>0.22</v>
      </c>
      <c r="J19" s="129" t="inlineStr">
        <is>
          <t>PLACEHOLDER — no disclosed mark</t>
        </is>
      </c>
      <c r="K19" s="177" t="n"/>
      <c r="L19" s="177" t="n"/>
      <c r="M19" s="177" t="n"/>
      <c r="N19" s="177" t="n"/>
      <c r="P19" s="135" t="n">
        <v>5</v>
      </c>
      <c r="Q19" s="135" t="n">
        <v>4</v>
      </c>
      <c r="R19" s="133">
        <f>AVERAGE(P19:Q19)</f>
        <v>4.5</v>
      </c>
      <c r="S19" s="132">
        <f>F19+$R19*$Q$5</f>
        <v>0.1525</v>
      </c>
      <c r="T19" s="132">
        <f>G19+$R19*$Q$6</f>
        <v>0.246</v>
      </c>
      <c r="U19" s="132">
        <f>H19+$R19*$Q$7</f>
        <v>0.048</v>
      </c>
      <c r="V19" s="132">
        <f>I19+$R19*$Q$8</f>
        <v>0.247</v>
      </c>
    </row>
    <row r="20" ht="27.75" customHeight="1">
      <c r="A20" s="13" t="inlineStr">
        <is>
          <t>Applied Research Assoc.</t>
        </is>
      </c>
      <c r="B20" s="46" t="n">
        <v>1200</v>
      </c>
      <c r="C20" s="46" t="n">
        <v>40</v>
      </c>
      <c r="D20" s="15">
        <f>C20/B20</f>
        <v>0.03333333333333333</v>
      </c>
      <c r="E20" s="183" t="inlineStr">
        <is>
          <t>EMPLOYEE-OWNED ESOP — structural, hard</t>
        </is>
      </c>
      <c r="F20" s="47" t="n">
        <v>0.14</v>
      </c>
      <c r="G20" s="47" t="n">
        <v>0.22</v>
      </c>
      <c r="H20" s="47" t="n">
        <v>0.06</v>
      </c>
      <c r="I20" s="77" t="n">
        <v>0.24</v>
      </c>
      <c r="J20" s="42" t="inlineStr">
        <is>
          <t>Est. EV (~$700M+ rev R&amp;D)</t>
        </is>
      </c>
      <c r="K20" s="177" t="n"/>
      <c r="L20" s="177" t="n"/>
      <c r="M20" s="177" t="n"/>
      <c r="N20" s="177" t="n"/>
      <c r="P20" s="135" t="n">
        <v>3</v>
      </c>
      <c r="Q20" s="135" t="n">
        <v>2</v>
      </c>
      <c r="R20" s="133">
        <f>AVERAGE(P20:Q20)</f>
        <v>2.5</v>
      </c>
      <c r="S20" s="132">
        <f>F20+$R20*$Q$5</f>
        <v>0.15250000000000002</v>
      </c>
      <c r="T20" s="132">
        <f>G20+$R20*$Q$6</f>
        <v>0.24</v>
      </c>
      <c r="U20" s="132">
        <f>H20+$R20*$Q$7</f>
        <v>0.06999999999999999</v>
      </c>
      <c r="V20" s="132">
        <f>I20+$R20*$Q$8</f>
        <v>0.255</v>
      </c>
    </row>
    <row r="21" ht="15" customHeight="1">
      <c r="A21" s="18" t="inlineStr">
        <is>
          <t>TOTAL (=$390M)</t>
        </is>
      </c>
      <c r="B21" s="177" t="n"/>
      <c r="C21" s="19">
        <f>SUM(C12:C20)</f>
        <v>390.0</v>
      </c>
      <c r="D21" s="177" t="n"/>
      <c r="E21" s="177" t="n"/>
      <c r="F21" s="177" t="n"/>
      <c r="G21" s="177" t="n"/>
      <c r="H21" s="177" t="n"/>
      <c r="I21" s="177" t="n"/>
      <c r="J21" s="177" t="n"/>
      <c r="K21" s="177" t="n"/>
      <c r="L21" s="177" t="n"/>
      <c r="M21" s="177" t="n"/>
      <c r="N21" s="177" t="n"/>
    </row>
    <row r="22" ht="15" customHeight="1">
      <c r="A22" s="177" t="n"/>
      <c r="B22" s="177" t="n"/>
      <c r="C22" s="177" t="n"/>
      <c r="D22" s="177" t="n"/>
      <c r="E22" s="177" t="n"/>
      <c r="F22" s="177" t="n"/>
      <c r="G22" s="177" t="n"/>
      <c r="H22" s="177" t="n"/>
      <c r="I22" s="177" t="n"/>
      <c r="J22" s="177" t="n"/>
      <c r="K22" s="177" t="n"/>
      <c r="L22" s="177" t="n"/>
      <c r="M22" s="177" t="n"/>
      <c r="N22" s="177" t="n"/>
    </row>
    <row r="23" ht="15" customHeight="1">
      <c r="A23" s="28" t="str">
        <f>Hold_Short&amp;"-YEAR HOLD — GROSS PROCEEDS"</f>
        <v>5-YEAR HOLD — GROSS PROCEEDS</v>
      </c>
      <c r="B23" s="177" t="n"/>
      <c r="C23" s="177" t="n"/>
      <c r="D23" s="177" t="n"/>
      <c r="E23" s="177" t="n"/>
      <c r="F23" s="177" t="n"/>
      <c r="G23" s="177" t="n"/>
      <c r="H23" s="177" t="n"/>
      <c r="I23" s="177" t="n"/>
      <c r="J23" s="177" t="n"/>
      <c r="K23" s="177" t="n"/>
      <c r="L23" s="177" t="n"/>
      <c r="M23" s="177" t="n"/>
      <c r="N23" s="177" t="n"/>
    </row>
    <row r="24" ht="27.75" customHeight="1">
      <c r="A24" s="186" t="inlineStr">
        <is>
          <t>Company</t>
        </is>
      </c>
      <c r="B24" s="186" t="inlineStr">
        <is>
          <t>Check ($M)</t>
        </is>
      </c>
      <c r="C24" s="186" t="inlineStr">
        <is>
          <t>Base $</t>
        </is>
      </c>
      <c r="D24" s="186" t="inlineStr">
        <is>
          <t>Base MOIC</t>
        </is>
      </c>
      <c r="E24" s="186" t="inlineStr">
        <is>
          <t>Base IRR</t>
        </is>
      </c>
      <c r="F24" s="186" t="inlineStr">
        <is>
          <t>Bull $</t>
        </is>
      </c>
      <c r="G24" s="186" t="inlineStr">
        <is>
          <t>Bull MOIC</t>
        </is>
      </c>
      <c r="H24" s="186" t="inlineStr">
        <is>
          <t>Bull IRR</t>
        </is>
      </c>
      <c r="I24" s="186" t="inlineStr">
        <is>
          <t>Bear $</t>
        </is>
      </c>
      <c r="J24" s="186" t="inlineStr">
        <is>
          <t>Bear MOIC</t>
        </is>
      </c>
      <c r="K24" s="186" t="inlineStr">
        <is>
          <t>Bear IRR</t>
        </is>
      </c>
      <c r="L24" s="21" t="inlineStr">
        <is>
          <t>Shock $</t>
        </is>
      </c>
      <c r="M24" s="21" t="inlineStr">
        <is>
          <t>Shock MOIC</t>
        </is>
      </c>
      <c r="N24" s="21" t="inlineStr">
        <is>
          <t>Shock IRR</t>
        </is>
      </c>
    </row>
    <row r="25" ht="15" customHeight="1">
      <c r="A25" s="56" t="str">
        <f>A12</f>
        <v>Saronic</v>
      </c>
      <c r="B25" s="57">
        <f>C12</f>
        <v>70</v>
      </c>
      <c r="C25" s="61">
        <f>B25*(1+S12)^Hold_Short*Ret_Wpn_Short</f>
        <v>214.86952432849174</v>
      </c>
      <c r="D25" s="36">
        <f>C25/B25</f>
        <v>3.0695646332641675</v>
      </c>
      <c r="E25" s="15">
        <f>IF((C25/B25)&lt;=0,-1,(C25/B25)^(1/Hold_Short)-1)</f>
        <v>0.25145534197674424</v>
      </c>
      <c r="F25" s="61">
        <f>B25*(1+T12)^Hold_Short*Ret_Wpn_Short</f>
        <v>371.81558465407994</v>
      </c>
      <c r="G25" s="36">
        <f>F25/B25</f>
        <v>5.311651209343999</v>
      </c>
      <c r="H25" s="15">
        <f>IF((F25/B25)&lt;=0,-1,(F25/B25)^(1/Hold_Short)-1)</f>
        <v>0.3965159808306302</v>
      </c>
      <c r="I25" s="61">
        <f>B25*(1+U12)^Hold_Short*Ret_Wpn_Short</f>
        <v>67.68504722644</v>
      </c>
      <c r="J25" s="36">
        <f>I25/B25</f>
        <v>0.966929246092</v>
      </c>
      <c r="K25" s="15">
        <f>IF((I25/B25)&lt;=0,-1,(I25/B25)^(1/Hold_Short)-1)</f>
        <v>-0.006703422085255983</v>
      </c>
      <c r="L25" s="62">
        <f>B25*(1+V12)^Hold_Short*Ret_Wpn_Short</f>
        <v>340.21770090154877</v>
      </c>
      <c r="M25" s="37">
        <f>L25/B25</f>
        <v>4.8602528700221255</v>
      </c>
      <c r="N25" s="39">
        <f>IF((L25/B25)&lt;=0,-1,(L25/B25)^(1/Hold_Short)-1)</f>
        <v>0.3719294318723445</v>
      </c>
    </row>
    <row r="26" ht="15" customHeight="1">
      <c r="A26" s="56" t="str">
        <f>A13</f>
        <v>Epirus</v>
      </c>
      <c r="B26" s="57">
        <f>C13</f>
        <v>45</v>
      </c>
      <c r="C26" s="61">
        <f>B26*(1+S13)^Hold_Short*Ret_Wpn_Short</f>
        <v>128.8899247712231</v>
      </c>
      <c r="D26" s="36">
        <f>C26/B26</f>
        <v>2.8642205504716243</v>
      </c>
      <c r="E26" s="15">
        <f>IF((C26/B26)&lt;=0,-1,(C26/B26)^(1/Hold_Short)-1)</f>
        <v>0.23424475770594433</v>
      </c>
      <c r="F26" s="61">
        <f>B26*(1+T13)^Hold_Short*Ret_Wpn_Short</f>
        <v>225.85820906239115</v>
      </c>
      <c r="G26" s="36">
        <f>F26/B26</f>
        <v>5.019071312497581</v>
      </c>
      <c r="H26" s="15">
        <f>IF((F26/B26)&lt;=0,-1,(F26/B26)^(1/Hold_Short)-1)</f>
        <v>0.3807805894973273</v>
      </c>
      <c r="I26" s="61">
        <f>B26*(1+U13)^Hold_Short*Ret_Wpn_Short</f>
        <v>39.770284878515405</v>
      </c>
      <c r="J26" s="36">
        <f>I26/B26</f>
        <v>0.8837841084114534</v>
      </c>
      <c r="K26" s="15">
        <f>IF((I26/B26)&lt;=0,-1,(I26/B26)^(1/Hold_Short)-1)</f>
        <v>-0.024405737335221667</v>
      </c>
      <c r="L26" s="62">
        <f>B26*(1+V13)^Hold_Short*Ret_Wpn_Short</f>
        <v>237.3457696023531</v>
      </c>
      <c r="M26" s="37">
        <f>L26/B26</f>
        <v>5.274350435607847</v>
      </c>
      <c r="N26" s="39">
        <f>IF((L26/B26)&lt;=0,-1,(L26/B26)^(1/Hold_Short)-1)</f>
        <v>0.3945490569139676</v>
      </c>
    </row>
    <row r="27" ht="15" customHeight="1">
      <c r="A27" s="56" t="str">
        <f>A14</f>
        <v>Israel Aerospace Ind.</v>
      </c>
      <c r="B27" s="57">
        <f>C14</f>
        <v>40</v>
      </c>
      <c r="C27" s="61">
        <f>B27*(1+S14)^Hold_Short*Ret_Wpn_Short</f>
        <v>89.67829549788503</v>
      </c>
      <c r="D27" s="36">
        <f>C27/B27</f>
        <v>2.2419573874471257</v>
      </c>
      <c r="E27" s="15">
        <f>IF((C27/B27)&lt;=0,-1,(C27/B27)^(1/Hold_Short)-1)</f>
        <v>0.17523704020605857</v>
      </c>
      <c r="F27" s="61">
        <f>B27*(1+T14)^Hold_Short*Ret_Wpn_Short</f>
        <v>147.47468414976004</v>
      </c>
      <c r="G27" s="36">
        <f>F27/B27</f>
        <v>3.686867103744001</v>
      </c>
      <c r="H27" s="15">
        <f>IF((F27/B27)&lt;=0,-1,(F27/B27)^(1/Hold_Short)-1)</f>
        <v>0.29816978499748736</v>
      </c>
      <c r="I27" s="61">
        <f>B27*(1+U14)^Hold_Short*Ret_Wpn_Short</f>
        <v>54.07127322624002</v>
      </c>
      <c r="J27" s="36">
        <f>I27/B27</f>
        <v>1.3517818306560003</v>
      </c>
      <c r="K27" s="15">
        <f>IF((I27/B27)&lt;=0,-1,(I27/B27)^(1/Hold_Short)-1)</f>
        <v>0.062138914997944106</v>
      </c>
      <c r="L27" s="62">
        <f>B27*(1+V14)^Hold_Short*Ret_Wpn_Short</f>
        <v>141.97252191568003</v>
      </c>
      <c r="M27" s="37">
        <f>L27/B27</f>
        <v>3.5493130478920007</v>
      </c>
      <c r="N27" s="39">
        <f>IF((L27/B27)&lt;=0,-1,(L27/B27)^(1/Hold_Short)-1)</f>
        <v>0.28833516541417303</v>
      </c>
    </row>
    <row r="28" ht="15" customHeight="1">
      <c r="A28" s="56" t="str">
        <f>A15</f>
        <v>Elta Systems</v>
      </c>
      <c r="B28" s="57">
        <f>C15</f>
        <v>30</v>
      </c>
      <c r="C28" s="61">
        <f>B28*(1+S15)^Hold_Short*Ret_Wpn_Short</f>
        <v>61.815646417968765</v>
      </c>
      <c r="D28" s="36">
        <f>C28/B28</f>
        <v>2.0605215472656253</v>
      </c>
      <c r="E28" s="15">
        <f>IF((C28/B28)&lt;=0,-1,(C28/B28)^(1/Hold_Short)-1)</f>
        <v>0.1555678010394299</v>
      </c>
      <c r="F28" s="61">
        <f>B28*(1+T15)^Hold_Short*Ret_Wpn_Short</f>
        <v>96.32393162197772</v>
      </c>
      <c r="G28" s="36">
        <f>F28/B28</f>
        <v>3.210797720732591</v>
      </c>
      <c r="H28" s="15">
        <f>IF((F28/B28)&lt;=0,-1,(F28/B28)^(1/Hold_Short)-1)</f>
        <v>0.2627651544975558</v>
      </c>
      <c r="I28" s="61">
        <f>B28*(1+U15)^Hold_Short*Ret_Wpn_Short</f>
        <v>37.284786947634174</v>
      </c>
      <c r="J28" s="36">
        <f>I28/B28</f>
        <v>1.2428262315878058</v>
      </c>
      <c r="K28" s="15">
        <f>IF((I28/B28)&lt;=0,-1,(I28/B28)^(1/Hold_Short)-1)</f>
        <v>0.044436599747978534</v>
      </c>
      <c r="L28" s="62">
        <f>B28*(1+V15)^Hold_Short*Ret_Wpn_Short</f>
        <v>101.69100615934954</v>
      </c>
      <c r="M28" s="37">
        <f>L28/B28</f>
        <v>3.389700205311651</v>
      </c>
      <c r="N28" s="39">
        <f>IF((L28/B28)&lt;=0,-1,(L28/B28)^(1/Hold_Short)-1)</f>
        <v>0.27653362191419584</v>
      </c>
    </row>
    <row r="29" ht="15" customHeight="1">
      <c r="A29" s="56" t="str">
        <f>A16</f>
        <v>Heckler &amp; Koch</v>
      </c>
      <c r="B29" s="57">
        <f>C16</f>
        <v>35</v>
      </c>
      <c r="C29" s="61">
        <f>B29*(1+S16)^Hold_Short*Ret_Wpn_Short</f>
        <v>60.65061085939189</v>
      </c>
      <c r="D29" s="36">
        <f>C29/B29</f>
        <v>1.7328745959826255</v>
      </c>
      <c r="E29" s="15">
        <f>IF((C29/B29)&lt;=0,-1,(C29/B29)^(1/Hold_Short)-1)</f>
        <v>0.11622932270617281</v>
      </c>
      <c r="F29" s="61">
        <f>B29*(1+T16)^Hold_Short*Ret_Wpn_Short</f>
        <v>88.46326428383969</v>
      </c>
      <c r="G29" s="36">
        <f>F29/B29</f>
        <v>2.527521836681134</v>
      </c>
      <c r="H29" s="15">
        <f>IF((F29/B29)&lt;=0,-1,(F29/B29)^(1/Hold_Short)-1)</f>
        <v>0.20375743699767002</v>
      </c>
      <c r="I29" s="61">
        <f>B29*(1+U16)^Hold_Short*Ret_Wpn_Short</f>
        <v>41.489153188745846</v>
      </c>
      <c r="J29" s="36">
        <f>I29/B29</f>
        <v>1.1854043768213098</v>
      </c>
      <c r="K29" s="15">
        <f>IF((I29/B29)&lt;=0,-1,(I29/B29)^(1/Hold_Short)-1)</f>
        <v>0.0346019801646642</v>
      </c>
      <c r="L29" s="62">
        <f>B29*(1+V16)^Hold_Short*Ret_Wpn_Short</f>
        <v>93.6395019526076</v>
      </c>
      <c r="M29" s="37">
        <f>L29/B29</f>
        <v>2.6754143415030742</v>
      </c>
      <c r="N29" s="39">
        <f>IF((L29/B29)&lt;=0,-1,(L29/B29)^(1/Hold_Short)-1)</f>
        <v>0.21752590441431008</v>
      </c>
    </row>
    <row r="30" ht="15" customHeight="1">
      <c r="A30" s="56" t="str">
        <f>A17</f>
        <v>Helicon Chemical</v>
      </c>
      <c r="B30" s="57">
        <f>C17</f>
        <v>40</v>
      </c>
      <c r="C30" s="61">
        <f>B30*(1+S17)^Hold_Short*Ret_Wpn_Short</f>
        <v>136.63582400000004</v>
      </c>
      <c r="D30" s="36">
        <f>C30/B30</f>
        <v>3.415895600000001</v>
      </c>
      <c r="E30" s="15">
        <f>IF((C30/B30)&lt;=0,-1,(C30/B30)^(1/Hold_Short)-1)</f>
        <v>0.2785005458308587</v>
      </c>
      <c r="F30" s="61">
        <f>B30*(1+T17)^Hold_Short*Ret_Wpn_Short</f>
        <v>254.32372075571448</v>
      </c>
      <c r="G30" s="36">
        <f>F30/B30</f>
        <v>6.358093018892862</v>
      </c>
      <c r="H30" s="15">
        <f>IF((F30/B30)&lt;=0,-1,(F30/B30)^(1/Hold_Short)-1)</f>
        <v>0.44765600266386474</v>
      </c>
      <c r="I30" s="61">
        <f>B30*(1+U17)^Hold_Short*Ret_Wpn_Short</f>
        <v>43.91840868249928</v>
      </c>
      <c r="J30" s="36">
        <f>I30/B30</f>
        <v>1.097960217062482</v>
      </c>
      <c r="K30" s="15">
        <f>IF((I30/B30)&lt;=0,-1,(I30/B30)^(1/Hold_Short)-1)</f>
        <v>0.018866588831361275</v>
      </c>
      <c r="L30" s="62">
        <f>B30*(1+V17)^Hold_Short*Ret_Wpn_Short</f>
        <v>264.8605785613484</v>
      </c>
      <c r="M30" s="37">
        <f>L30/B30</f>
        <v>6.6215144640337105</v>
      </c>
      <c r="N30" s="39">
        <f>IF((L30/B30)&lt;=0,-1,(L30/B30)^(1/Hold_Short)-1)</f>
        <v>0.4594575461638417</v>
      </c>
    </row>
    <row r="31" ht="15" customHeight="1">
      <c r="A31" s="56" t="str">
        <f>A18</f>
        <v>The Ellwood Group</v>
      </c>
      <c r="B31" s="57">
        <f>C18</f>
        <v>50</v>
      </c>
      <c r="C31" s="61">
        <f>B31*(1+S18)^Hold_Short*Ret_Wpn_Short</f>
        <v>93.53249125018031</v>
      </c>
      <c r="D31" s="36">
        <f>C31/B31</f>
        <v>1.8706498250036063</v>
      </c>
      <c r="E31" s="15">
        <f>IF((C31/B31)&lt;=0,-1,(C31/B31)^(1/Hold_Short)-1)</f>
        <v>0.13343990697697294</v>
      </c>
      <c r="F31" s="61">
        <f>B31*(1+T18)^Hold_Short*Ret_Wpn_Short</f>
        <v>143.7824993729577</v>
      </c>
      <c r="G31" s="36">
        <f>F31/B31</f>
        <v>2.8756499874591537</v>
      </c>
      <c r="H31" s="15">
        <f>IF((F31/B31)&lt;=0,-1,(F31/B31)^(1/Hold_Short)-1)</f>
        <v>0.23522821966427565</v>
      </c>
      <c r="I31" s="61">
        <f>B31*(1+U18)^Hold_Short*Ret_Wpn_Short</f>
        <v>60.97982450649135</v>
      </c>
      <c r="J31" s="36">
        <f>I31/B31</f>
        <v>1.2195964901298268</v>
      </c>
      <c r="K31" s="15">
        <f>IF((I31/B31)&lt;=0,-1,(I31/B31)^(1/Hold_Short)-1)</f>
        <v>0.0405027519146528</v>
      </c>
      <c r="L31" s="62">
        <f>B31*(1+V18)^Hold_Short*Ret_Wpn_Short</f>
        <v>144.3557940973107</v>
      </c>
      <c r="M31" s="37">
        <f>L31/B31</f>
        <v>2.887115881946214</v>
      </c>
      <c r="N31" s="39">
        <f>IF((L31/B31)&lt;=0,-1,(L31/B31)^(1/Hold_Short)-1)</f>
        <v>0.23621168162260742</v>
      </c>
    </row>
    <row r="32" ht="15" customHeight="1">
      <c r="A32" s="56" t="str">
        <f>A19</f>
        <v>Superior &amp; Grand Valley</v>
      </c>
      <c r="B32" s="57">
        <f>C19</f>
        <v>40</v>
      </c>
      <c r="C32" s="61">
        <f>B32*(1+S19)^Hold_Short*Ret_Wpn_Short</f>
        <v>74.82599300014425</v>
      </c>
      <c r="D32" s="36">
        <f>C32/B32</f>
        <v>1.8706498250036063</v>
      </c>
      <c r="E32" s="15">
        <f>IF((C32/B32)&lt;=0,-1,(C32/B32)^(1/Hold_Short)-1)</f>
        <v>0.13343990697697294</v>
      </c>
      <c r="F32" s="61">
        <f>B32*(1+T19)^Hold_Short*Ret_Wpn_Short</f>
        <v>110.51927575884233</v>
      </c>
      <c r="G32" s="36">
        <f>F32/B32</f>
        <v>2.762981893971058</v>
      </c>
      <c r="H32" s="15">
        <f>IF((F32/B32)&lt;=0,-1,(F32/B32)^(1/Hold_Short)-1)</f>
        <v>0.22539360008096154</v>
      </c>
      <c r="I32" s="61">
        <f>B32*(1+U19)^Hold_Short*Ret_Wpn_Short</f>
        <v>46.52155598133004</v>
      </c>
      <c r="J32" s="36">
        <f>I32/B32</f>
        <v>1.163038899533251</v>
      </c>
      <c r="K32" s="15">
        <f>IF((I32/B32)&lt;=0,-1,(I32/B32)^(1/Hold_Short)-1)</f>
        <v>0.03066813233133847</v>
      </c>
      <c r="L32" s="62">
        <f>B32*(1+V19)^Hold_Short*Ret_Wpn_Short</f>
        <v>110.96348449362101</v>
      </c>
      <c r="M32" s="37">
        <f>L32/B32</f>
        <v>2.774087112340525</v>
      </c>
      <c r="N32" s="39">
        <f>IF((L32/B32)&lt;=0,-1,(L32/B32)^(1/Hold_Short)-1)</f>
        <v>0.22637706203929286</v>
      </c>
    </row>
    <row r="33" ht="15" customHeight="1">
      <c r="A33" s="56" t="str">
        <f>A20</f>
        <v>Applied Research Assoc.</v>
      </c>
      <c r="B33" s="57">
        <f>C20</f>
        <v>40</v>
      </c>
      <c r="C33" s="61">
        <f>B33*(1+S20)^Hold_Short*Ret_Wpn_Short</f>
        <v>74.82599300014425</v>
      </c>
      <c r="D33" s="36">
        <f>C33/B33</f>
        <v>1.8706498250036063</v>
      </c>
      <c r="E33" s="15">
        <f>IF((C33/B33)&lt;=0,-1,(C33/B33)^(1/Hold_Short)-1)</f>
        <v>0.13343990697697294</v>
      </c>
      <c r="F33" s="61">
        <f>B33*(1+T20)^Hold_Short*Ret_Wpn_Short</f>
        <v>107.88380229632</v>
      </c>
      <c r="G33" s="36">
        <f>F33/B33</f>
        <v>2.697095057408</v>
      </c>
      <c r="H33" s="15">
        <f>IF((F33/B33)&lt;=0,-1,(F33/B33)^(1/Hold_Short)-1)</f>
        <v>0.21949282833097294</v>
      </c>
      <c r="I33" s="61">
        <f>B33*(1+U20)^Hold_Short*Ret_Wpn_Short</f>
        <v>51.61390368976002</v>
      </c>
      <c r="J33" s="36">
        <f>I33/B33</f>
        <v>1.2903475922440006</v>
      </c>
      <c r="K33" s="15">
        <f>IF((I33/B33)&lt;=0,-1,(I33/B33)^(1/Hold_Short)-1)</f>
        <v>0.05230429541463</v>
      </c>
      <c r="L33" s="62">
        <f>B33*(1+V20)^Hold_Short*Ret_Wpn_Short</f>
        <v>114.56882201886496</v>
      </c>
      <c r="M33" s="37">
        <f>L33/B33</f>
        <v>2.8642205504716243</v>
      </c>
      <c r="N33" s="39">
        <f>IF((L33/B33)&lt;=0,-1,(L33/B33)^(1/Hold_Short)-1)</f>
        <v>0.23424475770594433</v>
      </c>
    </row>
    <row r="34" ht="15" customHeight="1">
      <c r="A34" s="53" t="inlineStr">
        <is>
          <t>SLEEVE TOTAL</t>
        </is>
      </c>
      <c r="B34" s="63">
        <f>SUM(B25:B33)</f>
        <v>390.0</v>
      </c>
      <c r="C34" s="63">
        <f>SUM(C25:C33)</f>
        <v>935.7243031254295</v>
      </c>
      <c r="D34" s="64">
        <f>C34/B34</f>
        <v>2.399293084936999</v>
      </c>
      <c r="E34" s="65">
        <f>IF((C34/B34)&lt;=0,-1,(C34/B34)^(1/Hold_Short)-1)</f>
        <v>0.19128770749316026</v>
      </c>
      <c r="F34" s="63">
        <f>SUM(F25:F33)</f>
        <v>1546.444971955883</v>
      </c>
      <c r="G34" s="64">
        <f>F34/B34</f>
        <v>3.965243517835597</v>
      </c>
      <c r="H34" s="65">
        <f>IF((F34/B34)&lt;=0,-1,(F34/B34)^(1/Hold_Short)-1)</f>
        <v>0.31720682639533604</v>
      </c>
      <c r="I34" s="63">
        <f>SUM(I25:I33)</f>
        <v>443.3342383276562</v>
      </c>
      <c r="J34" s="64">
        <f>I34/B34</f>
        <v>1.1367544572504005</v>
      </c>
      <c r="K34" s="65">
        <f>IF((I34/B34)&lt;=0,-1,(I34/B34)^(1/Hold_Short)-1)</f>
        <v>0.02596686094441769</v>
      </c>
      <c r="L34" s="66">
        <f>SUM(L25:L33)</f>
        <v>1549.6151797026841</v>
      </c>
      <c r="M34" s="67">
        <f>L34/B34</f>
        <v>3.973372255647908</v>
      </c>
      <c r="N34" s="68">
        <f>IF((L34/B34)&lt;=0,-1,(L34/B34)^(1/Hold_Short)-1)</f>
        <v>0.3177464381370425</v>
      </c>
    </row>
    <row r="35" ht="15" customHeight="1">
      <c r="A35" s="177" t="n"/>
      <c r="B35" s="177" t="n"/>
      <c r="C35" s="177" t="n"/>
      <c r="D35" s="177" t="n"/>
      <c r="E35" s="177" t="n"/>
      <c r="F35" s="177" t="n"/>
      <c r="G35" s="177" t="n"/>
      <c r="H35" s="177" t="n"/>
      <c r="I35" s="177" t="n"/>
      <c r="J35" s="177" t="n"/>
      <c r="K35" s="177" t="n"/>
      <c r="L35" s="177" t="n"/>
      <c r="M35" s="177" t="n"/>
      <c r="N35" s="177" t="n"/>
    </row>
    <row r="36" ht="15" customHeight="1">
      <c r="A36" s="177" t="n"/>
      <c r="B36" s="177" t="n"/>
      <c r="C36" s="177" t="n"/>
      <c r="D36" s="177" t="n"/>
      <c r="E36" s="177" t="n"/>
      <c r="F36" s="177" t="n"/>
      <c r="G36" s="177" t="n"/>
      <c r="H36" s="177" t="n"/>
      <c r="I36" s="177" t="n"/>
      <c r="J36" s="177" t="n"/>
      <c r="K36" s="177" t="n"/>
      <c r="L36" s="177" t="n"/>
      <c r="M36" s="177" t="n"/>
      <c r="N36" s="177" t="n"/>
    </row>
    <row r="37" ht="15" customHeight="1">
      <c r="A37" s="28" t="str">
        <f>Hold_Mid&amp;"-YEAR HOLD — GROSS PROCEEDS"</f>
        <v>7-YEAR HOLD — GROSS PROCEEDS</v>
      </c>
      <c r="B37" s="177" t="n"/>
      <c r="C37" s="177" t="n"/>
      <c r="D37" s="177" t="n"/>
      <c r="E37" s="177" t="n"/>
      <c r="F37" s="177" t="n"/>
      <c r="G37" s="177" t="n"/>
      <c r="H37" s="177" t="n"/>
      <c r="I37" s="177" t="n"/>
      <c r="J37" s="177" t="n"/>
      <c r="K37" s="177" t="n"/>
      <c r="L37" s="177" t="n"/>
      <c r="M37" s="177" t="n"/>
      <c r="N37" s="177" t="n"/>
    </row>
    <row r="38" ht="27.75" customHeight="1">
      <c r="A38" s="186" t="inlineStr">
        <is>
          <t>Company</t>
        </is>
      </c>
      <c r="B38" s="186" t="inlineStr">
        <is>
          <t>Check ($M)</t>
        </is>
      </c>
      <c r="C38" s="186" t="inlineStr">
        <is>
          <t>Base $</t>
        </is>
      </c>
      <c r="D38" s="186" t="inlineStr">
        <is>
          <t>Base MOIC</t>
        </is>
      </c>
      <c r="E38" s="186" t="inlineStr">
        <is>
          <t>Base IRR</t>
        </is>
      </c>
      <c r="F38" s="186" t="inlineStr">
        <is>
          <t>Bull $</t>
        </is>
      </c>
      <c r="G38" s="186" t="inlineStr">
        <is>
          <t>Bull MOIC</t>
        </is>
      </c>
      <c r="H38" s="186" t="inlineStr">
        <is>
          <t>Bull IRR</t>
        </is>
      </c>
      <c r="I38" s="186" t="inlineStr">
        <is>
          <t>Bear $</t>
        </is>
      </c>
      <c r="J38" s="186" t="inlineStr">
        <is>
          <t>Bear MOIC</t>
        </is>
      </c>
      <c r="K38" s="186" t="inlineStr">
        <is>
          <t>Bear IRR</t>
        </is>
      </c>
      <c r="L38" s="21" t="inlineStr">
        <is>
          <t>Shock $</t>
        </is>
      </c>
      <c r="M38" s="21" t="inlineStr">
        <is>
          <t>Shock MOIC</t>
        </is>
      </c>
      <c r="N38" s="21" t="inlineStr">
        <is>
          <t>Shock IRR</t>
        </is>
      </c>
    </row>
    <row r="39" ht="15" customHeight="1">
      <c r="A39" s="56" t="str">
        <f>A12</f>
        <v>Saronic</v>
      </c>
      <c r="B39" s="57">
        <f>C12</f>
        <v>70</v>
      </c>
      <c r="C39" s="61">
        <f>B39*(1+S12)^Hold_Mid*Ret_Wpn_Mid</f>
        <v>332.80148019459216</v>
      </c>
      <c r="D39" s="36">
        <f>C39/B39</f>
        <v>4.754306859922745</v>
      </c>
      <c r="E39" s="15">
        <f>IF((C39/B39)&lt;=0,-1,(C39/B39)^(1/Hold_Mid)-1)</f>
        <v>0.24947262117346347</v>
      </c>
      <c r="F39" s="61">
        <f>B39*(1+T12)^Hold_Mid*Ret_Wpn_Mid</f>
        <v>717.1320342488134</v>
      </c>
      <c r="G39" s="36">
        <f>F39/B39</f>
        <v>10.244743346411619</v>
      </c>
      <c r="H39" s="15">
        <f>IF((F39/B39)&lt;=0,-1,(F39/B39)^(1/Hold_Mid)-1)</f>
        <v>0.3943034358085016</v>
      </c>
      <c r="I39" s="61">
        <f>B39*(1+U12)^Hold_Mid*Ret_Wpn_Mid</f>
        <v>66.04353768979182</v>
      </c>
      <c r="J39" s="36">
        <f>I39/B39</f>
        <v>0.9434791098541688</v>
      </c>
      <c r="K39" s="15">
        <f>IF((I39/B39)&lt;=0,-1,(I39/B39)^(1/Hold_Mid)-1)</f>
        <v>-0.008277133685502425</v>
      </c>
      <c r="L39" s="62">
        <f>B39*(1+V12)^Hold_Mid*Ret_Wpn_Mid</f>
        <v>633.2864056840261</v>
      </c>
      <c r="M39" s="37">
        <f>L39/B39</f>
        <v>9.046948652628945</v>
      </c>
      <c r="N39" s="39">
        <f>IF((L39/B39)&lt;=0,-1,(L39/B39)^(1/Hold_Mid)-1)</f>
        <v>0.3697558401076477</v>
      </c>
    </row>
    <row r="40" ht="15" customHeight="1">
      <c r="A40" s="56" t="str">
        <f>A13</f>
        <v>Epirus</v>
      </c>
      <c r="B40" s="57">
        <f>C13</f>
        <v>45</v>
      </c>
      <c r="C40" s="61">
        <f>B40*(1+S13)^Hold_Mid*Ret_Wpn_Mid</f>
        <v>194.17855577310883</v>
      </c>
      <c r="D40" s="36">
        <f>C40/B40</f>
        <v>4.315079017180196</v>
      </c>
      <c r="E40" s="15">
        <f>IF((C40/B40)&lt;=0,-1,(C40/B40)^(1/Hold_Mid)-1)</f>
        <v>0.23228930418286575</v>
      </c>
      <c r="F40" s="61">
        <f>B40*(1+T13)^Hold_Mid*Ret_Wpn_Mid</f>
        <v>425.858127807516</v>
      </c>
      <c r="G40" s="36">
        <f>F40/B40</f>
        <v>9.463513951278133</v>
      </c>
      <c r="H40" s="15">
        <f>IF((F40/B40)&lt;=0,-1,(F40/B40)^(1/Hold_Mid)-1)</f>
        <v>0.378592974559955</v>
      </c>
      <c r="I40" s="61">
        <f>B40*(1+U13)^Hold_Mid*Ret_Wpn_Mid</f>
        <v>37.43491841787871</v>
      </c>
      <c r="J40" s="36">
        <f>I40/B40</f>
        <v>0.8318870759528603</v>
      </c>
      <c r="K40" s="15">
        <f>IF((I40/B40)&lt;=0,-1,(I40/B40)^(1/Hold_Mid)-1)</f>
        <v>-0.02595140259011719</v>
      </c>
      <c r="L40" s="62">
        <f>B40*(1+V13)^Hold_Mid*Ret_Wpn_Mid</f>
        <v>456.4874076188818</v>
      </c>
      <c r="M40" s="37">
        <f>L40/B40</f>
        <v>10.144164613752928</v>
      </c>
      <c r="N40" s="39">
        <f>IF((L40/B40)&lt;=0,-1,(L40/B40)^(1/Hold_Mid)-1)</f>
        <v>0.3923396281524334</v>
      </c>
    </row>
    <row r="41" ht="15" customHeight="1">
      <c r="A41" s="56" t="str">
        <f>A14</f>
        <v>Israel Aerospace Ind.</v>
      </c>
      <c r="B41" s="57">
        <f>C14</f>
        <v>40</v>
      </c>
      <c r="C41" s="61">
        <f>B41*(1+S14)^Hold_Mid*Ret_Wpn_Mid</f>
        <v>122.49489801843825</v>
      </c>
      <c r="D41" s="36">
        <f>C41/B41</f>
        <v>3.0623724504609564</v>
      </c>
      <c r="E41" s="15">
        <f>IF((C41/B41)&lt;=0,-1,(C41/B41)^(1/Hold_Mid)-1)</f>
        <v>0.17337507450081646</v>
      </c>
      <c r="F41" s="61">
        <f>B41*(1+T14)^Hold_Mid*Ret_Wpn_Mid</f>
        <v>245.78772054677924</v>
      </c>
      <c r="G41" s="36">
        <f>F41/B41</f>
        <v>6.144693013669481</v>
      </c>
      <c r="H41" s="15">
        <f>IF((F41/B41)&lt;=0,-1,(F41/B41)^(1/Hold_Mid)-1)</f>
        <v>0.29611305300508595</v>
      </c>
      <c r="I41" s="61">
        <f>B41*(1+U14)^Hold_Mid*Ret_Wpn_Mid</f>
        <v>60.32661426103914</v>
      </c>
      <c r="J41" s="36">
        <f>I41/B41</f>
        <v>1.5081653565259785</v>
      </c>
      <c r="K41" s="15">
        <f>IF((I41/B41)&lt;=0,-1,(I41/B41)^(1/Hold_Mid)-1)</f>
        <v>0.06045613427688856</v>
      </c>
      <c r="L41" s="62">
        <f>B41*(1+V14)^Hold_Mid*Ret_Wpn_Mid</f>
        <v>233.04604290908554</v>
      </c>
      <c r="M41" s="37">
        <f>L41/B41</f>
        <v>5.826151072727138</v>
      </c>
      <c r="N41" s="39">
        <f>IF((L41/B41)&lt;=0,-1,(L41/B41)^(1/Hold_Mid)-1)</f>
        <v>0.28629401472474436</v>
      </c>
    </row>
    <row r="42" ht="15" customHeight="1">
      <c r="A42" s="56" t="str">
        <f>A15</f>
        <v>Elta Systems</v>
      </c>
      <c r="B42" s="57">
        <f>C15</f>
        <v>30</v>
      </c>
      <c r="C42" s="61">
        <f>B42*(1+S15)^Hold_Mid*Ret_Wpn_Mid</f>
        <v>81.63360827772952</v>
      </c>
      <c r="D42" s="36">
        <f>C42/B42</f>
        <v>2.7211202759243176</v>
      </c>
      <c r="E42" s="15">
        <f>IF((C42/B42)&lt;=0,-1,(C42/B42)^(1/Hold_Mid)-1)</f>
        <v>0.1537369979401335</v>
      </c>
      <c r="F42" s="61">
        <f>B42*(1+T15)^Hold_Mid*Ret_Wpn_Mid</f>
        <v>151.9004613855475</v>
      </c>
      <c r="G42" s="36">
        <f>F42/B42</f>
        <v>5.063348712851583</v>
      </c>
      <c r="H42" s="15">
        <f>IF((F42/B42)&lt;=0,-1,(F42/B42)^(1/Hold_Mid)-1)</f>
        <v>0.2607645151958564</v>
      </c>
      <c r="I42" s="61">
        <f>B42*(1+U15)^Hold_Mid*Ret_Wpn_Mid</f>
        <v>40.223100500160236</v>
      </c>
      <c r="J42" s="36">
        <f>I42/B42</f>
        <v>1.3407700166720078</v>
      </c>
      <c r="K42" s="15">
        <f>IF((I42/B42)&lt;=0,-1,(I42/B42)^(1/Hold_Mid)-1)</f>
        <v>0.0427818653722738</v>
      </c>
      <c r="L42" s="62">
        <f>B42*(1+V15)^Hold_Mid*Ret_Wpn_Mid</f>
        <v>163.8803089873273</v>
      </c>
      <c r="M42" s="37">
        <f>L42/B42</f>
        <v>5.462676966244244</v>
      </c>
      <c r="N42" s="39">
        <f>IF((L42/B42)&lt;=0,-1,(L42/B42)^(1/Hold_Mid)-1)</f>
        <v>0.2745111687883346</v>
      </c>
    </row>
    <row r="43" ht="15" customHeight="1">
      <c r="A43" s="56" t="str">
        <f>A16</f>
        <v>Heckler &amp; Koch</v>
      </c>
      <c r="B43" s="57">
        <f>C16</f>
        <v>35</v>
      </c>
      <c r="C43" s="61">
        <f>B43*(1+S16)^Hold_Mid*Ret_Wpn_Mid</f>
        <v>74.73460564502096</v>
      </c>
      <c r="D43" s="36">
        <f>C43/B43</f>
        <v>2.135274447000599</v>
      </c>
      <c r="E43" s="15">
        <f>IF((C43/B43)&lt;=0,-1,(C43/B43)^(1/Hold_Mid)-1)</f>
        <v>0.11446084481876717</v>
      </c>
      <c r="F43" s="61">
        <f>B43*(1+T16)^Hold_Mid*Ret_Wpn_Mid</f>
        <v>126.7712116303273</v>
      </c>
      <c r="G43" s="36">
        <f>F43/B43</f>
        <v>3.6220346180093514</v>
      </c>
      <c r="H43" s="15">
        <f>IF((F43/B43)&lt;=0,-1,(F43/B43)^(1/Hold_Mid)-1)</f>
        <v>0.2018502855138069</v>
      </c>
      <c r="I43" s="61">
        <f>B43*(1+U16)^Hold_Mid*Ret_Wpn_Mid</f>
        <v>43.91985475622396</v>
      </c>
      <c r="J43" s="36">
        <f>I43/B43</f>
        <v>1.2548529930349703</v>
      </c>
      <c r="K43" s="15">
        <f>IF((I43/B43)&lt;=0,-1,(I43/B43)^(1/Hold_Mid)-1)</f>
        <v>0.03296282709193221</v>
      </c>
      <c r="L43" s="62">
        <f>B43*(1+V16)^Hold_Mid*Ret_Wpn_Mid</f>
        <v>137.27619383801527</v>
      </c>
      <c r="M43" s="37">
        <f>L43/B43</f>
        <v>3.9221769668004365</v>
      </c>
      <c r="N43" s="39">
        <f>IF((L43/B43)&lt;=0,-1,(L43/B43)^(1/Hold_Mid)-1)</f>
        <v>0.21559693910628508</v>
      </c>
    </row>
    <row r="44" ht="15" customHeight="1">
      <c r="A44" s="56" t="str">
        <f>A17</f>
        <v>Helicon Chemical</v>
      </c>
      <c r="B44" s="57">
        <f>C17</f>
        <v>40</v>
      </c>
      <c r="C44" s="61">
        <f>B44*(1+S17)^Hold_Mid*Ret_Wpn_Mid</f>
        <v>220.8747798400001</v>
      </c>
      <c r="D44" s="36">
        <f>C44/B44</f>
        <v>5.5218694960000025</v>
      </c>
      <c r="E44" s="15">
        <f>IF((C44/B44)&lt;=0,-1,(C44/B44)^(1/Hold_Mid)-1)</f>
        <v>0.276474976444403</v>
      </c>
      <c r="F44" s="61">
        <f>B44*(1+T17)^Hold_Mid*Ret_Wpn_Mid</f>
        <v>527.1052398689956</v>
      </c>
      <c r="G44" s="36">
        <f>F44/B44</f>
        <v>13.17763099672489</v>
      </c>
      <c r="H44" s="15">
        <f>IF((F44/B44)&lt;=0,-1,(F44/B44)^(1/Hold_Mid)-1)</f>
        <v>0.4453624348662777</v>
      </c>
      <c r="I44" s="61">
        <f>B44*(1+U17)^Hold_Mid*Ret_Wpn_Mid</f>
        <v>45.0879979146269</v>
      </c>
      <c r="J44" s="36">
        <f>I44/B44</f>
        <v>1.1271999478656725</v>
      </c>
      <c r="K44" s="15">
        <f>IF((I44/B44)&lt;=0,-1,(I44/B44)^(1/Hold_Mid)-1)</f>
        <v>0.01725236584338563</v>
      </c>
      <c r="L44" s="62">
        <f>B44*(1+V17)^Hold_Mid*Ret_Wpn_Mid</f>
        <v>557.9303288088878</v>
      </c>
      <c r="M44" s="37">
        <f>L44/B44</f>
        <v>13.948258220222195</v>
      </c>
      <c r="N44" s="39">
        <f>IF((L44/B44)&lt;=0,-1,(L44/B44)^(1/Hold_Mid)-1)</f>
        <v>0.45714528080268746</v>
      </c>
    </row>
    <row r="45" ht="15" customHeight="1">
      <c r="A45" s="56" t="str">
        <f>A18</f>
        <v>The Ellwood Group</v>
      </c>
      <c r="B45" s="57">
        <f>C18</f>
        <v>50</v>
      </c>
      <c r="C45" s="61">
        <f>B45*(1+S18)^Hold_Mid*Ret_Wpn_Mid</f>
        <v>118.83358929498657</v>
      </c>
      <c r="D45" s="36">
        <f>C45/B45</f>
        <v>2.3766717858997315</v>
      </c>
      <c r="E45" s="15">
        <f>IF((C45/B45)&lt;=0,-1,(C45/B45)^(1/Hold_Mid)-1)</f>
        <v>0.1316441618093649</v>
      </c>
      <c r="F45" s="61">
        <f>B45*(1+T18)^Hold_Mid*Ret_Wpn_Mid</f>
        <v>216.96023984686957</v>
      </c>
      <c r="G45" s="36">
        <f>F45/B45</f>
        <v>4.339204796937391</v>
      </c>
      <c r="H45" s="15">
        <f>IF((F45/B45)&lt;=0,-1,(F45/B45)^(1/Hold_Mid)-1)</f>
        <v>0.23327120801089984</v>
      </c>
      <c r="I45" s="61">
        <f>B45*(1+U18)^Hold_Mid*Ret_Wpn_Mid</f>
        <v>65.29085417980225</v>
      </c>
      <c r="J45" s="36">
        <f>I45/B45</f>
        <v>1.305817083596045</v>
      </c>
      <c r="K45" s="15">
        <f>IF((I45/B45)&lt;=0,-1,(I45/B45)^(1/Hold_Mid)-1)</f>
        <v>0.03885425006013721</v>
      </c>
      <c r="L45" s="62">
        <f>B45*(1+V18)^Hold_Mid*Ret_Wpn_Mid</f>
        <v>218.17230514645902</v>
      </c>
      <c r="M45" s="37">
        <f>L45/B45</f>
        <v>4.3634461029291804</v>
      </c>
      <c r="N45" s="39">
        <f>IF((L45/B45)&lt;=0,-1,(L45/B45)^(1/Hold_Mid)-1)</f>
        <v>0.23425311183893416</v>
      </c>
    </row>
    <row r="46" ht="15" customHeight="1">
      <c r="A46" s="56" t="str">
        <f>A19</f>
        <v>Superior &amp; Grand Valley</v>
      </c>
      <c r="B46" s="57">
        <f>C19</f>
        <v>40</v>
      </c>
      <c r="C46" s="61">
        <f>B46*(1+S19)^Hold_Mid*Ret_Wpn_Mid</f>
        <v>95.06687143598927</v>
      </c>
      <c r="D46" s="36">
        <f>C46/B46</f>
        <v>2.376671785899732</v>
      </c>
      <c r="E46" s="15">
        <f>IF((C46/B46)&lt;=0,-1,(C46/B46)^(1/Hold_Mid)-1)</f>
        <v>0.1316441618093649</v>
      </c>
      <c r="F46" s="61">
        <f>B46*(1+T19)^Hold_Mid*Ret_Wpn_Mid</f>
        <v>164.12281592731856</v>
      </c>
      <c r="G46" s="36">
        <f>F46/B46</f>
        <v>4.103070398182964</v>
      </c>
      <c r="H46" s="15">
        <f>IF((F46/B46)&lt;=0,-1,(F46/B46)^(1/Hold_Mid)-1)</f>
        <v>0.22345216973055848</v>
      </c>
      <c r="I46" s="61">
        <f>B46*(1+U19)^Hold_Mid*Ret_Wpn_Mid</f>
        <v>48.87329749788746</v>
      </c>
      <c r="J46" s="36">
        <f>I46/B46</f>
        <v>1.2218324374471865</v>
      </c>
      <c r="K46" s="15">
        <f>IF((I46/B46)&lt;=0,-1,(I46/B46)^(1/Hold_Mid)-1)</f>
        <v>0.029035211779795622</v>
      </c>
      <c r="L46" s="62">
        <f>B46*(1+V19)^Hold_Mid*Ret_Wpn_Mid</f>
        <v>165.0470771868132</v>
      </c>
      <c r="M46" s="37">
        <f>L46/B46</f>
        <v>4.12617692967033</v>
      </c>
      <c r="N46" s="39">
        <f>IF((L46/B46)&lt;=0,-1,(L46/B46)^(1/Hold_Mid)-1)</f>
        <v>0.22443407355859235</v>
      </c>
    </row>
    <row r="47" ht="15" customHeight="1">
      <c r="A47" s="56" t="str">
        <f>A20</f>
        <v>Applied Research Assoc.</v>
      </c>
      <c r="B47" s="57">
        <f>C20</f>
        <v>40</v>
      </c>
      <c r="C47" s="61">
        <f>B47*(1+S20)^Hold_Mid*Ret_Wpn_Mid</f>
        <v>95.06687143598927</v>
      </c>
      <c r="D47" s="36">
        <f>C47/B47</f>
        <v>2.376671785899732</v>
      </c>
      <c r="E47" s="15">
        <f>IF((C47/B47)&lt;=0,-1,(C47/B47)^(1/Hold_Mid)-1)</f>
        <v>0.1316441618093649</v>
      </c>
      <c r="F47" s="61">
        <f>B47*(1+T20)^Hold_Mid*Ret_Wpn_Mid</f>
        <v>158.66986769730764</v>
      </c>
      <c r="G47" s="36">
        <f>F47/B47</f>
        <v>3.966746692432691</v>
      </c>
      <c r="H47" s="15">
        <f>IF((F47/B47)&lt;=0,-1,(F47/B47)^(1/Hold_Mid)-1)</f>
        <v>0.21756074676235349</v>
      </c>
      <c r="I47" s="61">
        <f>B47*(1+U20)^Hold_Mid*Ret_Wpn_Mid</f>
        <v>56.52350797204076</v>
      </c>
      <c r="J47" s="36">
        <f>I47/B47</f>
        <v>1.413087699301019</v>
      </c>
      <c r="K47" s="15">
        <f>IF((I47/B47)&lt;=0,-1,(I47/B47)^(1/Hold_Mid)-1)</f>
        <v>0.05063709599654698</v>
      </c>
      <c r="L47" s="62">
        <f>B47*(1+V20)^Hold_Mid*Ret_Wpn_Mid</f>
        <v>172.60316068720786</v>
      </c>
      <c r="M47" s="37">
        <f>L47/B47</f>
        <v>4.315079017180197</v>
      </c>
      <c r="N47" s="39">
        <f>IF((L47/B47)&lt;=0,-1,(L47/B47)^(1/Hold_Mid)-1)</f>
        <v>0.23228930418286575</v>
      </c>
    </row>
    <row r="48" ht="15" customHeight="1">
      <c r="A48" s="53" t="inlineStr">
        <is>
          <t>SLEEVE TOTAL</t>
        </is>
      </c>
      <c r="B48" s="63">
        <f>SUM(B39:B47)</f>
        <v>390.0</v>
      </c>
      <c r="C48" s="63">
        <f>SUM(C39:C47)</f>
        <v>1335.6852599158549</v>
      </c>
      <c r="D48" s="64">
        <f>C48/B48</f>
        <v>3.4248339997842434</v>
      </c>
      <c r="E48" s="65">
        <f>IF((C48/B48)&lt;=0,-1,(C48/B48)^(1/Hold_Mid)-1)</f>
        <v>0.19227675029385383</v>
      </c>
      <c r="F48" s="63">
        <f>SUM(F39:F47)</f>
        <v>2734.307718959475</v>
      </c>
      <c r="G48" s="64">
        <f>F48/B48</f>
        <v>7.011045433229423</v>
      </c>
      <c r="H48" s="65">
        <f>IF((F48/B48)&lt;=0,-1,(F48/B48)^(1/Hold_Mid)-1)</f>
        <v>0.3207667028848058</v>
      </c>
      <c r="I48" s="63">
        <f>SUM(I39:I47)</f>
        <v>463.7236831894512</v>
      </c>
      <c r="J48" s="64">
        <f>I48/B48</f>
        <v>1.1890350851011569</v>
      </c>
      <c r="K48" s="65">
        <f>IF((I48/B48)&lt;=0,-1,(I48/B48)^(1/Hold_Mid)-1)</f>
        <v>0.025043027066785628</v>
      </c>
      <c r="L48" s="66">
        <f>SUM(L39:L47)</f>
        <v>2737.7292308667043</v>
      </c>
      <c r="M48" s="67">
        <f>L48/B48</f>
        <v>7.019818540683857</v>
      </c>
      <c r="N48" s="68">
        <f>IF((L48/B48)&lt;=0,-1,(L48/B48)^(1/Hold_Mid)-1)</f>
        <v>0.32100267786161396</v>
      </c>
    </row>
    <row r="49" ht="15" customHeight="1">
      <c r="A49" s="177" t="n"/>
      <c r="B49" s="177" t="n"/>
      <c r="C49" s="177" t="n"/>
      <c r="D49" s="177" t="n"/>
      <c r="E49" s="177" t="n"/>
      <c r="F49" s="177" t="n"/>
      <c r="G49" s="177" t="n"/>
      <c r="H49" s="177" t="n"/>
      <c r="I49" s="177" t="n"/>
      <c r="J49" s="177" t="n"/>
      <c r="K49" s="177" t="n"/>
      <c r="L49" s="177" t="n"/>
      <c r="M49" s="177" t="n"/>
      <c r="N49" s="177" t="n"/>
    </row>
    <row r="50" ht="15" customHeight="1">
      <c r="A50" s="177" t="n"/>
      <c r="B50" s="177" t="n"/>
      <c r="C50" s="177" t="n"/>
      <c r="D50" s="177" t="n"/>
      <c r="E50" s="177" t="n"/>
      <c r="F50" s="177" t="n"/>
      <c r="G50" s="177" t="n"/>
      <c r="H50" s="177" t="n"/>
      <c r="I50" s="177" t="n"/>
      <c r="J50" s="177" t="n"/>
      <c r="K50" s="177" t="n"/>
      <c r="L50" s="177" t="n"/>
      <c r="M50" s="177" t="n"/>
      <c r="N50" s="177" t="n"/>
    </row>
    <row r="51" ht="15" customHeight="1">
      <c r="A51" s="28" t="str">
        <f>Hold_Long&amp;"-YEAR HOLD — GROSS PROCEEDS"</f>
        <v>10-YEAR HOLD — GROSS PROCEEDS</v>
      </c>
      <c r="B51" s="177" t="n"/>
      <c r="C51" s="177" t="n"/>
      <c r="D51" s="177" t="n"/>
      <c r="E51" s="177" t="n"/>
      <c r="F51" s="177" t="n"/>
      <c r="G51" s="177" t="n"/>
      <c r="H51" s="177" t="n"/>
      <c r="I51" s="177" t="n"/>
      <c r="J51" s="177" t="n"/>
      <c r="K51" s="177" t="n"/>
      <c r="L51" s="177" t="n"/>
      <c r="M51" s="177" t="n"/>
      <c r="N51" s="177" t="n"/>
    </row>
    <row r="52" ht="27.75" customHeight="1">
      <c r="A52" s="186" t="inlineStr">
        <is>
          <t>Company</t>
        </is>
      </c>
      <c r="B52" s="186" t="inlineStr">
        <is>
          <t>Check ($M)</t>
        </is>
      </c>
      <c r="C52" s="186" t="inlineStr">
        <is>
          <t>Base $</t>
        </is>
      </c>
      <c r="D52" s="186" t="inlineStr">
        <is>
          <t>Base MOIC</t>
        </is>
      </c>
      <c r="E52" s="186" t="inlineStr">
        <is>
          <t>Base IRR</t>
        </is>
      </c>
      <c r="F52" s="186" t="inlineStr">
        <is>
          <t>Bull $</t>
        </is>
      </c>
      <c r="G52" s="186" t="inlineStr">
        <is>
          <t>Bull MOIC</t>
        </is>
      </c>
      <c r="H52" s="186" t="inlineStr">
        <is>
          <t>Bull IRR</t>
        </is>
      </c>
      <c r="I52" s="186" t="inlineStr">
        <is>
          <t>Bear $</t>
        </is>
      </c>
      <c r="J52" s="186" t="inlineStr">
        <is>
          <t>Bear MOIC</t>
        </is>
      </c>
      <c r="K52" s="186" t="inlineStr">
        <is>
          <t>Bear IRR</t>
        </is>
      </c>
      <c r="L52" s="21" t="inlineStr">
        <is>
          <t>Shock $</t>
        </is>
      </c>
      <c r="M52" s="21" t="inlineStr">
        <is>
          <t>Shock MOIC</t>
        </is>
      </c>
      <c r="N52" s="21" t="inlineStr">
        <is>
          <t>Shock IRR</t>
        </is>
      </c>
    </row>
    <row r="53" ht="15" customHeight="1">
      <c r="A53" s="56" t="str">
        <f>A12</f>
        <v>Saronic</v>
      </c>
      <c r="B53" s="57">
        <f>C12</f>
        <v>70</v>
      </c>
      <c r="C53" s="61">
        <f>B53*(1+S12)^Hold_Long*Ret_Wpn_Long</f>
        <v>638.9837334226452</v>
      </c>
      <c r="D53" s="36">
        <f>C53/B53</f>
        <v>9.128339048894931</v>
      </c>
      <c r="E53" s="15">
        <f>IF((C53/B53)&lt;=0,-1,(C53/B53)^(1/Hold_Long)-1)</f>
        <v>0.24749604159723892</v>
      </c>
      <c r="F53" s="61">
        <f>B53*(1+T12)^Hold_Long*Ret_Wpn_Long</f>
        <v>1913.3540334383827</v>
      </c>
      <c r="G53" s="36">
        <f>F53/B53</f>
        <v>27.333629049119754</v>
      </c>
      <c r="H53" s="15">
        <f>IF((F53/B53)&lt;=0,-1,(F53/B53)^(1/Hold_Long)-1)</f>
        <v>0.39209774386489515</v>
      </c>
      <c r="I53" s="61">
        <f>B53*(1+U12)^Hold_Long*Ret_Wpn_Long</f>
        <v>63.40530999860314</v>
      </c>
      <c r="J53" s="36">
        <f>I53/B53</f>
        <v>0.9057901428371876</v>
      </c>
      <c r="K53" s="15">
        <f>IF((I53/B53)&lt;=0,-1,(I53/B53)^(1/Hold_Long)-1)</f>
        <v>-0.009845970912996993</v>
      </c>
      <c r="L53" s="62">
        <f>B53*(1+V12)^Hold_Long*Ret_Wpn_Long</f>
        <v>1601.9684864556318</v>
      </c>
      <c r="M53" s="37">
        <f>L53/B53</f>
        <v>22.885264092223313</v>
      </c>
      <c r="N53" s="39">
        <f>IF((L53/B53)&lt;=0,-1,(L53/B53)^(1/Hold_Long)-1)</f>
        <v>0.3675889807686823</v>
      </c>
    </row>
    <row r="54" ht="15" customHeight="1">
      <c r="A54" s="56" t="str">
        <f>A13</f>
        <v>Epirus</v>
      </c>
      <c r="B54" s="57">
        <f>C13</f>
        <v>45</v>
      </c>
      <c r="C54" s="61">
        <f>B54*(1+S13)^Hold_Long*Ret_Wpn_Long</f>
        <v>357.65444287376243</v>
      </c>
      <c r="D54" s="36">
        <f>C54/B54</f>
        <v>7.947876508305832</v>
      </c>
      <c r="E54" s="15">
        <f>IF((C54/B54)&lt;=0,-1,(C54/B54)^(1/Hold_Long)-1)</f>
        <v>0.23033990742988975</v>
      </c>
      <c r="F54" s="61">
        <f>B54*(1+T13)^Hold_Long*Ret_Wpn_Long</f>
        <v>1098.2404718733992</v>
      </c>
      <c r="G54" s="36">
        <f>F54/B54</f>
        <v>24.40534381940887</v>
      </c>
      <c r="H54" s="15">
        <f>IF((F54/B54)&lt;=0,-1,(F54/B54)^(1/Hold_Long)-1)</f>
        <v>0.376412135483319</v>
      </c>
      <c r="I54" s="61">
        <f>B54*(1+U13)^Hold_Long*Ret_Wpn_Long</f>
        <v>34.05203630122301</v>
      </c>
      <c r="J54" s="36">
        <f>I54/B54</f>
        <v>0.7567119178049558</v>
      </c>
      <c r="K54" s="15">
        <f>IF((I54/B54)&lt;=0,-1,(I54/B54)^(1/Hold_Long)-1)</f>
        <v>-0.02749228034227036</v>
      </c>
      <c r="L54" s="62">
        <f>B54*(1+V13)^Hold_Long*Ret_Wpn_Long</f>
        <v>1212.7985655710265</v>
      </c>
      <c r="M54" s="37">
        <f>L54/B54</f>
        <v>26.9510792349117</v>
      </c>
      <c r="N54" s="39">
        <f>IF((L54/B54)&lt;=0,-1,(L54/B54)^(1/Hold_Long)-1)</f>
        <v>0.3901370428171984</v>
      </c>
    </row>
    <row r="55" ht="15" customHeight="1">
      <c r="A55" s="56" t="str">
        <f>A14</f>
        <v>Israel Aerospace Ind.</v>
      </c>
      <c r="B55" s="57">
        <f>C14</f>
        <v>40</v>
      </c>
      <c r="C55" s="61">
        <f>B55*(1+S14)^Hold_Long*Ret_Wpn_Long</f>
        <v>194.78382798892096</v>
      </c>
      <c r="D55" s="36">
        <f>C55/B55</f>
        <v>4.869595699723024</v>
      </c>
      <c r="E55" s="15">
        <f>IF((C55/B55)&lt;=0,-1,(C55/B55)^(1/Hold_Long)-1)</f>
        <v>0.17151887599897875</v>
      </c>
      <c r="F55" s="61">
        <f>B55*(1+T14)^Hold_Long*Ret_Wpn_Long</f>
        <v>526.760444865271</v>
      </c>
      <c r="G55" s="36">
        <f>F55/B55</f>
        <v>13.169011121631774</v>
      </c>
      <c r="H55" s="15">
        <f>IF((F55/B55)&lt;=0,-1,(F55/B55)^(1/Hold_Long)-1)</f>
        <v>0.2940626914800435</v>
      </c>
      <c r="I55" s="61">
        <f>B55*(1+U14)^Hold_Long*Ret_Wpn_Long</f>
        <v>70.81273991054745</v>
      </c>
      <c r="J55" s="36">
        <f>I55/B55</f>
        <v>1.7703184977636863</v>
      </c>
      <c r="K55" s="15">
        <f>IF((I55/B55)&lt;=0,-1,(I55/B55)^(1/Hold_Long)-1)</f>
        <v>0.05877856575639928</v>
      </c>
      <c r="L55" s="62">
        <f>B55*(1+V14)^Hold_Long*Ret_Wpn_Long</f>
        <v>488.1876631279702</v>
      </c>
      <c r="M55" s="37">
        <f>L55/B55</f>
        <v>12.204691578199256</v>
      </c>
      <c r="N55" s="39">
        <f>IF((L55/B55)&lt;=0,-1,(L55/B55)^(1/Hold_Long)-1)</f>
        <v>0.28425918624155844</v>
      </c>
    </row>
    <row r="56" ht="15" customHeight="1">
      <c r="A56" s="56" t="str">
        <f>A15</f>
        <v>Elta Systems</v>
      </c>
      <c r="B56" s="57">
        <f>C15</f>
        <v>30</v>
      </c>
      <c r="C56" s="61">
        <f>B56*(1+S15)^Hold_Long*Ret_Wpn_Long</f>
        <v>123.39960603727528</v>
      </c>
      <c r="D56" s="36">
        <f>C56/B56</f>
        <v>4.11332020124251</v>
      </c>
      <c r="E56" s="15">
        <f>IF((C56/B56)&lt;=0,-1,(C56/B56)^(1/Hold_Long)-1)</f>
        <v>0.15191186552200842</v>
      </c>
      <c r="F56" s="61">
        <f>B56*(1+T15)^Hold_Long*Ret_Wpn_Long</f>
        <v>299.63003459966365</v>
      </c>
      <c r="G56" s="36">
        <f>F56/B56</f>
        <v>9.987667819988788</v>
      </c>
      <c r="H56" s="15">
        <f>IF((F56/B56)&lt;=0,-1,(F56/B56)^(1/Hold_Long)-1)</f>
        <v>0.258770072621497</v>
      </c>
      <c r="I56" s="61">
        <f>B56*(1+U15)^Hold_Long*Ret_Wpn_Long</f>
        <v>44.89317016930477</v>
      </c>
      <c r="J56" s="36">
        <f>I56/B56</f>
        <v>1.4964390056434922</v>
      </c>
      <c r="K56" s="15">
        <f>IF((I56/B56)&lt;=0,-1,(I56/B56)^(1/Hold_Long)-1)</f>
        <v>0.041132256327125916</v>
      </c>
      <c r="L56" s="62">
        <f>B56*(1+V15)^Hold_Long*Ret_Wpn_Long</f>
        <v>333.9504490246813</v>
      </c>
      <c r="M56" s="37">
        <f>L56/B56</f>
        <v>11.131681634156044</v>
      </c>
      <c r="N56" s="39">
        <f>IF((L56/B56)&lt;=0,-1,(L56/B56)^(1/Hold_Long)-1)</f>
        <v>0.2724949799553762</v>
      </c>
    </row>
    <row r="57" ht="15" customHeight="1">
      <c r="A57" s="56" t="str">
        <f>A16</f>
        <v>Heckler &amp; Koch</v>
      </c>
      <c r="B57" s="57">
        <f>C16</f>
        <v>35</v>
      </c>
      <c r="C57" s="61">
        <f>B57*(1+S16)^Hold_Long*Ret_Wpn_Long</f>
        <v>101.8217394695603</v>
      </c>
      <c r="D57" s="36">
        <f>C57/B57</f>
        <v>2.9091925562731515</v>
      </c>
      <c r="E57" s="15">
        <f>IF((C57/B57)&lt;=0,-1,(C57/B57)^(1/Hold_Long)-1)</f>
        <v>0.11269784456806775</v>
      </c>
      <c r="F57" s="61">
        <f>B57*(1+T16)^Hold_Long*Ret_Wpn_Long</f>
        <v>216.61876467583792</v>
      </c>
      <c r="G57" s="36">
        <f>F57/B57</f>
        <v>6.1891075621667975</v>
      </c>
      <c r="H57" s="15">
        <f>IF((F57/B57)&lt;=0,-1,(F57/B57)^(1/Hold_Long)-1)</f>
        <v>0.19994904119058576</v>
      </c>
      <c r="I57" s="61">
        <f>B57*(1+U16)^Hold_Long*Ret_Wpn_Long</f>
        <v>47.64740961726166</v>
      </c>
      <c r="J57" s="36">
        <f>I57/B57</f>
        <v>1.3613545604931903</v>
      </c>
      <c r="K57" s="15">
        <f>IF((I57/B57)&lt;=0,-1,(I57/B57)^(1/Hold_Long)-1)</f>
        <v>0.03132875108864086</v>
      </c>
      <c r="L57" s="62">
        <f>B57*(1+V16)^Hold_Long*Ret_Wpn_Long</f>
        <v>242.71037629167466</v>
      </c>
      <c r="M57" s="37">
        <f>L57/B57</f>
        <v>6.934582179762133</v>
      </c>
      <c r="N57" s="39">
        <f>IF((L57/B57)&lt;=0,-1,(L57/B57)^(1/Hold_Long)-1)</f>
        <v>0.21367394852446497</v>
      </c>
    </row>
    <row r="58" ht="15" customHeight="1">
      <c r="A58" s="56" t="str">
        <f>A17</f>
        <v>Helicon Chemical</v>
      </c>
      <c r="B58" s="57">
        <f>C17</f>
        <v>40</v>
      </c>
      <c r="C58" s="61">
        <f>B58*(1+S17)^Hold_Long*Ret_Wpn_Long</f>
        <v>452.1758532647201</v>
      </c>
      <c r="D58" s="36">
        <f>C58/B58</f>
        <v>11.304396331618003</v>
      </c>
      <c r="E58" s="15">
        <f>IF((C58/B58)&lt;=0,-1,(C58/B58)^(1/Hold_Long)-1)</f>
        <v>0.27445568100307316</v>
      </c>
      <c r="F58" s="61">
        <f>B58*(1+T17)^Hold_Long*Ret_Wpn_Long</f>
        <v>1566.5777129609257</v>
      </c>
      <c r="G58" s="36">
        <f>F58/B58</f>
        <v>39.16444282402314</v>
      </c>
      <c r="H58" s="15">
        <f>IF((F58/B58)&lt;=0,-1,(F58/B58)^(1/Hold_Long)-1)</f>
        <v>0.4430759711050183</v>
      </c>
      <c r="I58" s="61">
        <f>B58*(1+U17)^Hold_Long*Ret_Wpn_Long</f>
        <v>46.71661830654783</v>
      </c>
      <c r="J58" s="36">
        <f>I58/B58</f>
        <v>1.1679154576636956</v>
      </c>
      <c r="K58" s="15">
        <f>IF((I58/B58)&lt;=0,-1,(I58/B58)^(1/Hold_Long)-1)</f>
        <v>0.01564314270706446</v>
      </c>
      <c r="L58" s="62">
        <f>B58*(1+V17)^Hold_Long*Ret_Wpn_Long</f>
        <v>1699.0761868560612</v>
      </c>
      <c r="M58" s="37">
        <f>L58/B58</f>
        <v>42.47690467140153</v>
      </c>
      <c r="N58" s="39">
        <f>IF((L58/B58)&lt;=0,-1,(L58/B58)^(1/Hold_Long)-1)</f>
        <v>0.45484017739120053</v>
      </c>
    </row>
    <row r="59" ht="15" customHeight="1">
      <c r="A59" s="56" t="str">
        <f>A18</f>
        <v>The Ellwood Group</v>
      </c>
      <c r="B59" s="57">
        <f>C18</f>
        <v>50</v>
      </c>
      <c r="C59" s="61">
        <f>B59*(1+S18)^Hold_Long*Ret_Wpn_Long</f>
        <v>169.50916998963478</v>
      </c>
      <c r="D59" s="36">
        <f>C59/B59</f>
        <v>3.390183399792696</v>
      </c>
      <c r="E59" s="15">
        <f>IF((C59/B59)&lt;=0,-1,(C59/B59)^(1/Hold_Long)-1)</f>
        <v>0.12985397873541693</v>
      </c>
      <c r="F59" s="61">
        <f>B59*(1+T18)^Hold_Long*Ret_Wpn_Long</f>
        <v>400.5716881679196</v>
      </c>
      <c r="G59" s="36">
        <f>F59/B59</f>
        <v>8.011433763358392</v>
      </c>
      <c r="H59" s="15">
        <f>IF((F59/B59)&lt;=0,-1,(F59/B59)^(1/Hold_Long)-1)</f>
        <v>0.23132025795373834</v>
      </c>
      <c r="I59" s="61">
        <f>B59*(1+U18)^Hold_Long*Ret_Wpn_Long</f>
        <v>72.0510864227513</v>
      </c>
      <c r="J59" s="36">
        <f>I59/B59</f>
        <v>1.441021728455026</v>
      </c>
      <c r="K59" s="15">
        <f>IF((I59/B59)&lt;=0,-1,(I59/B59)^(1/Hold_Long)-1)</f>
        <v>0.03721085423173198</v>
      </c>
      <c r="L59" s="62">
        <f>B59*(1+V18)^Hold_Long*Ret_Wpn_Long</f>
        <v>403.77240400192414</v>
      </c>
      <c r="M59" s="37">
        <f>L59/B59</f>
        <v>8.075448080038482</v>
      </c>
      <c r="N59" s="39">
        <f>IF((L59/B59)&lt;=0,-1,(L59/B59)^(1/Hold_Long)-1)</f>
        <v>0.23230060847758693</v>
      </c>
    </row>
    <row r="60" ht="15" customHeight="1">
      <c r="A60" s="56" t="str">
        <f>A19</f>
        <v>Superior &amp; Grand Valley</v>
      </c>
      <c r="B60" s="57">
        <f>C19</f>
        <v>40</v>
      </c>
      <c r="C60" s="61">
        <f>B60*(1+S19)^Hold_Long*Ret_Wpn_Long</f>
        <v>135.60733599170783</v>
      </c>
      <c r="D60" s="36">
        <f>C60/B60</f>
        <v>3.390183399792696</v>
      </c>
      <c r="E60" s="15">
        <f>IF((C60/B60)&lt;=0,-1,(C60/B60)^(1/Hold_Long)-1)</f>
        <v>0.12985397873541693</v>
      </c>
      <c r="F60" s="61">
        <f>B60*(1+T19)^Hold_Long*Ret_Wpn_Long</f>
        <v>295.83821058874065</v>
      </c>
      <c r="G60" s="36">
        <f>F60/B60</f>
        <v>7.395955264718516</v>
      </c>
      <c r="H60" s="15">
        <f>IF((F60/B60)&lt;=0,-1,(F60/B60)^(1/Hold_Long)-1)</f>
        <v>0.22151675271525328</v>
      </c>
      <c r="I60" s="61">
        <f>B60*(1+U19)^Hold_Long*Ret_Wpn_Long</f>
        <v>52.41875118613244</v>
      </c>
      <c r="J60" s="36">
        <f>I60/B60</f>
        <v>1.310468779653311</v>
      </c>
      <c r="K60" s="15">
        <f>IF((I60/B60)&lt;=0,-1,(I60/B60)^(1/Hold_Long)-1)</f>
        <v>0.027407348993246705</v>
      </c>
      <c r="L60" s="62">
        <f>B60*(1+V19)^Hold_Long*Ret_Wpn_Long</f>
        <v>298.22110735444755</v>
      </c>
      <c r="M60" s="37">
        <f>L60/B60</f>
        <v>7.455527683861189</v>
      </c>
      <c r="N60" s="39">
        <f>IF((L60/B60)&lt;=0,-1,(L60/B60)^(1/Hold_Long)-1)</f>
        <v>0.22249710323910166</v>
      </c>
    </row>
    <row r="61" ht="15" customHeight="1">
      <c r="A61" s="56" t="str">
        <f>A20</f>
        <v>Applied Research Assoc.</v>
      </c>
      <c r="B61" s="57">
        <f>C20</f>
        <v>40</v>
      </c>
      <c r="C61" s="61">
        <f>B61*(1+S20)^Hold_Long*Ret_Wpn_Long</f>
        <v>135.60733599170783</v>
      </c>
      <c r="D61" s="36">
        <f>C61/B61</f>
        <v>3.390183399792696</v>
      </c>
      <c r="E61" s="15">
        <f>IF((C61/B61)&lt;=0,-1,(C61/B61)^(1/Hold_Long)-1)</f>
        <v>0.12985397873541693</v>
      </c>
      <c r="F61" s="61">
        <f>B61*(1+T20)^Hold_Long*Ret_Wpn_Long</f>
        <v>281.8971566129311</v>
      </c>
      <c r="G61" s="36">
        <f>F61/B61</f>
        <v>7.047428915323278</v>
      </c>
      <c r="H61" s="15">
        <f>IF((F61/B61)&lt;=0,-1,(F61/B61)^(1/Hold_Long)-1)</f>
        <v>0.21563464957216216</v>
      </c>
      <c r="I61" s="61">
        <f>B61*(1+U20)^Hold_Long*Ret_Wpn_Long</f>
        <v>64.52256451909778</v>
      </c>
      <c r="J61" s="36">
        <f>I61/B61</f>
        <v>1.6130641129774446</v>
      </c>
      <c r="K61" s="15">
        <f>IF((I61/B61)&lt;=0,-1,(I61/B61)^(1/Hold_Long)-1)</f>
        <v>0.048975060517914226</v>
      </c>
      <c r="L61" s="62">
        <f>B61*(1+V20)^Hold_Long*Ret_Wpn_Long</f>
        <v>317.9150603322333</v>
      </c>
      <c r="M61" s="37">
        <f>L61/B61</f>
        <v>7.947876508305832</v>
      </c>
      <c r="N61" s="39">
        <f>IF((L61/B61)&lt;=0,-1,(L61/B61)^(1/Hold_Long)-1)</f>
        <v>0.23033990742988975</v>
      </c>
    </row>
    <row r="62" ht="15" customHeight="1">
      <c r="A62" s="53" t="inlineStr">
        <is>
          <t>SLEEVE TOTAL</t>
        </is>
      </c>
      <c r="B62" s="63">
        <f>SUM(B53:B61)</f>
        <v>390.0</v>
      </c>
      <c r="C62" s="63">
        <f>SUM(C53:C61)</f>
        <v>2309.5430450299345</v>
      </c>
      <c r="D62" s="64">
        <f>C62/B62</f>
        <v>5.921905243666499</v>
      </c>
      <c r="E62" s="65">
        <f>IF((C62/B62)&lt;=0,-1,(C62/B62)^(1/Hold_Long)-1)</f>
        <v>0.19466501377167633</v>
      </c>
      <c r="F62" s="63">
        <f>SUM(F53:F61)</f>
        <v>6599.488517783072</v>
      </c>
      <c r="G62" s="64">
        <f>F62/B62</f>
        <v>16.921765430213004</v>
      </c>
      <c r="H62" s="65">
        <f>IF((F62/B62)&lt;=0,-1,(F62/B62)^(1/Hold_Long)-1)</f>
        <v>0.3269194714688306</v>
      </c>
      <c r="I62" s="63">
        <f>SUM(I53:I61)</f>
        <v>496.5196864314694</v>
      </c>
      <c r="J62" s="64">
        <f>I62/B62</f>
        <v>1.2731274011063318</v>
      </c>
      <c r="K62" s="65">
        <f>IF((I62/B62)&lt;=0,-1,(I62/B62)^(1/Hold_Long)-1)</f>
        <v>0.02444155466167075</v>
      </c>
      <c r="L62" s="66">
        <f>SUM(L53:L61)</f>
        <v>6598.600299015651</v>
      </c>
      <c r="M62" s="67">
        <f>L62/B62</f>
        <v>16.91948794619398</v>
      </c>
      <c r="N62" s="68">
        <f>IF((L62/B62)&lt;=0,-1,(L62/B62)^(1/Hold_Long)-1)</f>
        <v>0.32690161150647157</v>
      </c>
    </row>
    <row r="63"/>
  </sheetData>
  <printOptions horizontalCentered="1"/>
  <pageMargins left="0.4" right="0.4" top="1" bottom="1" header="0.511811023622047" footer="0.511811023622047"/>
  <pageSetup orientation="landscape" paperSize="1" scale="45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W66"/>
  <sheetViews>
    <sheetView showGridLines="0" tabSelected="0" zoomScale="90" zoomScaleNormal="100" workbookViewId="0">
      <pane xSplit="1" ySplit="11" topLeftCell="B1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8.6640625" defaultRowHeight="15"/>
  <cols>
    <col width="22" customWidth="1" min="1" max="1"/>
    <col width="12" customWidth="1" min="2" max="2"/>
    <col width="10" customWidth="1" min="3" max="4"/>
    <col width="24" customWidth="1" min="5" max="5"/>
    <col width="9" customWidth="1" min="6" max="6"/>
    <col width="10" customWidth="1" min="7" max="9"/>
    <col width="26" customWidth="1" min="10" max="10"/>
    <col width="10" customWidth="1" min="11" max="11"/>
    <col width="11" customWidth="1" min="12" max="14"/>
    <col width="13" customWidth="1" min="16" max="16"/>
    <col width="13" customWidth="1" min="17" max="17"/>
    <col width="13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 ht="18" customHeight="1">
      <c r="A1" s="9" t="inlineStr">
        <is>
          <t>CONSUMER / VALUE SLEEVE — BOTTOM-UP ($200M)</t>
        </is>
      </c>
      <c r="B1" s="177" t="n"/>
      <c r="C1" s="177" t="n"/>
      <c r="D1" s="177" t="n"/>
      <c r="E1" s="177" t="n"/>
      <c r="F1" s="177" t="n"/>
      <c r="G1" s="177" t="n"/>
      <c r="H1" s="177" t="n"/>
      <c r="I1" s="177" t="n"/>
      <c r="J1" s="177" t="n"/>
      <c r="K1" s="177" t="n"/>
      <c r="L1" s="177" t="n"/>
      <c r="M1" s="177" t="n"/>
      <c r="N1" s="177" t="n"/>
    </row>
    <row r="2" ht="15" customHeight="1">
      <c r="A2" s="180" t="inlineStr">
        <is>
          <t>Spending-cycle / DTC-value holdings. Blue = input. Proceeds use cohort-adjusted CAGRs (cols T:W): base CAGR + exposure score x uplift per point, where the exposure score weights each name's TAM across prime-earning, entering-prime and retiring-boomer cohorts. Quince &amp; Whoop = confirmed 2026 primary rounds; Farmer's Dog, Thrive, Polymarket &amp; Stripe = market-priced; Made In, Plunge &amp; Goat remain estimates.</t>
        </is>
      </c>
      <c r="B2" s="177" t="n"/>
      <c r="C2" s="177" t="n"/>
      <c r="D2" s="177" t="n"/>
      <c r="E2" s="177" t="n"/>
      <c r="F2" s="177" t="n"/>
      <c r="G2" s="177" t="n"/>
      <c r="H2" s="177" t="n"/>
      <c r="I2" s="177" t="n"/>
      <c r="J2" s="177" t="n"/>
      <c r="K2" s="177" t="n"/>
      <c r="L2" s="177" t="n"/>
      <c r="M2" s="177" t="n"/>
      <c r="N2" s="177" t="n"/>
    </row>
    <row r="3" ht="15" customHeight="1">
      <c r="A3" s="177" t="n"/>
      <c r="B3" s="177" t="n"/>
      <c r="C3" s="177" t="n"/>
      <c r="D3" s="177" t="n"/>
      <c r="E3" s="177" t="n"/>
      <c r="F3" s="177" t="n"/>
      <c r="G3" s="177" t="n"/>
      <c r="H3" s="177" t="n"/>
      <c r="I3" s="177" t="n"/>
      <c r="J3" s="177" t="n"/>
      <c r="K3" s="177" t="n"/>
      <c r="L3" s="177" t="n"/>
      <c r="M3" s="177" t="n"/>
      <c r="N3" s="177" t="n"/>
    </row>
    <row r="4" ht="15" customHeight="1">
      <c r="A4" s="11" t="inlineStr">
        <is>
          <t>SLEEVE TERMS</t>
        </is>
      </c>
      <c r="B4" s="177" t="n"/>
      <c r="C4" s="177" t="n"/>
      <c r="D4" s="177" t="n"/>
      <c r="E4" s="177" t="n"/>
      <c r="F4" s="177" t="n"/>
      <c r="G4" s="177" t="n"/>
      <c r="H4" s="177" t="n"/>
      <c r="I4" s="177" t="n"/>
      <c r="J4" s="177" t="n"/>
      <c r="K4" s="177" t="n"/>
      <c r="L4" s="177" t="n"/>
      <c r="M4" s="177" t="n"/>
      <c r="N4" s="177" t="n"/>
      <c r="P4" s="203" t="inlineStr">
        <is>
          <t>COHORT-EXPOSURE OVERLAY — CAGR UPLIFT PER EXPOSURE POINT (blue = lever)</t>
        </is>
      </c>
      <c r="S4" s="203" t="inlineStr">
        <is>
          <t>COHORT WEIGHTS (must sum to 100%)</t>
        </is>
      </c>
    </row>
    <row r="5" ht="15" customHeight="1">
      <c r="A5" s="25" t="inlineStr">
        <is>
          <t>Committed ($M)</t>
        </is>
      </c>
      <c r="B5" s="45">
        <f>Con_Size</f>
        <v>200</v>
      </c>
      <c r="C5" s="177" t="n"/>
      <c r="D5" s="177" t="n"/>
      <c r="E5" s="177" t="n"/>
      <c r="F5" s="177" t="n"/>
      <c r="G5" s="177" t="n"/>
      <c r="H5" s="177" t="n"/>
      <c r="I5" s="177" t="n"/>
      <c r="J5" s="177" t="n"/>
      <c r="K5" s="177" t="n"/>
      <c r="L5" s="177" t="n"/>
      <c r="M5" s="177" t="n"/>
      <c r="N5" s="177" t="n"/>
      <c r="P5" s="200" t="inlineStr">
        <is>
          <t>Base uplift / pt</t>
        </is>
      </c>
      <c r="Q5" s="221" t="n">
        <v>0.005</v>
      </c>
      <c r="S5" s="200" t="inlineStr">
        <is>
          <t>Prime earning years (35-54)</t>
        </is>
      </c>
      <c r="T5" s="221" t="n">
        <v>0.5</v>
      </c>
    </row>
    <row r="6" ht="15" customHeight="1">
      <c r="A6" s="25" t="str">
        <f>"Retention @ "&amp;Hold_Short&amp;"yr"</f>
        <v>Retention @ 5yr</v>
      </c>
      <c r="B6" s="27" t="n">
        <v>0.9</v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P6" s="200" t="inlineStr">
        <is>
          <t>Bull uplift / pt</t>
        </is>
      </c>
      <c r="Q6" s="221" t="n">
        <v>0.008</v>
      </c>
      <c r="S6" s="200" t="inlineStr">
        <is>
          <t>Entering prime (22-34)</t>
        </is>
      </c>
      <c r="T6" s="221" t="n">
        <v>0.3</v>
      </c>
    </row>
    <row r="7" ht="15" customHeight="1">
      <c r="A7" s="25" t="str">
        <f>"Retention @ "&amp;Hold_Mid&amp;"yr"</f>
        <v>Retention @ 7yr</v>
      </c>
      <c r="B7" s="27" t="n">
        <v>0.84</v>
      </c>
      <c r="C7" s="177" t="n"/>
      <c r="D7" s="177" t="n"/>
      <c r="E7" s="177" t="n"/>
      <c r="F7" s="177" t="n"/>
      <c r="G7" s="177" t="n"/>
      <c r="H7" s="177" t="n"/>
      <c r="I7" s="177" t="n"/>
      <c r="J7" s="177" t="n"/>
      <c r="K7" s="177" t="n"/>
      <c r="L7" s="177" t="n"/>
      <c r="M7" s="177" t="n"/>
      <c r="N7" s="177" t="n"/>
      <c r="P7" s="200" t="inlineStr">
        <is>
          <t>Bear uplift / pt (spend resilience)</t>
        </is>
      </c>
      <c r="Q7" s="221" t="n">
        <v>0.004</v>
      </c>
      <c r="S7" s="200" t="inlineStr">
        <is>
          <t>Boomers entering retirement (60+)</t>
        </is>
      </c>
      <c r="T7" s="221" t="n">
        <v>0.2</v>
      </c>
    </row>
    <row r="8" ht="15" customHeight="1">
      <c r="A8" s="25" t="str">
        <f>"Retention @ "&amp;Hold_Long&amp;"yr"</f>
        <v>Retention @ 10yr</v>
      </c>
      <c r="B8" s="27" t="n">
        <v>0.75</v>
      </c>
      <c r="C8" s="177" t="n"/>
      <c r="D8" s="177" t="n"/>
      <c r="E8" s="177" t="n"/>
      <c r="F8" s="177" t="n"/>
      <c r="G8" s="177" t="n"/>
      <c r="H8" s="177" t="n"/>
      <c r="I8" s="177" t="n"/>
      <c r="J8" s="177" t="n"/>
      <c r="K8" s="177" t="n"/>
      <c r="L8" s="177" t="n"/>
      <c r="M8" s="177" t="n"/>
      <c r="N8" s="177" t="n"/>
      <c r="P8" s="200" t="inlineStr">
        <is>
          <t>Shock uplift / pt</t>
        </is>
      </c>
      <c r="Q8" s="221" t="n">
        <v>0.003</v>
      </c>
      <c r="S8" s="222" t="inlineStr">
        <is>
          <t>Sum (check = 100%)</t>
        </is>
      </c>
      <c r="T8" s="223">
        <f>SUM(T5:T7)</f>
        <v>1.0</v>
      </c>
    </row>
    <row r="9" ht="15" customHeight="1">
      <c r="A9" s="177" t="n"/>
      <c r="B9" s="177" t="n"/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n"/>
      <c r="L9" s="177" t="n"/>
      <c r="M9" s="177" t="n"/>
      <c r="N9" s="177" t="n"/>
    </row>
    <row r="10" ht="15" customHeight="1">
      <c r="A10" s="11" t="inlineStr">
        <is>
          <t>HOLDINGS, ENTRY MARKS &amp; GROWTH ASSUMPTIONS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</row>
    <row r="11" ht="40.5" customHeight="1">
      <c r="A11" s="186" t="inlineStr">
        <is>
          <t>Company</t>
        </is>
      </c>
      <c r="B11" s="186" t="inlineStr">
        <is>
          <t>Entry post-$M</t>
        </is>
      </c>
      <c r="C11" s="186" t="inlineStr">
        <is>
          <t>Check ($M)</t>
        </is>
      </c>
      <c r="D11" s="186" t="inlineStr">
        <is>
          <t>Own %</t>
        </is>
      </c>
      <c r="E11" s="186" t="inlineStr">
        <is>
          <t>Channel / access note</t>
        </is>
      </c>
      <c r="F11" s="186" t="inlineStr">
        <is>
          <t>Base</t>
        </is>
      </c>
      <c r="G11" s="186" t="inlineStr">
        <is>
          <t>Bull</t>
        </is>
      </c>
      <c r="H11" s="186" t="inlineStr">
        <is>
          <t>Bear</t>
        </is>
      </c>
      <c r="I11" s="21" t="inlineStr">
        <is>
          <t>Shock</t>
        </is>
      </c>
      <c r="J11" s="186" t="inlineStr">
        <is>
          <t>Valuation basis</t>
        </is>
      </c>
      <c r="K11" s="177" t="n"/>
      <c r="L11" s="177" t="n"/>
      <c r="M11" s="177" t="n"/>
      <c r="N11" s="177" t="n"/>
      <c r="P11" s="198" t="inlineStr">
        <is>
          <t>Prime-earning TAM (0-5)</t>
        </is>
      </c>
      <c r="Q11" s="198" t="inlineStr">
        <is>
          <t>Entering-prime TAM (0-5)</t>
        </is>
      </c>
      <c r="R11" s="198" t="inlineStr">
        <is>
          <t>Boomer / retiree TAM (0-5)</t>
        </is>
      </c>
      <c r="S11" s="198" t="inlineStr">
        <is>
          <t>Exposure score</t>
        </is>
      </c>
      <c r="T11" s="198" t="inlineStr">
        <is>
          <t>Adj. Base</t>
        </is>
      </c>
      <c r="U11" s="198" t="inlineStr">
        <is>
          <t>Adj. Bull</t>
        </is>
      </c>
      <c r="V11" s="198" t="inlineStr">
        <is>
          <t>Adj. Bear</t>
        </is>
      </c>
      <c r="W11" s="198" t="inlineStr">
        <is>
          <t>Adj. Shock</t>
        </is>
      </c>
    </row>
    <row r="12" ht="48" customHeight="1">
      <c r="A12" s="13" t="inlineStr">
        <is>
          <t>Quince</t>
        </is>
      </c>
      <c r="B12" s="46" t="n">
        <v>10100</v>
      </c>
      <c r="C12" s="46" t="n">
        <v>35</v>
      </c>
      <c r="D12" s="15">
        <f>C12/B12</f>
        <v>0.0034653465346534654</v>
      </c>
      <c r="E12" s="183" t="inlineStr">
        <is>
          <t>Direct secondary/late-primary; watch ICONIQ round terms</t>
        </is>
      </c>
      <c r="F12" s="47" t="n">
        <v>0.28</v>
      </c>
      <c r="G12" s="47" t="n">
        <v>0.45</v>
      </c>
      <c r="H12" s="47" t="n">
        <v>0.02</v>
      </c>
      <c r="I12" s="77" t="n">
        <v>-0.18</v>
      </c>
      <c r="J12" s="42" t="inlineStr">
        <is>
          <t>Series E Mar-26 $10.1B post (ICONIQ-led $500M; &gt;$1B ARR, M2C manufacturer-to-consumer model)</t>
        </is>
      </c>
      <c r="K12" s="177" t="n"/>
      <c r="L12" s="177" t="n"/>
      <c r="M12" s="177" t="n"/>
      <c r="N12" s="177" t="n"/>
      <c r="P12" s="218" t="n">
        <v>4</v>
      </c>
      <c r="Q12" s="218" t="n">
        <v>5</v>
      </c>
      <c r="R12" s="218" t="n">
        <v>2</v>
      </c>
      <c r="S12" s="224">
        <f>P12*$T$5+Q12*$T$6+R12*$T$7</f>
        <v>3.9</v>
      </c>
      <c r="T12" s="208">
        <f>F12+$S12*$Q$5</f>
        <v>0.29950000000000004</v>
      </c>
      <c r="U12" s="208">
        <f>G12+$S12*$Q$6</f>
        <v>0.4812</v>
      </c>
      <c r="V12" s="208">
        <f>H12+$S12*$Q$7</f>
        <v>0.0356</v>
      </c>
      <c r="W12" s="208">
        <f>I12+$S12*$Q$8</f>
        <v>-0.1683</v>
      </c>
    </row>
    <row r="13" ht="48" customHeight="1">
      <c r="A13" s="13" t="inlineStr">
        <is>
          <t>Whoop</t>
        </is>
      </c>
      <c r="B13" s="46" t="n">
        <v>10100</v>
      </c>
      <c r="C13" s="46" t="n">
        <v>31.5</v>
      </c>
      <c r="D13" s="15">
        <f>C13/B13</f>
        <v>0.003118811881188119</v>
      </c>
      <c r="E13" s="183" t="inlineStr">
        <is>
          <t>Direct secondary/late-primary; IPO window = public-exit optionality</t>
        </is>
      </c>
      <c r="F13" s="47" t="n">
        <v>0.27</v>
      </c>
      <c r="G13" s="47" t="n">
        <v>0.42</v>
      </c>
      <c r="H13" s="47" t="n">
        <v>-0.03</v>
      </c>
      <c r="I13" s="77" t="n">
        <v>-0.16</v>
      </c>
      <c r="J13" s="42" t="inlineStr">
        <is>
          <t>Series G Mar-26 $10.1B post ($575M raise; IPO-track, medical-grade/glucose-monitoring expansion)</t>
        </is>
      </c>
      <c r="K13" s="177" t="n"/>
      <c r="L13" s="177" t="n"/>
      <c r="M13" s="177" t="n"/>
      <c r="N13" s="177" t="n"/>
      <c r="P13" s="218" t="n">
        <v>4</v>
      </c>
      <c r="Q13" s="218" t="n">
        <v>4</v>
      </c>
      <c r="R13" s="218" t="n">
        <v>2</v>
      </c>
      <c r="S13" s="224">
        <f>P13*$T$5+Q13*$T$6+R13*$T$7</f>
        <v>3.6</v>
      </c>
      <c r="T13" s="208">
        <f>F13+$S13*$Q$5</f>
        <v>0.28800000000000003</v>
      </c>
      <c r="U13" s="208">
        <f>G13+$S13*$Q$6</f>
        <v>0.4488</v>
      </c>
      <c r="V13" s="208">
        <f>H13+$S13*$Q$7</f>
        <v>-0.015599999999999998</v>
      </c>
      <c r="W13" s="208">
        <f>I13+$S13*$Q$8</f>
        <v>-0.1492</v>
      </c>
    </row>
    <row r="14" ht="71.25" customHeight="1">
      <c r="A14" s="13" t="inlineStr">
        <is>
          <t>The Farmer's Dog</t>
        </is>
      </c>
      <c r="B14" s="46" t="n">
        <v>3760</v>
      </c>
      <c r="C14" s="46" t="n">
        <v>24.5</v>
      </c>
      <c r="D14" s="15">
        <f>C14/B14</f>
        <v>0.0065159574468085105</v>
      </c>
      <c r="E14" s="183" t="inlineStr">
        <is>
          <t>WALMART.COM LAUNCH (2025) — DTC-only to omni-channel; secondary access</t>
        </is>
      </c>
      <c r="F14" s="47" t="n">
        <v>0.22</v>
      </c>
      <c r="G14" s="47" t="n">
        <v>0.34</v>
      </c>
      <c r="H14" s="47" t="n">
        <v>0.1</v>
      </c>
      <c r="I14" s="77" t="n">
        <v>-0.05</v>
      </c>
      <c r="J14" s="42" t="inlineStr">
        <is>
          <t>MARKET-PRICED — Forge secondary $23.64/sh (22-Sep-26) = $3.76B implied, up from $2.5B Series E ($15.72/sh, Jun-22); profitable, &gt;$1B ann. revenue</t>
        </is>
      </c>
      <c r="K14" s="177" t="n"/>
      <c r="L14" s="177" t="n"/>
      <c r="M14" s="177" t="n"/>
      <c r="N14" s="177" t="n"/>
      <c r="P14" s="218" t="n">
        <v>4</v>
      </c>
      <c r="Q14" s="218" t="n">
        <v>3</v>
      </c>
      <c r="R14" s="218" t="n">
        <v>4</v>
      </c>
      <c r="S14" s="224">
        <f>P14*$T$5+Q14*$T$6+R14*$T$7</f>
        <v>3.7</v>
      </c>
      <c r="T14" s="208">
        <f>F14+$S14*$Q$5</f>
        <v>0.2385</v>
      </c>
      <c r="U14" s="208">
        <f>G14+$S14*$Q$6</f>
        <v>0.36960000000000004</v>
      </c>
      <c r="V14" s="208">
        <f>H14+$S14*$Q$7</f>
        <v>0.11480000000000001</v>
      </c>
      <c r="W14" s="208">
        <f>I14+$S14*$Q$8</f>
        <v>-0.038900000000000004</v>
      </c>
    </row>
    <row r="15" ht="60" customHeight="1">
      <c r="A15" s="13" t="inlineStr">
        <is>
          <t>Made In Cookware</t>
        </is>
      </c>
      <c r="B15" s="46" t="n">
        <v>280</v>
      </c>
      <c r="C15" s="46" t="n">
        <v>17.5</v>
      </c>
      <c r="D15" s="15">
        <f>C15/B15</f>
        <v>0.0625</v>
      </c>
      <c r="E15" s="183" t="inlineStr">
        <is>
          <t>DTC + wholesale/restaurant placements; secondary access, thin float</t>
        </is>
      </c>
      <c r="F15" s="47" t="n">
        <v>0.14</v>
      </c>
      <c r="G15" s="47" t="n">
        <v>0.26</v>
      </c>
      <c r="H15" s="47" t="n">
        <v>-0.1</v>
      </c>
      <c r="I15" s="77" t="n">
        <v>-0.14</v>
      </c>
      <c r="J15" s="42" t="inlineStr">
        <is>
          <t>Est. EV — only ~$8.3M ever raised ($5M 2019 seed, KarpReilly-backed 2017); NO secondary market exists — least-grounded mark in the sleeve</t>
        </is>
      </c>
      <c r="K15" s="177" t="n"/>
      <c r="L15" s="177" t="n"/>
      <c r="M15" s="177" t="n"/>
      <c r="N15" s="177" t="n"/>
      <c r="P15" s="218" t="n">
        <v>4</v>
      </c>
      <c r="Q15" s="218" t="n">
        <v>2</v>
      </c>
      <c r="R15" s="218" t="n">
        <v>4</v>
      </c>
      <c r="S15" s="224">
        <f>P15*$T$5+Q15*$T$6+R15*$T$7</f>
        <v>3.4000000000000004</v>
      </c>
      <c r="T15" s="208">
        <f>F15+$S15*$Q$5</f>
        <v>0.15700000000000003</v>
      </c>
      <c r="U15" s="208">
        <f>G15+$S15*$Q$6</f>
        <v>0.2872</v>
      </c>
      <c r="V15" s="208">
        <f>H15+$S15*$Q$7</f>
        <v>-0.0864</v>
      </c>
      <c r="W15" s="208">
        <f>I15+$S15*$Q$8</f>
        <v>-0.12980000000000003</v>
      </c>
    </row>
    <row r="16" ht="82.5" customHeight="1">
      <c r="A16" s="13" t="inlineStr">
        <is>
          <t>Thrive Market</t>
        </is>
      </c>
      <c r="B16" s="46" t="n">
        <v>945</v>
      </c>
      <c r="C16" s="46" t="n">
        <v>14</v>
      </c>
      <c r="D16" s="15">
        <f>C16/B16</f>
        <v>0.014814814814814815</v>
      </c>
      <c r="E16" s="183" t="inlineStr">
        <is>
          <t>Membership DTC; IPO-candidate, pre-IPO secondary</t>
        </is>
      </c>
      <c r="F16" s="47" t="n">
        <v>0.07000000000000001</v>
      </c>
      <c r="G16" s="47" t="n">
        <v>0.16</v>
      </c>
      <c r="H16" s="47" t="n">
        <v>-0.05</v>
      </c>
      <c r="I16" s="77" t="n">
        <v>-0.08</v>
      </c>
      <c r="J16" s="42" t="inlineStr">
        <is>
          <t>MARKET-PRICED — Forge secondary $17.98/sh (21-Sep-26) implies ~$945M, DOWN ~27% from Series C $1.29B post ($24.60/sh, Jul-21) despite revenue growth $400M→$700M+ — real multiple compression</t>
        </is>
      </c>
      <c r="K16" s="177" t="n"/>
      <c r="L16" s="177" t="n"/>
      <c r="M16" s="177" t="n"/>
      <c r="N16" s="177" t="n"/>
      <c r="P16" s="218" t="n">
        <v>4</v>
      </c>
      <c r="Q16" s="218" t="n">
        <v>3</v>
      </c>
      <c r="R16" s="218" t="n">
        <v>3</v>
      </c>
      <c r="S16" s="224">
        <f>P16*$T$5+Q16*$T$6+R16*$T$7</f>
        <v>3.5</v>
      </c>
      <c r="T16" s="208">
        <f>F16+$S16*$Q$5</f>
        <v>0.08750000000000001</v>
      </c>
      <c r="U16" s="208">
        <f>G16+$S16*$Q$6</f>
        <v>0.188</v>
      </c>
      <c r="V16" s="208">
        <f>H16+$S16*$Q$7</f>
        <v>-0.036000000000000004</v>
      </c>
      <c r="W16" s="208">
        <f>I16+$S16*$Q$8</f>
        <v>-0.0695</v>
      </c>
    </row>
    <row r="17" ht="93.75" customHeight="1">
      <c r="A17" s="13" t="inlineStr">
        <is>
          <t>Plunge</t>
        </is>
      </c>
      <c r="B17" s="46" t="n">
        <v>110</v>
      </c>
      <c r="C17" s="46" t="n">
        <v>7</v>
      </c>
      <c r="D17" s="15">
        <f>C17/B17</f>
        <v>0.06363636363636363</v>
      </c>
      <c r="E17" s="183" t="inlineStr">
        <is>
          <t>Wefunder community round (2025) — direct primary access, small check</t>
        </is>
      </c>
      <c r="F17" s="47" t="n">
        <v>0.2</v>
      </c>
      <c r="G17" s="47" t="n">
        <v>0.5</v>
      </c>
      <c r="H17" s="47" t="n">
        <v>-0.22</v>
      </c>
      <c r="I17" s="77" t="n">
        <v>-0.28</v>
      </c>
      <c r="J17" s="42" t="inlineStr">
        <is>
          <t>Est. — NO priced VC round exists (only $4.75M raised incl. crowdfunding); 2021 Shark Tank ask was $10M (declined) vs. ~$200M lifetime sales by 2025 — mostly self-funded growth, entry mark is a rough estimate</t>
        </is>
      </c>
      <c r="K17" s="177" t="n"/>
      <c r="L17" s="177" t="n"/>
      <c r="M17" s="177" t="n"/>
      <c r="N17" s="177" t="n"/>
      <c r="P17" s="218" t="n">
        <v>3</v>
      </c>
      <c r="Q17" s="218" t="n">
        <v>4</v>
      </c>
      <c r="R17" s="218" t="n">
        <v>2</v>
      </c>
      <c r="S17" s="224">
        <f>P17*$T$5+Q17*$T$6+R17*$T$7</f>
        <v>3.1</v>
      </c>
      <c r="T17" s="208">
        <f>F17+$S17*$Q$5</f>
        <v>0.21550000000000002</v>
      </c>
      <c r="U17" s="208">
        <f>G17+$S17*$Q$6</f>
        <v>0.5248</v>
      </c>
      <c r="V17" s="208">
        <f>H17+$S17*$Q$7</f>
        <v>-0.2076</v>
      </c>
      <c r="W17" s="208">
        <f>I17+$S17*$Q$8</f>
        <v>-0.27070000000000005</v>
      </c>
    </row>
    <row r="18" ht="60" customHeight="1">
      <c r="A18" s="13" t="inlineStr">
        <is>
          <t>Polymarket</t>
        </is>
      </c>
      <c r="B18" s="46" t="n">
        <v>18000</v>
      </c>
      <c r="C18" s="46" t="n">
        <v>10.5</v>
      </c>
      <c r="D18" s="15">
        <f>C18/B18</f>
        <v>0.0005833333333333334</v>
      </c>
      <c r="E18" s="183" t="inlineStr">
        <is>
          <t>Secondary / late-primary; prediction-market expansion (US regulated + ICE distribution)</t>
        </is>
      </c>
      <c r="F18" s="47" t="n">
        <v>0.25</v>
      </c>
      <c r="G18" s="47" t="n">
        <v>0.4</v>
      </c>
      <c r="H18" s="47" t="n">
        <v>-0.05</v>
      </c>
      <c r="I18" s="77" t="n">
        <v>-0.12</v>
      </c>
      <c r="J18" s="42" t="inlineStr">
        <is>
          <t>MARKET-PRICED — secondary ~$14-21B range (Sep-26); ICE-backed; US regulated expansion &amp; sports/politics volume convexity</t>
        </is>
      </c>
      <c r="K18" s="177" t="n"/>
      <c r="L18" s="177" t="n"/>
      <c r="M18" s="177" t="n"/>
      <c r="N18" s="177" t="n"/>
      <c r="P18" s="218" t="n">
        <v>3</v>
      </c>
      <c r="Q18" s="218" t="n">
        <v>5</v>
      </c>
      <c r="R18" s="218" t="n">
        <v>1</v>
      </c>
      <c r="S18" s="224">
        <f>P18*$T$5+Q18*$T$6+R18*$T$7</f>
        <v>3.2</v>
      </c>
      <c r="T18" s="208">
        <f>F18+$S18*$Q$5</f>
        <v>0.266</v>
      </c>
      <c r="U18" s="208">
        <f>G18+$S18*$Q$6</f>
        <v>0.42560000000000003</v>
      </c>
      <c r="V18" s="208">
        <f>H18+$S18*$Q$7</f>
        <v>-0.037200000000000004</v>
      </c>
      <c r="W18" s="208">
        <f>I18+$S18*$Q$8</f>
        <v>-0.1104</v>
      </c>
    </row>
    <row r="19" ht="60" customHeight="1">
      <c r="A19" s="13" t="inlineStr">
        <is>
          <t>Goat Group</t>
        </is>
      </c>
      <c r="B19" s="46" t="n">
        <v>3730</v>
      </c>
      <c r="C19" s="46" t="n">
        <v>15</v>
      </c>
      <c r="D19" s="15">
        <f>C19/B19</f>
        <v>0.004021447721179625</v>
      </c>
      <c r="E19" s="183" t="inlineStr">
        <is>
          <t>Secondary access, thin float; last priced Series F (Jun-21); no active secondary quote — re-underwrite before check</t>
        </is>
      </c>
      <c r="F19" s="47" t="n">
        <v>0.15</v>
      </c>
      <c r="G19" s="47" t="n">
        <v>0.28</v>
      </c>
      <c r="H19" s="47" t="n">
        <v>-0.12</v>
      </c>
      <c r="I19" s="77" t="n">
        <v>-0.16</v>
      </c>
      <c r="J19" s="42" t="inlineStr">
        <is>
          <t>Est. — last priced Series F 24-Jun-21 $3.73B post ($5.82/sh; $195M raise, Dragoneer/Franklin Templeton); Forge Global lists GOAT with no live secondary match ("price not yet available") — 5-yr-stale mark, least-grounded alongside Made In/Plunge; no IPO filed</t>
        </is>
      </c>
      <c r="K19" s="177" t="n"/>
      <c r="L19" s="177" t="n"/>
      <c r="M19" s="177" t="n"/>
      <c r="N19" s="177" t="n"/>
      <c r="P19" s="218" t="n">
        <v>2</v>
      </c>
      <c r="Q19" s="218" t="n">
        <v>5</v>
      </c>
      <c r="R19" s="218" t="n">
        <v>0</v>
      </c>
      <c r="S19" s="224">
        <f>P19*$T$5+Q19*$T$6+R19*$T$7</f>
        <v>2.5</v>
      </c>
      <c r="T19" s="208">
        <f>F19+$S19*$Q$5</f>
        <v>0.1625</v>
      </c>
      <c r="U19" s="208">
        <f>G19+$S19*$Q$6</f>
        <v>0.30000000000000004</v>
      </c>
      <c r="V19" s="208">
        <f>H19+$S19*$Q$7</f>
        <v>-0.11</v>
      </c>
      <c r="W19" s="208">
        <f>I19+$S19*$Q$8</f>
        <v>-0.1525</v>
      </c>
    </row>
    <row r="20" ht="60" customHeight="1">
      <c r="A20" s="13" t="inlineStr">
        <is>
          <t>Stripe</t>
        </is>
      </c>
      <c r="B20" s="46" t="n">
        <v>159000</v>
      </c>
      <c r="C20" s="46" t="n">
        <v>45</v>
      </c>
      <c r="D20" s="15">
        <f>C20/B20</f>
        <v>0.0002830188679245283</v>
      </c>
      <c r="E20" s="183" t="inlineStr">
        <is>
          <t>Employee/investor tender access; most liquid, most de-risked name in the sleeve — recurring annual tender cadence gives a real-time mark</t>
        </is>
      </c>
      <c r="F20" s="47" t="n">
        <v>0.18</v>
      </c>
      <c r="G20" s="47" t="n">
        <v>0.35</v>
      </c>
      <c r="H20" s="47" t="n">
        <v>-0.05</v>
      </c>
      <c r="I20" s="77" t="n">
        <v>-0.08</v>
      </c>
      <c r="J20" s="42" t="inlineStr">
        <is>
          <t>MARKET-PRICED — Feb-26 employee tender $159B post (Bloomberg/CNBC, 24-Feb-26), up from ~$140B guided 9-Feb-26 and ~$91.5B Feb-25 tender; total payment volume +34% YoY (~$1.9-2T annualized); IPO-track, profitable at scale</t>
        </is>
      </c>
      <c r="K20" s="177" t="n"/>
      <c r="L20" s="177" t="n"/>
      <c r="M20" s="177" t="n"/>
      <c r="N20" s="177" t="n"/>
      <c r="P20" s="218" t="n">
        <v>4</v>
      </c>
      <c r="Q20" s="218" t="n">
        <v>4</v>
      </c>
      <c r="R20" s="218" t="n">
        <v>3</v>
      </c>
      <c r="S20" s="224">
        <f>P20*$T$5+Q20*$T$6+R20*$T$7</f>
        <v>3.8000000000000003</v>
      </c>
      <c r="T20" s="208">
        <f>F20+$S20*$Q$5</f>
        <v>0.199</v>
      </c>
      <c r="U20" s="208">
        <f>G20+$S20*$Q$6</f>
        <v>0.38039999999999996</v>
      </c>
      <c r="V20" s="208">
        <f>H20+$S20*$Q$7</f>
        <v>-0.0348</v>
      </c>
      <c r="W20" s="208">
        <f>I20+$S20*$Q$8</f>
        <v>-0.0686</v>
      </c>
    </row>
    <row r="21" ht="15" customHeight="1">
      <c r="A21" s="18" t="inlineStr">
        <is>
          <t>TOTAL (=$200M)</t>
        </is>
      </c>
      <c r="B21" s="177" t="n"/>
      <c r="C21" s="19">
        <f>SUM(C12:C20)</f>
        <v>200.0</v>
      </c>
      <c r="D21" s="177" t="n"/>
      <c r="E21" s="177" t="n"/>
      <c r="F21" s="177" t="n"/>
      <c r="G21" s="177" t="n"/>
      <c r="H21" s="177" t="n"/>
      <c r="I21" s="177" t="n"/>
      <c r="J21" s="177" t="n"/>
      <c r="K21" s="177" t="n"/>
      <c r="L21" s="177" t="n"/>
      <c r="M21" s="177" t="n"/>
      <c r="N21" s="177" t="n"/>
    </row>
    <row r="22" ht="27.75" customHeight="1">
      <c r="A22" s="177" t="n"/>
      <c r="B22" s="177" t="n"/>
      <c r="C22" s="177" t="n"/>
      <c r="D22" s="177" t="n"/>
      <c r="E22" s="177" t="n"/>
      <c r="F22" s="177" t="n"/>
      <c r="G22" s="177" t="n"/>
      <c r="H22" s="177" t="n"/>
      <c r="I22" s="177" t="n"/>
      <c r="J22" s="177" t="n"/>
      <c r="K22" s="177" t="n"/>
      <c r="L22" s="177" t="n"/>
      <c r="M22" s="177" t="n"/>
      <c r="N22" s="177" t="n"/>
    </row>
    <row r="23" ht="15" customHeight="1">
      <c r="A23" s="28" t="str">
        <f>Hold_Short&amp;"-YEAR HOLD — GROSS PROCEEDS"</f>
        <v>5-YEAR HOLD — GROSS PROCEEDS</v>
      </c>
      <c r="B23" s="177" t="n"/>
      <c r="C23" s="177" t="n"/>
      <c r="D23" s="177" t="n"/>
      <c r="E23" s="177" t="n"/>
      <c r="F23" s="177" t="n"/>
      <c r="G23" s="177" t="n"/>
      <c r="H23" s="177" t="n"/>
      <c r="I23" s="177" t="n"/>
      <c r="J23" s="177" t="n"/>
      <c r="K23" s="177" t="n"/>
      <c r="L23" s="177" t="n"/>
      <c r="M23" s="177" t="n"/>
      <c r="N23" s="177" t="n"/>
    </row>
    <row r="24" ht="15" customHeight="1">
      <c r="A24" s="186" t="inlineStr">
        <is>
          <t>Company</t>
        </is>
      </c>
      <c r="B24" s="186" t="inlineStr">
        <is>
          <t>Check ($M)</t>
        </is>
      </c>
      <c r="C24" s="186" t="inlineStr">
        <is>
          <t>Base $</t>
        </is>
      </c>
      <c r="D24" s="186" t="inlineStr">
        <is>
          <t>Base MOIC</t>
        </is>
      </c>
      <c r="E24" s="186" t="inlineStr">
        <is>
          <t>Base IRR</t>
        </is>
      </c>
      <c r="F24" s="186" t="inlineStr">
        <is>
          <t>Bull $</t>
        </is>
      </c>
      <c r="G24" s="186" t="inlineStr">
        <is>
          <t>Bull MOIC</t>
        </is>
      </c>
      <c r="H24" s="186" t="inlineStr">
        <is>
          <t>Bull IRR</t>
        </is>
      </c>
      <c r="I24" s="186" t="inlineStr">
        <is>
          <t>Bear $</t>
        </is>
      </c>
      <c r="J24" s="186" t="inlineStr">
        <is>
          <t>Bear MOIC</t>
        </is>
      </c>
      <c r="K24" s="186" t="inlineStr">
        <is>
          <t>Bear IRR</t>
        </is>
      </c>
      <c r="L24" s="21" t="inlineStr">
        <is>
          <t>Shock $</t>
        </is>
      </c>
      <c r="M24" s="21" t="inlineStr">
        <is>
          <t>Shock MOIC</t>
        </is>
      </c>
      <c r="N24" s="21" t="inlineStr">
        <is>
          <t>Shock IRR</t>
        </is>
      </c>
    </row>
    <row r="25" ht="15" customHeight="1">
      <c r="A25" s="78" t="str">
        <f>A12</f>
        <v>Quince</v>
      </c>
      <c r="B25" s="79">
        <f>C12</f>
        <v>35</v>
      </c>
      <c r="C25" s="79">
        <f>B25*(1+T12)^Hold_Short*Ret_Con_Short</f>
        <v>116.7325500722191</v>
      </c>
      <c r="D25" s="80">
        <f>C25/B25</f>
        <v>3.335215716349117</v>
      </c>
      <c r="E25" s="81">
        <f>IF((C25/B25)&lt;=0,-1,(C25/B25)^(1/Hold_Short)-1)</f>
        <v>0.2724032968880894</v>
      </c>
      <c r="F25" s="79">
        <f>B25*(1+U12)^Hold_Short*Ret_Con_Short</f>
        <v>224.58413342705322</v>
      </c>
      <c r="G25" s="80">
        <f>F25/B25</f>
        <v>6.416689526487235</v>
      </c>
      <c r="H25" s="81">
        <f>IF((F25/B25)&lt;=0,-1,(F25/B25)^(1/Hold_Short)-1)</f>
        <v>0.45031455432907896</v>
      </c>
      <c r="I25" s="79">
        <f>B25*(1+V12)^Hold_Short*Ret_Con_Short</f>
        <v>37.52068535294995</v>
      </c>
      <c r="J25" s="80">
        <f>I25/B25</f>
        <v>1.0720195815128557</v>
      </c>
      <c r="K25" s="81">
        <f>IF((I25/B25)&lt;=0,-1,(I25/B25)^(1/Hold_Short)-1)</f>
        <v>0.014006044061027678</v>
      </c>
      <c r="L25" s="82">
        <f>B25*(1+W12)^Hold_Short*Ret_Con_Short</f>
        <v>12.53556927345342</v>
      </c>
      <c r="M25" s="83">
        <f>L25/B25</f>
        <v>0.3581591220986692</v>
      </c>
      <c r="N25" s="84">
        <f>IF((L25/B25)&lt;=0,-1,(L25/B25)^(1/Hold_Short)-1)</f>
        <v>-0.18564230702437556</v>
      </c>
    </row>
    <row r="26" ht="15" customHeight="1">
      <c r="A26" s="78" t="str">
        <f>A13</f>
        <v>Whoop</v>
      </c>
      <c r="B26" s="79">
        <f>C13</f>
        <v>31.5</v>
      </c>
      <c r="C26" s="79">
        <f>B26*(1+T13)^Hold_Short*Ret_Con_Short</f>
        <v>100.49220563135202</v>
      </c>
      <c r="D26" s="80">
        <f>C26/B26</f>
        <v>3.1902287502016513</v>
      </c>
      <c r="E26" s="81">
        <f>IF((C26/B26)&lt;=0,-1,(C26/B26)^(1/Hold_Short)-1)</f>
        <v>0.2611430907209382</v>
      </c>
      <c r="F26" s="79">
        <f>B26*(1+U13)^Hold_Short*Ret_Con_Short</f>
        <v>180.96527609985654</v>
      </c>
      <c r="G26" s="80">
        <f>F26/B26</f>
        <v>5.744929399995446</v>
      </c>
      <c r="H26" s="81">
        <f>IF((F26/B26)&lt;=0,-1,(F26/B26)^(1/Hold_Short)-1)</f>
        <v>0.41859014738858313</v>
      </c>
      <c r="I26" s="79">
        <f>B26*(1+V13)^Hold_Short*Ret_Con_Short</f>
        <v>26.206624644886265</v>
      </c>
      <c r="J26" s="80">
        <f>I26/B26</f>
        <v>0.8319563379328972</v>
      </c>
      <c r="K26" s="81">
        <f>IF((I26/B26)&lt;=0,-1,(I26/B26)^(1/Hold_Short)-1)</f>
        <v>-0.03612635209185444</v>
      </c>
      <c r="L26" s="82">
        <f>B26*(1+W13)^Hold_Short*Ret_Con_Short</f>
        <v>12.63835264988668</v>
      </c>
      <c r="M26" s="83">
        <f>L26/B26</f>
        <v>0.401217544440847</v>
      </c>
      <c r="N26" s="84">
        <f>IF((L26/B26)&lt;=0,-1,(L26/B26)^(1/Hold_Short)-1)</f>
        <v>-0.16694057330328094</v>
      </c>
    </row>
    <row r="27" ht="15" customHeight="1">
      <c r="A27" s="78" t="str">
        <f>A14</f>
        <v>The Farmer's Dog</v>
      </c>
      <c r="B27" s="79">
        <f>C14</f>
        <v>24.5</v>
      </c>
      <c r="C27" s="79">
        <f>B27*(1+T14)^Hold_Short*Ret_Con_Short</f>
        <v>64.25229555562122</v>
      </c>
      <c r="D27" s="80">
        <f>C27/B27</f>
        <v>2.6225426757396413</v>
      </c>
      <c r="E27" s="81">
        <f>IF((C27/B27)&lt;=0,-1,(C27/B27)^(1/Hold_Short)-1)</f>
        <v>0.2126752467840698</v>
      </c>
      <c r="F27" s="79">
        <f>B27*(1+U14)^Hold_Short*Ret_Con_Short</f>
        <v>106.26183968433496</v>
      </c>
      <c r="G27" s="80">
        <f>F27/B27</f>
        <v>4.337217946299386</v>
      </c>
      <c r="H27" s="81">
        <f>IF((F27/B27)&lt;=0,-1,(F27/B27)^(1/Hold_Short)-1)</f>
        <v>0.3410415970895939</v>
      </c>
      <c r="I27" s="79">
        <f>B27*(1+V14)^Hold_Short*Ret_Con_Short</f>
        <v>37.96587329448708</v>
      </c>
      <c r="J27" s="80">
        <f>I27/B27</f>
        <v>1.549627481407636</v>
      </c>
      <c r="K27" s="81">
        <f>IF((I27/B27)&lt;=0,-1,(I27/B27)^(1/Hold_Short)-1)</f>
        <v>0.0915545943600169</v>
      </c>
      <c r="L27" s="82">
        <f>B27*(1+W14)^Hold_Short*Ret_Con_Short</f>
        <v>18.082208808763706</v>
      </c>
      <c r="M27" s="83">
        <f>L27/B27</f>
        <v>0.7380493391332125</v>
      </c>
      <c r="N27" s="84">
        <f>IF((L27/B27)&lt;=0,-1,(L27/B27)^(1/Hold_Short)-1)</f>
        <v>-0.05894050893486524</v>
      </c>
    </row>
    <row r="28" ht="15" customHeight="1">
      <c r="A28" s="78" t="str">
        <f>A15</f>
        <v>Made In Cookware</v>
      </c>
      <c r="B28" s="79">
        <f>C15</f>
        <v>17.5</v>
      </c>
      <c r="C28" s="79">
        <f>B28*(1+T15)^Hold_Short*Ret_Con_Short</f>
        <v>32.65482441371153</v>
      </c>
      <c r="D28" s="80">
        <f>C28/B28</f>
        <v>1.8659899664978017</v>
      </c>
      <c r="E28" s="81">
        <f>IF((C28/B28)&lt;=0,-1,(C28/B28)^(1/Hold_Short)-1)</f>
        <v>0.1328746552516502</v>
      </c>
      <c r="F28" s="79">
        <f>B28*(1+U15)^Hold_Short*Ret_Con_Short</f>
        <v>55.6558363788627</v>
      </c>
      <c r="G28" s="80">
        <f>F28/B28</f>
        <v>3.180333507363583</v>
      </c>
      <c r="H28" s="81">
        <f>IF((F28/B28)&lt;=0,-1,(F28/B28)^(1/Hold_Short)-1)</f>
        <v>0.2603597720310493</v>
      </c>
      <c r="I28" s="79">
        <f>B28*(1+V15)^Hold_Short*Ret_Con_Short</f>
        <v>10.02446058607506</v>
      </c>
      <c r="J28" s="80">
        <f>I28/B28</f>
        <v>0.5728263192042892</v>
      </c>
      <c r="K28" s="81">
        <f>IF((I28/B28)&lt;=0,-1,(I28/B28)^(1/Hold_Short)-1)</f>
        <v>-0.10545005614701164</v>
      </c>
      <c r="L28" s="82">
        <f>B28*(1+W15)^Hold_Short*Ret_Con_Short</f>
        <v>7.859156787905202</v>
      </c>
      <c r="M28" s="83">
        <f>L28/B28</f>
        <v>0.449094673594583</v>
      </c>
      <c r="N28" s="84">
        <f>IF((L28/B28)&lt;=0,-1,(L28/B28)^(1/Hold_Short)-1)</f>
        <v>-0.14794509507347808</v>
      </c>
    </row>
    <row r="29" ht="15" customHeight="1">
      <c r="A29" s="78" t="str">
        <f>A16</f>
        <v>Thrive Market</v>
      </c>
      <c r="B29" s="79">
        <f>C16</f>
        <v>14</v>
      </c>
      <c r="C29" s="79">
        <f>B29*(1+T16)^Hold_Short*Ret_Con_Short</f>
        <v>19.16535522711181</v>
      </c>
      <c r="D29" s="80">
        <f>C29/B29</f>
        <v>1.3689539447937007</v>
      </c>
      <c r="E29" s="81">
        <f>IF((C29/B29)&lt;=0,-1,(C29/B29)^(1/Hold_Short)-1)</f>
        <v>0.06482384406756214</v>
      </c>
      <c r="F29" s="79">
        <f>B29*(1+U16)^Hold_Short*Ret_Con_Short</f>
        <v>29.81623126818631</v>
      </c>
      <c r="G29" s="80">
        <f>F29/B29</f>
        <v>2.1297308048704506</v>
      </c>
      <c r="H29" s="81">
        <f>IF((F29/B29)&lt;=0,-1,(F29/B29)^(1/Hold_Short)-1)</f>
        <v>0.16322825448484046</v>
      </c>
      <c r="I29" s="79">
        <f>B29*(1+V16)^Hold_Short*Ret_Con_Short</f>
        <v>10.48952239793418</v>
      </c>
      <c r="J29" s="80">
        <f>I29/B29</f>
        <v>0.7492515998524415</v>
      </c>
      <c r="K29" s="81">
        <f>IF((I29/B29)&lt;=0,-1,(I29/B29)^(1/Hold_Short)-1)</f>
        <v>-0.05610097868401842</v>
      </c>
      <c r="L29" s="82">
        <f>B29*(1+W16)^Hold_Short*Ret_Con_Short</f>
        <v>8.789262442366338</v>
      </c>
      <c r="M29" s="83">
        <f>L29/B29</f>
        <v>0.6278044601690241</v>
      </c>
      <c r="N29" s="84">
        <f>IF((L29/B29)&lt;=0,-1,(L29/B29)^(1/Hold_Short)-1)</f>
        <v>-0.08890244882311105</v>
      </c>
    </row>
    <row r="30" ht="15" customHeight="1">
      <c r="A30" s="78" t="str">
        <f>A17</f>
        <v>Plunge</v>
      </c>
      <c r="B30" s="79">
        <f>C17</f>
        <v>7</v>
      </c>
      <c r="C30" s="79">
        <f>B30*(1+T17)^Hold_Short*Ret_Con_Short</f>
        <v>16.71534579339473</v>
      </c>
      <c r="D30" s="80">
        <f>C30/B30</f>
        <v>2.387906541913533</v>
      </c>
      <c r="E30" s="81">
        <f>IF((C30/B30)&lt;=0,-1,(C30/B30)^(1/Hold_Short)-1)</f>
        <v>0.19015483444976744</v>
      </c>
      <c r="F30" s="79">
        <f>B30*(1+U17)^Hold_Short*Ret_Con_Short</f>
        <v>51.928402924173575</v>
      </c>
      <c r="G30" s="80">
        <f>F30/B30</f>
        <v>7.41834327488194</v>
      </c>
      <c r="H30" s="81">
        <f>IF((F30/B30)&lt;=0,-1,(F30/B30)^(1/Hold_Short)-1)</f>
        <v>0.4930054229280174</v>
      </c>
      <c r="I30" s="79">
        <f>B30*(1+V17)^Hold_Short*Ret_Con_Short</f>
        <v>1.9681712509606257</v>
      </c>
      <c r="J30" s="80">
        <f>I30/B30</f>
        <v>0.28116732156580365</v>
      </c>
      <c r="K30" s="81">
        <f>IF((I30/B30)&lt;=0,-1,(I30/B30)^(1/Hold_Short)-1)</f>
        <v>-0.22412283766516194</v>
      </c>
      <c r="L30" s="82">
        <f>B30*(1+W17)^Hold_Short*Ret_Con_Short</f>
        <v>1.2997852888943737</v>
      </c>
      <c r="M30" s="83">
        <f>L30/B30</f>
        <v>0.18568361269919625</v>
      </c>
      <c r="N30" s="84">
        <f>IF((L30/B30)&lt;=0,-1,(L30/B30)^(1/Hold_Short)-1)</f>
        <v>-0.2859070993301397</v>
      </c>
    </row>
    <row r="31" ht="15" customHeight="1">
      <c r="A31" s="78" t="str">
        <f>A18</f>
        <v>Polymarket</v>
      </c>
      <c r="B31" s="79">
        <f>C18</f>
        <v>10.5</v>
      </c>
      <c r="C31" s="79">
        <f>B31*(1+T18)^Hold_Short*Ret_Con_Short</f>
        <v>30.732673133754044</v>
      </c>
      <c r="D31" s="80">
        <f>C31/B31</f>
        <v>2.9269212508337183</v>
      </c>
      <c r="E31" s="81">
        <f>IF((C31/B31)&lt;=0,-1,(C31/B31)^(1/Hold_Short)-1)</f>
        <v>0.23960182674899655</v>
      </c>
      <c r="F31" s="79">
        <f>B31*(1+U18)^Hold_Short*Ret_Con_Short</f>
        <v>55.64424344194002</v>
      </c>
      <c r="G31" s="80">
        <f>F31/B31</f>
        <v>5.29945175637524</v>
      </c>
      <c r="H31" s="81">
        <f>IF((F31/B31)&lt;=0,-1,(F31/B31)^(1/Hold_Short)-1)</f>
        <v>0.39587390538180856</v>
      </c>
      <c r="I31" s="79">
        <f>B31*(1+V18)^Hold_Short*Ret_Con_Short</f>
        <v>7.8182979400314085</v>
      </c>
      <c r="J31" s="80">
        <f>I31/B31</f>
        <v>0.7445998038125151</v>
      </c>
      <c r="K31" s="81">
        <f>IF((I31/B31)&lt;=0,-1,(I31/B31)^(1/Hold_Short)-1)</f>
        <v>-0.05727595671885155</v>
      </c>
      <c r="L31" s="82">
        <f>B31*(1+W18)^Hold_Short*Ret_Con_Short</f>
        <v>5.265088550097734</v>
      </c>
      <c r="M31" s="83">
        <f>L31/B31</f>
        <v>0.5014370047712128</v>
      </c>
      <c r="N31" s="84">
        <f>IF((L31/B31)&lt;=0,-1,(L31/B31)^(1/Hold_Short)-1)</f>
        <v>-0.12894961684367512</v>
      </c>
    </row>
    <row r="32" ht="15" customHeight="1">
      <c r="A32" s="78" t="str">
        <f>A19</f>
        <v>Goat Group</v>
      </c>
      <c r="B32" s="79">
        <f>C19</f>
        <v>15</v>
      </c>
      <c r="C32" s="79">
        <f>B32*(1+T19)^Hold_Short*Ret_Con_Short</f>
        <v>28.661477617034922</v>
      </c>
      <c r="D32" s="80">
        <f>C32/B32</f>
        <v>1.9107651744689949</v>
      </c>
      <c r="E32" s="81">
        <f>IF((C32/B32)&lt;=0,-1,(C32/B32)^(1/Hold_Short)-1)</f>
        <v>0.13825997124463552</v>
      </c>
      <c r="F32" s="79">
        <f>B32*(1+U19)^Hold_Short*Ret_Con_Short</f>
        <v>50.12455500000001</v>
      </c>
      <c r="G32" s="80">
        <f>F32/B32</f>
        <v>3.3416370000000004</v>
      </c>
      <c r="H32" s="81">
        <f>IF((F32/B32)&lt;=0,-1,(F32/B32)^(1/Hold_Short)-1)</f>
        <v>0.27289287106926996</v>
      </c>
      <c r="I32" s="79">
        <f>B32*(1+V19)^Hold_Short*Ret_Con_Short</f>
        <v>7.538480256150001</v>
      </c>
      <c r="J32" s="80">
        <f>I32/B32</f>
        <v>0.5025653504100001</v>
      </c>
      <c r="K32" s="81">
        <f>IF((I32/B32)&lt;=0,-1,(I32/B32)^(1/Hold_Short)-1)</f>
        <v>-0.12855795749873067</v>
      </c>
      <c r="L32" s="82">
        <f>B32*(1+W19)^Hold_Short*Ret_Con_Short</f>
        <v>5.902449810247706</v>
      </c>
      <c r="M32" s="83">
        <f>L32/B32</f>
        <v>0.39349665401651374</v>
      </c>
      <c r="N32" s="84">
        <f>IF((L32/B32)&lt;=0,-1,(L32/B32)^(1/Hold_Short)-1)</f>
        <v>-0.1701717628990721</v>
      </c>
    </row>
    <row r="33" ht="15" customHeight="1">
      <c r="A33" s="78" t="str">
        <f>A20</f>
        <v>Stripe</v>
      </c>
      <c r="B33" s="79">
        <f>C20</f>
        <v>45</v>
      </c>
      <c r="C33" s="79">
        <f>B33*(1+T20)^Hold_Short*Ret_Con_Short</f>
        <v>100.357755257043</v>
      </c>
      <c r="D33" s="80">
        <f>C33/B33</f>
        <v>2.2301723390454</v>
      </c>
      <c r="E33" s="81">
        <f>IF((C33/B33)&lt;=0,-1,(C33/B33)^(1/Hold_Short)-1)</f>
        <v>0.1739988864708113</v>
      </c>
      <c r="F33" s="79">
        <f>B33*(1+U20)^Hold_Short*Ret_Con_Short</f>
        <v>202.99239906699472</v>
      </c>
      <c r="G33" s="80">
        <f>F33/B33</f>
        <v>4.5109422014887715</v>
      </c>
      <c r="H33" s="81">
        <f>IF((F33/B33)&lt;=0,-1,(F33/B33)^(1/Hold_Short)-1)</f>
        <v>0.3516163994030923</v>
      </c>
      <c r="I33" s="79">
        <f>B33*(1+V20)^Hold_Short*Ret_Con_Short</f>
        <v>33.92669772530979</v>
      </c>
      <c r="J33" s="80">
        <f>I33/B33</f>
        <v>0.7539266161179954</v>
      </c>
      <c r="K33" s="81">
        <f>IF((I33/B33)&lt;=0,-1,(I33/B33)^(1/Hold_Short)-1)</f>
        <v>-0.05492600064918518</v>
      </c>
      <c r="L33" s="82">
        <f>B33*(1+W20)^Hold_Short*Ret_Con_Short</f>
        <v>28.388091161975954</v>
      </c>
      <c r="M33" s="83">
        <f>L33/B33</f>
        <v>0.6308464702661323</v>
      </c>
      <c r="N33" s="84">
        <f>IF((L33/B33)&lt;=0,-1,(L33/B33)^(1/Hold_Short)-1)</f>
        <v>-0.08802121529698625</v>
      </c>
    </row>
    <row r="34" ht="27.75" customHeight="1">
      <c r="A34" s="53" t="inlineStr">
        <is>
          <t>SLEEVE TOTAL</t>
        </is>
      </c>
      <c r="B34" s="63">
        <f>SUM(B25:B33)</f>
        <v>200.0</v>
      </c>
      <c r="C34" s="63">
        <f>SUM(C25:C33)</f>
        <v>509.7644827012424</v>
      </c>
      <c r="D34" s="64">
        <f>C34/B34</f>
        <v>2.548822413506212</v>
      </c>
      <c r="E34" s="65">
        <f>IF((C34/B34)&lt;=0,-1,(C34/B34)^(1/Hold_Short)-1)</f>
        <v>0.2057795542710601</v>
      </c>
      <c r="F34" s="63">
        <f>SUM(F25:F33)</f>
        <v>957.972917291402</v>
      </c>
      <c r="G34" s="64">
        <f>F34/B34</f>
        <v>4.789864586457011</v>
      </c>
      <c r="H34" s="65">
        <f>IF((F34/B34)&lt;=0,-1,(F34/B34)^(1/Hold_Short)-1)</f>
        <v>0.36793243477255366</v>
      </c>
      <c r="I34" s="63">
        <f>SUM(I25:I33)</f>
        <v>173.45881344878435</v>
      </c>
      <c r="J34" s="64">
        <f>I34/B34</f>
        <v>0.8672940672439218</v>
      </c>
      <c r="K34" s="65">
        <f>IF((I34/B34)&lt;=0,-1,(I34/B34)^(1/Hold_Short)-1)</f>
        <v>-0.02807383210337744</v>
      </c>
      <c r="L34" s="66">
        <f>SUM(L25:L33)</f>
        <v>100.75996477359112</v>
      </c>
      <c r="M34" s="67">
        <f>L34/B34</f>
        <v>0.5037998238679556</v>
      </c>
      <c r="N34" s="68">
        <f>IF((L34/B34)&lt;=0,-1,(L34/B34)^(1/Hold_Short)-1)</f>
        <v>-0.12813026520387416</v>
      </c>
    </row>
    <row r="35" ht="15" customHeight="1">
      <c r="A35" s="177" t="n"/>
      <c r="B35" s="177" t="n"/>
      <c r="C35" s="177" t="n"/>
      <c r="D35" s="177" t="n"/>
      <c r="E35" s="177" t="n"/>
      <c r="F35" s="177" t="n"/>
      <c r="G35" s="177" t="n"/>
      <c r="H35" s="177" t="n"/>
      <c r="I35" s="177" t="n"/>
      <c r="J35" s="177" t="n"/>
      <c r="K35" s="177" t="n"/>
      <c r="L35" s="177" t="n"/>
      <c r="M35" s="177" t="n"/>
      <c r="N35" s="177" t="n"/>
    </row>
    <row r="36" ht="15" customHeight="1">
      <c r="A36" s="177" t="n"/>
      <c r="B36" s="177" t="n"/>
      <c r="C36" s="177" t="n"/>
      <c r="D36" s="177" t="n"/>
      <c r="E36" s="177" t="n"/>
      <c r="F36" s="177" t="n"/>
      <c r="G36" s="177" t="n"/>
      <c r="H36" s="177" t="n"/>
      <c r="I36" s="177" t="n"/>
      <c r="J36" s="177" t="n"/>
      <c r="K36" s="177" t="n"/>
      <c r="L36" s="177" t="n"/>
      <c r="M36" s="177" t="n"/>
      <c r="N36" s="177" t="n"/>
    </row>
    <row r="37" ht="15" customHeight="1">
      <c r="A37" s="28" t="str">
        <f>Hold_Mid&amp;"-YEAR HOLD — GROSS PROCEEDS"</f>
        <v>7-YEAR HOLD — GROSS PROCEEDS</v>
      </c>
      <c r="B37" s="177" t="n"/>
      <c r="C37" s="177" t="n"/>
      <c r="D37" s="177" t="n"/>
      <c r="E37" s="177" t="n"/>
      <c r="F37" s="177" t="n"/>
      <c r="G37" s="177" t="n"/>
      <c r="H37" s="177" t="n"/>
      <c r="I37" s="177" t="n"/>
      <c r="J37" s="177" t="n"/>
      <c r="K37" s="177" t="n"/>
      <c r="L37" s="177" t="n"/>
      <c r="M37" s="177" t="n"/>
      <c r="N37" s="177" t="n"/>
    </row>
    <row r="38" ht="15" customHeight="1">
      <c r="A38" s="186" t="inlineStr">
        <is>
          <t>Company</t>
        </is>
      </c>
      <c r="B38" s="186" t="inlineStr">
        <is>
          <t>Check ($M)</t>
        </is>
      </c>
      <c r="C38" s="186" t="inlineStr">
        <is>
          <t>Base $</t>
        </is>
      </c>
      <c r="D38" s="186" t="inlineStr">
        <is>
          <t>Base MOIC</t>
        </is>
      </c>
      <c r="E38" s="186" t="inlineStr">
        <is>
          <t>Base IRR</t>
        </is>
      </c>
      <c r="F38" s="186" t="inlineStr">
        <is>
          <t>Bull $</t>
        </is>
      </c>
      <c r="G38" s="186" t="inlineStr">
        <is>
          <t>Bull MOIC</t>
        </is>
      </c>
      <c r="H38" s="186" t="inlineStr">
        <is>
          <t>Bull IRR</t>
        </is>
      </c>
      <c r="I38" s="186" t="inlineStr">
        <is>
          <t>Bear $</t>
        </is>
      </c>
      <c r="J38" s="186" t="inlineStr">
        <is>
          <t>Bear MOIC</t>
        </is>
      </c>
      <c r="K38" s="186" t="inlineStr">
        <is>
          <t>Bear IRR</t>
        </is>
      </c>
      <c r="L38" s="21" t="inlineStr">
        <is>
          <t>Shock $</t>
        </is>
      </c>
      <c r="M38" s="21" t="inlineStr">
        <is>
          <t>Shock MOIC</t>
        </is>
      </c>
      <c r="N38" s="21" t="inlineStr">
        <is>
          <t>Shock IRR</t>
        </is>
      </c>
    </row>
    <row r="39" ht="15" customHeight="1">
      <c r="A39" s="78" t="str">
        <f>A12</f>
        <v>Quince</v>
      </c>
      <c r="B39" s="79">
        <f>C12</f>
        <v>35</v>
      </c>
      <c r="C39" s="79">
        <f>B39*(1+T12)^Hold_Mid*Ret_Con_Mid</f>
        <v>183.98453405742097</v>
      </c>
      <c r="D39" s="80">
        <f>C39/B39</f>
        <v>5.2567009730691705</v>
      </c>
      <c r="E39" s="81">
        <f>IF((C39/B39)&lt;=0,-1,(C39/B39)^(1/Hold_Mid)-1)</f>
        <v>0.26753231137130684</v>
      </c>
      <c r="F39" s="79">
        <f>B39*(1+U12)^Hold_Mid*Ret_Con_Mid</f>
        <v>459.8786566282556</v>
      </c>
      <c r="G39" s="80">
        <f>F39/B39</f>
        <v>13.139390189378732</v>
      </c>
      <c r="H39" s="81">
        <f>IF((F39/B39)&lt;=0,-1,(F39/B39)^(1/Hold_Mid)-1)</f>
        <v>0.44476249296127723</v>
      </c>
      <c r="I39" s="79">
        <f>B39*(1+V12)^Hold_Mid*Ret_Con_Mid</f>
        <v>37.557063008144304</v>
      </c>
      <c r="J39" s="80">
        <f>I39/B39</f>
        <v>1.0730589430898372</v>
      </c>
      <c r="K39" s="81">
        <f>IF((I39/B39)&lt;=0,-1,(I39/B39)^(1/Hold_Mid)-1)</f>
        <v>0.010124249062043456</v>
      </c>
      <c r="L39" s="82">
        <f>B39*(1+W12)^Hold_Mid*Ret_Con_Mid</f>
        <v>8.09308759164915</v>
      </c>
      <c r="M39" s="83">
        <f>L39/B39</f>
        <v>0.23123107404711857</v>
      </c>
      <c r="N39" s="84">
        <f>IF((L39/B39)&lt;=0,-1,(L39/B39)^(1/Hold_Mid)-1)</f>
        <v>-0.18875981272218867</v>
      </c>
    </row>
    <row r="40" ht="15" customHeight="1">
      <c r="A40" s="78" t="str">
        <f>A13</f>
        <v>Whoop</v>
      </c>
      <c r="B40" s="79">
        <f>C13</f>
        <v>31.5</v>
      </c>
      <c r="C40" s="79">
        <f>B40*(1+T13)^Hold_Mid*Ret_Con_Mid</f>
        <v>155.59687880697115</v>
      </c>
      <c r="D40" s="80">
        <f>C40/B40</f>
        <v>4.9395834541895605</v>
      </c>
      <c r="E40" s="81">
        <f>IF((C40/B40)&lt;=0,-1,(C40/B40)^(1/Hold_Mid)-1)</f>
        <v>0.2563152112706759</v>
      </c>
      <c r="F40" s="79">
        <f>B40*(1+U13)^Hold_Mid*Ret_Con_Mid</f>
        <v>354.5266614671771</v>
      </c>
      <c r="G40" s="80">
        <f>F40/B40</f>
        <v>11.254814649751655</v>
      </c>
      <c r="H40" s="81">
        <f>IF((F40/B40)&lt;=0,-1,(F40/B40)^(1/Hold_Mid)-1)</f>
        <v>0.41315953267775996</v>
      </c>
      <c r="I40" s="79">
        <f>B40*(1+V13)^Hold_Mid*Ret_Con_Mid</f>
        <v>23.702331893463434</v>
      </c>
      <c r="J40" s="80">
        <f>I40/B40</f>
        <v>0.7524549807448709</v>
      </c>
      <c r="K40" s="81">
        <f>IF((I40/B40)&lt;=0,-1,(I40/B40)^(1/Hold_Mid)-1)</f>
        <v>-0.03981623138598345</v>
      </c>
      <c r="L40" s="82">
        <f>B40*(1+W13)^Hold_Mid*Ret_Con_Mid</f>
        <v>8.53851230184649</v>
      </c>
      <c r="M40" s="83">
        <f>L40/B40</f>
        <v>0.2710638825983013</v>
      </c>
      <c r="N40" s="84">
        <f>IF((L40/B40)&lt;=0,-1,(L40/B40)^(1/Hold_Mid)-1)</f>
        <v>-0.17012967255505362</v>
      </c>
    </row>
    <row r="41" ht="15" customHeight="1">
      <c r="A41" s="78" t="str">
        <f>A14</f>
        <v>The Farmer's Dog</v>
      </c>
      <c r="B41" s="79">
        <f>C14</f>
        <v>24.5</v>
      </c>
      <c r="C41" s="79">
        <f>B41*(1+T14)^Hold_Mid*Ret_Con_Mid</f>
        <v>91.9850919628865</v>
      </c>
      <c r="D41" s="80">
        <f>C41/B41</f>
        <v>3.7544935495055713</v>
      </c>
      <c r="E41" s="81">
        <f>IF((C41/B41)&lt;=0,-1,(C41/B41)^(1/Hold_Mid)-1)</f>
        <v>0.20803291083752473</v>
      </c>
      <c r="F41" s="79">
        <f>B41*(1+U14)^Hold_Mid*Ret_Con_Mid</f>
        <v>186.03797420052004</v>
      </c>
      <c r="G41" s="80">
        <f>F41/B41</f>
        <v>7.593386702062042</v>
      </c>
      <c r="H41" s="81">
        <f>IF((F41/B41)&lt;=0,-1,(F41/B41)^(1/Hold_Mid)-1)</f>
        <v>0.33590785198471873</v>
      </c>
      <c r="I41" s="79">
        <f>B41*(1+V14)^Hold_Mid*Ret_Con_Mid</f>
        <v>44.03764546130534</v>
      </c>
      <c r="J41" s="80">
        <f>I41/B41</f>
        <v>1.797454916787973</v>
      </c>
      <c r="K41" s="81">
        <f>IF((I41/B41)&lt;=0,-1,(I41/B41)^(1/Hold_Mid)-1)</f>
        <v>0.0873759297550849</v>
      </c>
      <c r="L41" s="82">
        <f>B41*(1+W14)^Hold_Mid*Ret_Con_Mid</f>
        <v>15.589256799791173</v>
      </c>
      <c r="M41" s="83">
        <f>L41/B41</f>
        <v>0.6362961959098438</v>
      </c>
      <c r="N41" s="84">
        <f>IF((L41/B41)&lt;=0,-1,(L41/B41)^(1/Hold_Mid)-1)</f>
        <v>-0.06254305158987072</v>
      </c>
    </row>
    <row r="42" ht="15" customHeight="1">
      <c r="A42" s="78" t="str">
        <f>A15</f>
        <v>Made In Cookware</v>
      </c>
      <c r="B42" s="79">
        <f>C15</f>
        <v>17.5</v>
      </c>
      <c r="C42" s="79">
        <f>B42*(1+T15)^Hold_Mid*Ret_Con_Mid</f>
        <v>40.799124843484485</v>
      </c>
      <c r="D42" s="80">
        <f>C42/B42</f>
        <v>2.3313785624848276</v>
      </c>
      <c r="E42" s="81">
        <f>IF((C42/B42)&lt;=0,-1,(C42/B42)^(1/Hold_Mid)-1)</f>
        <v>0.12853781012435705</v>
      </c>
      <c r="F42" s="79">
        <f>B42*(1+U15)^Hold_Mid*Ret_Con_Mid</f>
        <v>86.06757217130026</v>
      </c>
      <c r="G42" s="80">
        <f>F42/B42</f>
        <v>4.918146981217157</v>
      </c>
      <c r="H42" s="81">
        <f>IF((F42/B42)&lt;=0,-1,(F42/B42)^(1/Hold_Mid)-1)</f>
        <v>0.25553489126367523</v>
      </c>
      <c r="I42" s="79">
        <f>B42*(1+V15)^Hold_Mid*Ret_Con_Mid</f>
        <v>7.80926159449139</v>
      </c>
      <c r="J42" s="80">
        <f>I42/B42</f>
        <v>0.44624351968522225</v>
      </c>
      <c r="K42" s="81">
        <f>IF((I42/B42)&lt;=0,-1,(I42/B42)^(1/Hold_Mid)-1)</f>
        <v>-0.10887455200552065</v>
      </c>
      <c r="L42" s="82">
        <f>B42*(1+W15)^Hold_Mid*Ret_Con_Mid</f>
        <v>5.554575668780982</v>
      </c>
      <c r="M42" s="83">
        <f>L42/B42</f>
        <v>0.31740432393034185</v>
      </c>
      <c r="N42" s="84">
        <f>IF((L42/B42)&lt;=0,-1,(L42/B42)^(1/Hold_Mid)-1)</f>
        <v>-0.1512069123852935</v>
      </c>
    </row>
    <row r="43" ht="15" customHeight="1">
      <c r="A43" s="78" t="str">
        <f>A16</f>
        <v>Thrive Market</v>
      </c>
      <c r="B43" s="79">
        <f>C16</f>
        <v>14</v>
      </c>
      <c r="C43" s="79">
        <f>B43*(1+T16)^Hold_Mid*Ret_Con_Mid</f>
        <v>21.15495866662635</v>
      </c>
      <c r="D43" s="80">
        <f>C43/B43</f>
        <v>1.5110684761875963</v>
      </c>
      <c r="E43" s="81">
        <f>IF((C43/B43)&lt;=0,-1,(C43/B43)^(1/Hold_Mid)-1)</f>
        <v>0.060747509516195564</v>
      </c>
      <c r="F43" s="79">
        <f>B43*(1+U16)^Hold_Mid*Ret_Con_Mid</f>
        <v>39.27556182943599</v>
      </c>
      <c r="G43" s="80">
        <f>F43/B43</f>
        <v>2.8053972735311423</v>
      </c>
      <c r="H43" s="81">
        <f>IF((F43/B43)&lt;=0,-1,(F43/B43)^(1/Hold_Mid)-1)</f>
        <v>0.15877521039562326</v>
      </c>
      <c r="I43" s="79">
        <f>B43*(1+V16)^Hold_Mid*Ret_Con_Mid</f>
        <v>9.098013125889931</v>
      </c>
      <c r="J43" s="80">
        <f>I43/B43</f>
        <v>0.6498580804207094</v>
      </c>
      <c r="K43" s="81">
        <f>IF((I43/B43)&lt;=0,-1,(I43/B43)^(1/Hold_Mid)-1)</f>
        <v>-0.05971439156449421</v>
      </c>
      <c r="L43" s="82">
        <f>B43*(1+W16)^Hold_Mid*Ret_Con_Mid</f>
        <v>7.102675344603679</v>
      </c>
      <c r="M43" s="83">
        <f>L43/B43</f>
        <v>0.5073339531859771</v>
      </c>
      <c r="N43" s="84">
        <f>IF((L43/B43)&lt;=0,-1,(L43/B43)^(1/Hold_Mid)-1)</f>
        <v>-0.09239029185763681</v>
      </c>
    </row>
    <row r="44" ht="15" customHeight="1">
      <c r="A44" s="78" t="str">
        <f>A17</f>
        <v>Plunge</v>
      </c>
      <c r="B44" s="79">
        <f>C17</f>
        <v>7</v>
      </c>
      <c r="C44" s="79">
        <f>B44*(1+T17)^Hold_Mid*Ret_Con_Mid</f>
        <v>23.049529689974253</v>
      </c>
      <c r="D44" s="80">
        <f>C44/B44</f>
        <v>3.2927899557106075</v>
      </c>
      <c r="E44" s="81">
        <f>IF((C44/B44)&lt;=0,-1,(C44/B44)^(1/Hold_Mid)-1)</f>
        <v>0.18559871063626288</v>
      </c>
      <c r="F44" s="79">
        <f>B44*(1+U17)^Hold_Mid*Ret_Con_Mid</f>
        <v>112.68536328175796</v>
      </c>
      <c r="G44" s="80">
        <f>F44/B44</f>
        <v>16.097909040251135</v>
      </c>
      <c r="H44" s="81">
        <f>IF((F44/B44)&lt;=0,-1,(F44/B44)^(1/Hold_Mid)-1)</f>
        <v>0.4872899333428</v>
      </c>
      <c r="I44" s="79">
        <f>B44*(1+V17)^Hold_Mid*Ret_Con_Mid</f>
        <v>1.153422965122936</v>
      </c>
      <c r="J44" s="80">
        <f>I44/B44</f>
        <v>0.16477470930327656</v>
      </c>
      <c r="K44" s="81">
        <f>IF((I44/B44)&lt;=0,-1,(I44/B44)^(1/Hold_Mid)-1)</f>
        <v>-0.2270930330660843</v>
      </c>
      <c r="L44" s="82">
        <f>B44*(1+W17)^Hold_Mid*Ret_Con_Mid</f>
        <v>0.6452393143292628</v>
      </c>
      <c r="M44" s="83">
        <f>L44/B44</f>
        <v>0.09217704490418041</v>
      </c>
      <c r="N44" s="84">
        <f>IF((L44/B44)&lt;=0,-1,(L44/B44)^(1/Hold_Mid)-1)</f>
        <v>-0.28864077361824236</v>
      </c>
    </row>
    <row r="45" ht="15" customHeight="1">
      <c r="A45" s="78" t="str">
        <f>A18</f>
        <v>Polymarket</v>
      </c>
      <c r="B45" s="79">
        <f>C18</f>
        <v>10.5</v>
      </c>
      <c r="C45" s="79">
        <f>B45*(1+T18)^Hold_Mid*Ret_Con_Mid</f>
        <v>45.973177843752225</v>
      </c>
      <c r="D45" s="80">
        <f>C45/B45</f>
        <v>4.378397889881164</v>
      </c>
      <c r="E45" s="81">
        <f>IF((C45/B45)&lt;=0,-1,(C45/B45)^(1/Hold_Mid)-1)</f>
        <v>0.23485641107816413</v>
      </c>
      <c r="F45" s="79">
        <f>B45*(1+U18)^Hold_Mid*Ret_Con_Mid</f>
        <v>105.54857929233596</v>
      </c>
      <c r="G45" s="80">
        <f>F45/B45</f>
        <v>10.052245646889139</v>
      </c>
      <c r="H45" s="81">
        <f>IF((F45/B45)&lt;=0,-1,(F45/B45)^(1/Hold_Mid)-1)</f>
        <v>0.39053025247474804</v>
      </c>
      <c r="I45" s="79">
        <f>B45*(1+V18)^Hold_Mid*Ret_Con_Mid</f>
        <v>6.764273456933444</v>
      </c>
      <c r="J45" s="80">
        <f>I45/B45</f>
        <v>0.644216519707947</v>
      </c>
      <c r="K45" s="81">
        <f>IF((I45/B45)&lt;=0,-1,(I45/B45)^(1/Hold_Mid)-1)</f>
        <v>-0.06088487157499489</v>
      </c>
      <c r="L45" s="82">
        <f>B45*(1+W18)^Hold_Mid*Ret_Con_Mid</f>
        <v>3.888946823905652</v>
      </c>
      <c r="M45" s="83">
        <f>L45/B45</f>
        <v>0.37037588799101445</v>
      </c>
      <c r="N45" s="84">
        <f>IF((L45/B45)&lt;=0,-1,(L45/B45)^(1/Hold_Mid)-1)</f>
        <v>-0.13228415221553325</v>
      </c>
    </row>
    <row r="46" ht="15" customHeight="1">
      <c r="A46" s="78" t="str">
        <f>A19</f>
        <v>Goat Group</v>
      </c>
      <c r="B46" s="79">
        <f>C19</f>
        <v>15</v>
      </c>
      <c r="C46" s="79">
        <f>B46*(1+T19)^Hold_Mid*Ret_Con_Mid</f>
        <v>36.151079986836365</v>
      </c>
      <c r="D46" s="80">
        <f>C46/B46</f>
        <v>2.410071999122424</v>
      </c>
      <c r="E46" s="81">
        <f>IF((C46/B46)&lt;=0,-1,(C46/B46)^(1/Hold_Mid)-1)</f>
        <v>0.1339025101724851</v>
      </c>
      <c r="F46" s="79">
        <f>B46*(1+U19)^Hold_Mid*Ret_Con_Mid</f>
        <v>79.06313142000002</v>
      </c>
      <c r="G46" s="80">
        <f>F46/B46</f>
        <v>5.270875428000001</v>
      </c>
      <c r="H46" s="81">
        <f>IF((F46/B46)&lt;=0,-1,(F46/B46)^(1/Hold_Mid)-1)</f>
        <v>0.2680200113756821</v>
      </c>
      <c r="I46" s="79">
        <f>B46*(1+V19)^Hold_Mid*Ret_Con_Mid</f>
        <v>5.573148196836654</v>
      </c>
      <c r="J46" s="80">
        <f>I46/B46</f>
        <v>0.3715432131224436</v>
      </c>
      <c r="K46" s="81">
        <f>IF((I46/B46)&lt;=0,-1,(I46/B46)^(1/Hold_Mid)-1)</f>
        <v>-0.13189399221203302</v>
      </c>
      <c r="L46" s="82">
        <f>B46*(1+W19)^Hold_Mid*Ret_Con_Mid</f>
        <v>3.9568400354202806</v>
      </c>
      <c r="M46" s="83">
        <f>L46/B46</f>
        <v>0.2637893356946854</v>
      </c>
      <c r="N46" s="84">
        <f>IF((L46/B46)&lt;=0,-1,(L46/B46)^(1/Hold_Mid)-1)</f>
        <v>-0.17334849258393026</v>
      </c>
    </row>
    <row r="47" ht="15" customHeight="1">
      <c r="A47" s="78" t="str">
        <f>A20</f>
        <v>Stripe</v>
      </c>
      <c r="B47" s="79">
        <f>C20</f>
        <v>45</v>
      </c>
      <c r="C47" s="79">
        <f>B47*(1+T20)^Hold_Mid*Ret_Con_Mid</f>
        <v>134.65611536092825</v>
      </c>
      <c r="D47" s="80">
        <f>C47/B47</f>
        <v>2.992358119131739</v>
      </c>
      <c r="E47" s="81">
        <f>IF((C47/B47)&lt;=0,-1,(C47/B47)^(1/Hold_Mid)-1)</f>
        <v>0.16950461049187915</v>
      </c>
      <c r="F47" s="79">
        <f>B47*(1+U20)^Hold_Mid*Ret_Con_Mid</f>
        <v>361.01600347916917</v>
      </c>
      <c r="G47" s="80">
        <f>F47/B47</f>
        <v>8.022577855092647</v>
      </c>
      <c r="H47" s="81">
        <f>IF((F47/B47)&lt;=0,-1,(F47/B47)^(1/Hold_Mid)-1)</f>
        <v>0.3464421720792241</v>
      </c>
      <c r="I47" s="79">
        <f>B47*(1+V20)^Hold_Mid*Ret_Con_Mid</f>
        <v>29.499387074865393</v>
      </c>
      <c r="J47" s="80">
        <f>I47/B47</f>
        <v>0.6555419349970087</v>
      </c>
      <c r="K47" s="81">
        <f>IF((I47/B47)&lt;=0,-1,(I47/B47)^(1/Hold_Mid)-1)</f>
        <v>-0.05854391155399352</v>
      </c>
      <c r="L47" s="82">
        <f>B47*(1+W20)^Hold_Mid*Ret_Con_Mid</f>
        <v>22.985049057634967</v>
      </c>
      <c r="M47" s="83">
        <f>L47/B47</f>
        <v>0.5107788679474438</v>
      </c>
      <c r="N47" s="84">
        <f>IF((L47/B47)&lt;=0,-1,(L47/B47)^(1/Hold_Mid)-1)</f>
        <v>-0.09151243184976132</v>
      </c>
    </row>
    <row r="48" ht="15" customHeight="1">
      <c r="A48" s="53" t="inlineStr">
        <is>
          <t>SLEEVE TOTAL</t>
        </is>
      </c>
      <c r="B48" s="63">
        <f>SUM(B39:B47)</f>
        <v>200.0</v>
      </c>
      <c r="C48" s="63">
        <f>SUM(C39:C47)</f>
        <v>733.3504912188805</v>
      </c>
      <c r="D48" s="64">
        <f>C48/B48</f>
        <v>3.6667524560944025</v>
      </c>
      <c r="E48" s="65">
        <f>IF((C48/B48)&lt;=0,-1,(C48/B48)^(1/Hold_Mid)-1)</f>
        <v>0.20395888457793165</v>
      </c>
      <c r="F48" s="63">
        <f>SUM(F39:F47)</f>
        <v>1784.0995037699522</v>
      </c>
      <c r="G48" s="64">
        <f>F48/B48</f>
        <v>8.92049751884976</v>
      </c>
      <c r="H48" s="65">
        <f>IF((F48/B48)&lt;=0,-1,(F48/B48)^(1/Hold_Mid)-1)</f>
        <v>0.36700426045735246</v>
      </c>
      <c r="I48" s="63">
        <f>SUM(I39:I47)</f>
        <v>165.1945467770528</v>
      </c>
      <c r="J48" s="64">
        <f>I48/B48</f>
        <v>0.825972733885264</v>
      </c>
      <c r="K48" s="65">
        <f>IF((I48/B48)&lt;=0,-1,(I48/B48)^(1/Hold_Mid)-1)</f>
        <v>-0.02694372259029809</v>
      </c>
      <c r="L48" s="66">
        <f>SUM(L39:L47)</f>
        <v>76.35418293796164</v>
      </c>
      <c r="M48" s="67">
        <f>L48/B48</f>
        <v>0.38177091468980817</v>
      </c>
      <c r="N48" s="68">
        <f>IF((L48/B48)&lt;=0,-1,(L48/B48)^(1/Hold_Mid)-1)</f>
        <v>-0.12851975193495835</v>
      </c>
    </row>
    <row r="49" ht="15" customHeight="1">
      <c r="A49" s="177" t="n"/>
      <c r="B49" s="177" t="n"/>
      <c r="C49" s="177" t="n"/>
      <c r="D49" s="177" t="n"/>
      <c r="E49" s="177" t="n"/>
      <c r="F49" s="177" t="n"/>
      <c r="G49" s="177" t="n"/>
      <c r="H49" s="177" t="n"/>
      <c r="I49" s="177" t="n"/>
      <c r="J49" s="177" t="n"/>
      <c r="K49" s="177" t="n"/>
      <c r="L49" s="177" t="n"/>
      <c r="M49" s="177" t="n"/>
      <c r="N49" s="177" t="n"/>
    </row>
    <row r="50" ht="15" customHeight="1">
      <c r="A50" s="177" t="n"/>
      <c r="B50" s="177" t="n"/>
      <c r="C50" s="177" t="n"/>
      <c r="D50" s="177" t="n"/>
      <c r="E50" s="177" t="n"/>
      <c r="F50" s="177" t="n"/>
      <c r="G50" s="177" t="n"/>
      <c r="H50" s="177" t="n"/>
      <c r="I50" s="177" t="n"/>
      <c r="J50" s="177" t="n"/>
      <c r="K50" s="177" t="n"/>
      <c r="L50" s="177" t="n"/>
      <c r="M50" s="177" t="n"/>
      <c r="N50" s="177" t="n"/>
    </row>
    <row r="51" ht="15" customHeight="1">
      <c r="A51" s="28" t="str">
        <f>Hold_Long&amp;"-YEAR HOLD — GROSS PROCEEDS"</f>
        <v>10-YEAR HOLD — GROSS PROCEEDS</v>
      </c>
      <c r="B51" s="177" t="n"/>
      <c r="C51" s="177" t="n"/>
      <c r="D51" s="177" t="n"/>
      <c r="E51" s="177" t="n"/>
      <c r="F51" s="177" t="n"/>
      <c r="G51" s="177" t="n"/>
      <c r="H51" s="177" t="n"/>
      <c r="I51" s="177" t="n"/>
      <c r="J51" s="177" t="n"/>
      <c r="K51" s="177" t="n"/>
      <c r="L51" s="177" t="n"/>
      <c r="M51" s="177" t="n"/>
      <c r="N51" s="177" t="n"/>
    </row>
    <row r="52" ht="15" customHeight="1">
      <c r="A52" s="186" t="inlineStr">
        <is>
          <t>Company</t>
        </is>
      </c>
      <c r="B52" s="186" t="inlineStr">
        <is>
          <t>Check ($M)</t>
        </is>
      </c>
      <c r="C52" s="186" t="inlineStr">
        <is>
          <t>Base $</t>
        </is>
      </c>
      <c r="D52" s="186" t="inlineStr">
        <is>
          <t>Base MOIC</t>
        </is>
      </c>
      <c r="E52" s="186" t="inlineStr">
        <is>
          <t>Base IRR</t>
        </is>
      </c>
      <c r="F52" s="186" t="inlineStr">
        <is>
          <t>Bull $</t>
        </is>
      </c>
      <c r="G52" s="186" t="inlineStr">
        <is>
          <t>Bull MOIC</t>
        </is>
      </c>
      <c r="H52" s="186" t="inlineStr">
        <is>
          <t>Bull IRR</t>
        </is>
      </c>
      <c r="I52" s="186" t="inlineStr">
        <is>
          <t>Bear $</t>
        </is>
      </c>
      <c r="J52" s="186" t="inlineStr">
        <is>
          <t>Bear MOIC</t>
        </is>
      </c>
      <c r="K52" s="186" t="inlineStr">
        <is>
          <t>Bear IRR</t>
        </is>
      </c>
      <c r="L52" s="21" t="inlineStr">
        <is>
          <t>Shock $</t>
        </is>
      </c>
      <c r="M52" s="21" t="inlineStr">
        <is>
          <t>Shock MOIC</t>
        </is>
      </c>
      <c r="N52" s="21" t="inlineStr">
        <is>
          <t>Shock IRR</t>
        </is>
      </c>
    </row>
    <row r="53" ht="15" customHeight="1">
      <c r="A53" s="78" t="str">
        <f>A12</f>
        <v>Quince</v>
      </c>
      <c r="B53" s="79">
        <f>C12</f>
        <v>35</v>
      </c>
      <c r="C53" s="79">
        <f>B53*(1+T12)^Hold_Long*Ret_Con_Long</f>
        <v>360.4891070466438</v>
      </c>
      <c r="D53" s="80">
        <f>C53/B53</f>
        <v>10.299688772761252</v>
      </c>
      <c r="E53" s="81">
        <f>IF((C53/B53)&lt;=0,-1,(C53/B53)^(1/Hold_Long)-1)</f>
        <v>0.2626483343930641</v>
      </c>
      <c r="F53" s="79">
        <f>B53*(1+U12)^Hold_Long*Ret_Con_Long</f>
        <v>1334.3394970153558</v>
      </c>
      <c r="G53" s="80">
        <f>F53/B53</f>
        <v>38.123985629010164</v>
      </c>
      <c r="H53" s="81">
        <f>IF((F53/B53)&lt;=0,-1,(F53/B53)^(1/Hold_Long)-1)</f>
        <v>0.43919562362678466</v>
      </c>
      <c r="I53" s="79">
        <f>B53*(1+V12)^Hold_Long*Ret_Con_Long</f>
        <v>37.24343463902308</v>
      </c>
      <c r="J53" s="80">
        <f>I53/B53</f>
        <v>1.0640981325435166</v>
      </c>
      <c r="K53" s="81">
        <f>IF((I53/B53)&lt;=0,-1,(I53/B53)^(1/Hold_Long)-1)</f>
        <v>0.006232100882999081</v>
      </c>
      <c r="L53" s="82">
        <f>B53*(1+W12)^Hold_Long*Ret_Con_Long</f>
        <v>4.157156005543638</v>
      </c>
      <c r="M53" s="83">
        <f>L53/B53</f>
        <v>0.11877588587267537</v>
      </c>
      <c r="N53" s="84">
        <f>IF((L53/B53)&lt;=0,-1,(L53/B53)^(1/Hold_Long)-1)</f>
        <v>-0.19188563315528173</v>
      </c>
    </row>
    <row r="54" ht="15" customHeight="1">
      <c r="A54" s="78" t="str">
        <f>A13</f>
        <v>Whoop</v>
      </c>
      <c r="B54" s="79">
        <f>C13</f>
        <v>31.5</v>
      </c>
      <c r="C54" s="79">
        <f>B54*(1+T13)^Hold_Long*Ret_Con_Long</f>
        <v>296.84548479288475</v>
      </c>
      <c r="D54" s="80">
        <f>C54/B54</f>
        <v>9.423666183901103</v>
      </c>
      <c r="E54" s="81">
        <f>IF((C54/B54)&lt;=0,-1,(C54/B54)^(1/Hold_Long)-1)</f>
        <v>0.2514744553276387</v>
      </c>
      <c r="F54" s="79">
        <f>B54*(1+U13)^Hold_Long*Ret_Con_Long</f>
        <v>962.6229028188509</v>
      </c>
      <c r="G54" s="80">
        <f>F54/B54</f>
        <v>30.559457232344474</v>
      </c>
      <c r="H54" s="81">
        <f>IF((F54/B54)&lt;=0,-1,(F54/B54)^(1/Hold_Long)-1)</f>
        <v>0.4077144339120209</v>
      </c>
      <c r="I54" s="79">
        <f>B54*(1+V13)^Hold_Long*Ret_Con_Long</f>
        <v>20.18774765661258</v>
      </c>
      <c r="J54" s="80">
        <f>I54/B54</f>
        <v>0.6408808779877009</v>
      </c>
      <c r="K54" s="81">
        <f>IF((I54/B54)&lt;=0,-1,(I54/B54)^(1/Hold_Long)-1)</f>
        <v>-0.04351595199959046</v>
      </c>
      <c r="L54" s="82">
        <f>B54*(1+W13)^Hold_Long*Ret_Con_Long</f>
        <v>4.695119274041673</v>
      </c>
      <c r="M54" s="83">
        <f>L54/B54</f>
        <v>0.14905140552513246</v>
      </c>
      <c r="N54" s="84">
        <f>IF((L54/B54)&lt;=0,-1,(L54/B54)^(1/Hold_Long)-1)</f>
        <v>-0.17332727749009702</v>
      </c>
    </row>
    <row r="55" ht="139.5" customHeight="1">
      <c r="A55" s="78" t="str">
        <f>A14</f>
        <v>The Farmer's Dog</v>
      </c>
      <c r="B55" s="79">
        <f>C14</f>
        <v>24.5</v>
      </c>
      <c r="C55" s="79">
        <f>B55*(1+T14)^Hold_Long*Ret_Con_Long</f>
        <v>156.02258065634547</v>
      </c>
      <c r="D55" s="80">
        <f>C55/B55</f>
        <v>6.368268598218182</v>
      </c>
      <c r="E55" s="81">
        <f>IF((C55/B55)&lt;=0,-1,(C55/B55)^(1/Hold_Long)-1)</f>
        <v>0.20337819326341644</v>
      </c>
      <c r="F55" s="79">
        <f>B55*(1+U14)^Hold_Long*Ret_Con_Long</f>
        <v>426.7414426719313</v>
      </c>
      <c r="G55" s="80">
        <f>F55/B55</f>
        <v>17.418018068242095</v>
      </c>
      <c r="H55" s="81">
        <f>IF((F55/B55)&lt;=0,-1,(F55/B55)^(1/Hold_Long)-1)</f>
        <v>0.33076041460926553</v>
      </c>
      <c r="I55" s="79">
        <f>B55*(1+V14)^Hold_Long*Ret_Con_Long</f>
        <v>54.474963530349484</v>
      </c>
      <c r="J55" s="80">
        <f>I55/B55</f>
        <v>2.223467899197938</v>
      </c>
      <c r="K55" s="81">
        <f>IF((I55/B55)&lt;=0,-1,(I55/B55)^(1/Hold_Long)-1)</f>
        <v>0.08318612018575444</v>
      </c>
      <c r="L55" s="82">
        <f>B55*(1+W14)^Hold_Long*Ret_Con_Long</f>
        <v>12.357002093867418</v>
      </c>
      <c r="M55" s="83">
        <f>L55/B55</f>
        <v>0.5043674324027517</v>
      </c>
      <c r="N55" s="84">
        <f>IF((L55/B55)&lt;=0,-1,(L55/B55)^(1/Hold_Long)-1)</f>
        <v>-0.06615520262780006</v>
      </c>
    </row>
    <row r="56" ht="15" customHeight="1">
      <c r="A56" s="78" t="str">
        <f>A15</f>
        <v>Made In Cookware</v>
      </c>
      <c r="B56" s="79">
        <f>C15</f>
        <v>17.5</v>
      </c>
      <c r="C56" s="79">
        <f>B56*(1+T15)^Hold_Long*Ret_Con_Long</f>
        <v>56.41997658678997</v>
      </c>
      <c r="D56" s="80">
        <f>C56/B56</f>
        <v>3.223998662102284</v>
      </c>
      <c r="E56" s="81">
        <f>IF((C56/B56)&lt;=0,-1,(C56/B56)^(1/Hold_Long)-1)</f>
        <v>0.12418939814757612</v>
      </c>
      <c r="F56" s="79">
        <f>B56*(1+U15)^Hold_Long*Ret_Con_Long</f>
        <v>163.8927049222612</v>
      </c>
      <c r="G56" s="80">
        <f>F56/B56</f>
        <v>9.365297424129212</v>
      </c>
      <c r="H56" s="81">
        <f>IF((F56/B56)&lt;=0,-1,(F56/B56)^(1/Hold_Long)-1)</f>
        <v>0.2506971420013482</v>
      </c>
      <c r="I56" s="79">
        <f>B56*(1+V15)^Hold_Long*Ret_Con_Long</f>
        <v>5.316921166231342</v>
      </c>
      <c r="J56" s="80">
        <f>I56/B56</f>
        <v>0.303824066641791</v>
      </c>
      <c r="K56" s="81">
        <f>IF((I56/B56)&lt;=0,-1,(I56/B56)^(1/Hold_Long)-1)</f>
        <v>-0.11230818137629606</v>
      </c>
      <c r="L56" s="82">
        <f>B56*(1+W15)^Hold_Long*Ret_Con_Long</f>
        <v>3.2680606040675357</v>
      </c>
      <c r="M56" s="83">
        <f>L56/B56</f>
        <v>0.18674632023243062</v>
      </c>
      <c r="N56" s="84">
        <f>IF((L56/B56)&lt;=0,-1,(L56/B56)^(1/Hold_Long)-1)</f>
        <v>-0.15447742932755348</v>
      </c>
    </row>
    <row r="57" ht="15" customHeight="1">
      <c r="A57" s="78" t="str">
        <f>A16</f>
        <v>Thrive Market</v>
      </c>
      <c r="B57" s="79">
        <f>C16</f>
        <v>14</v>
      </c>
      <c r="C57" s="79">
        <f>B57*(1+T16)^Hold_Long*Ret_Con_Long</f>
        <v>24.293045038451183</v>
      </c>
      <c r="D57" s="80">
        <f>C57/B57</f>
        <v>1.735217502746513</v>
      </c>
      <c r="E57" s="81">
        <f>IF((C57/B57)&lt;=0,-1,(C57/B57)^(1/Hold_Long)-1)</f>
        <v>0.056660302926092365</v>
      </c>
      <c r="F57" s="79">
        <f>B57*(1+U16)^Hold_Long*Ret_Con_Long</f>
        <v>58.79680205277586</v>
      </c>
      <c r="G57" s="80">
        <f>F57/B57</f>
        <v>4.199771575198276</v>
      </c>
      <c r="H57" s="81">
        <f>IF((F57/B57)&lt;=0,-1,(F57/B57)^(1/Hold_Long)-1)</f>
        <v>0.1543102895413313</v>
      </c>
      <c r="I57" s="79">
        <f>B57*(1+V16)^Hold_Long*Ret_Con_Long</f>
        <v>7.2771217021668555</v>
      </c>
      <c r="J57" s="80">
        <f>I57/B57</f>
        <v>0.5197944072976325</v>
      </c>
      <c r="K57" s="81">
        <f>IF((I57/B57)&lt;=0,-1,(I57/B57)^(1/Hold_Long)-1)</f>
        <v>-0.06333744181999723</v>
      </c>
      <c r="L57" s="82">
        <f>B57*(1+W16)^Hold_Long*Ret_Con_Long</f>
        <v>5.109202002697849</v>
      </c>
      <c r="M57" s="83">
        <f>L57/B57</f>
        <v>0.3649430001927035</v>
      </c>
      <c r="N57" s="84">
        <f>IF((L57/B57)&lt;=0,-1,(L57/B57)^(1/Hold_Long)-1)</f>
        <v>-0.0958874373584101</v>
      </c>
    </row>
    <row r="58" ht="105.75" customHeight="1">
      <c r="A58" s="78" t="str">
        <f>A17</f>
        <v>Plunge</v>
      </c>
      <c r="B58" s="79">
        <f>C17</f>
        <v>7</v>
      </c>
      <c r="C58" s="79">
        <f>B58*(1+T17)^Hold_Long*Ret_Con_Long</f>
        <v>36.95804034295752</v>
      </c>
      <c r="D58" s="80">
        <f>C58/B58</f>
        <v>5.279720048993931</v>
      </c>
      <c r="E58" s="81">
        <f>IF((C58/B58)&lt;=0,-1,(C58/B58)^(1/Hold_Long)-1)</f>
        <v>0.18103043513256578</v>
      </c>
      <c r="F58" s="79">
        <f>B58*(1+U17)^Hold_Long*Ret_Con_Long</f>
        <v>356.68770241472464</v>
      </c>
      <c r="G58" s="80">
        <f>F58/B58</f>
        <v>50.95538605924638</v>
      </c>
      <c r="H58" s="81">
        <f>IF((F58/B58)&lt;=0,-1,(F58/B58)^(1/Hold_Long)-1)</f>
        <v>0.4815591999096145</v>
      </c>
      <c r="I58" s="79">
        <f>B58*(1+V17)^Hold_Long*Ret_Con_Long</f>
        <v>0.5123939250142742</v>
      </c>
      <c r="J58" s="80">
        <f>I58/B58</f>
        <v>0.0731991321448963</v>
      </c>
      <c r="K58" s="81">
        <f>IF((I58/B58)&lt;=0,-1,(I58/B58)^(1/Hold_Long)-1)</f>
        <v>-0.2300711503093006</v>
      </c>
      <c r="L58" s="82">
        <f>B58*(1+W17)^Hold_Long*Ret_Con_Long</f>
        <v>0.22347113719923678</v>
      </c>
      <c r="M58" s="83">
        <f>L58/B58</f>
        <v>0.03192444817131954</v>
      </c>
      <c r="N58" s="84">
        <f>IF((L58/B58)&lt;=0,-1,(L58/B58)^(1/Hold_Long)-1)</f>
        <v>-0.2913817389204606</v>
      </c>
    </row>
    <row r="59">
      <c r="A59" s="78" t="str">
        <f>A18</f>
        <v>Polymarket</v>
      </c>
      <c r="B59" s="79">
        <f>C18</f>
        <v>10.5</v>
      </c>
      <c r="C59" s="79">
        <f>B59*(1+T18)^Hold_Long*Ret_Con_Long</f>
        <v>83.28899452788073</v>
      </c>
      <c r="D59" s="80">
        <f>C59/B59</f>
        <v>7.932285193131499</v>
      </c>
      <c r="E59" s="81">
        <f>IF((C59/B59)&lt;=0,-1,(C59/B59)^(1/Hold_Long)-1)</f>
        <v>0.23009833885465114</v>
      </c>
      <c r="F59" s="79">
        <f>B59*(1+U18)^Hold_Long*Ret_Con_Long</f>
        <v>273.04072559311163</v>
      </c>
      <c r="G59" s="80">
        <f>F59/B59</f>
        <v>26.003878627915395</v>
      </c>
      <c r="H59" s="81">
        <f>IF((F59/B59)&lt;=0,-1,(F59/B59)^(1/Hold_Long)-1)</f>
        <v>0.3851723474495976</v>
      </c>
      <c r="I59" s="79">
        <f>B59*(1+V18)^Hold_Long*Ret_Con_Long</f>
        <v>5.390280659532571</v>
      </c>
      <c r="J59" s="80">
        <f>I59/B59</f>
        <v>0.5133600628126258</v>
      </c>
      <c r="K59" s="81">
        <f>IF((I59/B59)&lt;=0,-1,(I59/B59)^(1/Hold_Long)-1)</f>
        <v>-0.06450341180943286</v>
      </c>
      <c r="L59" s="82">
        <f>B59*(1+W18)^Hold_Long*Ret_Con_Long</f>
        <v>2.4445465114964957</v>
      </c>
      <c r="M59" s="83">
        <f>L59/B59</f>
        <v>0.23281395347585673</v>
      </c>
      <c r="N59" s="84">
        <f>IF((L59/B59)&lt;=0,-1,(L59/B59)^(1/Hold_Long)-1)</f>
        <v>-0.13562758116500984</v>
      </c>
    </row>
    <row r="60">
      <c r="A60" s="78" t="str">
        <f>A19</f>
        <v>Goat Group</v>
      </c>
      <c r="B60" s="79">
        <f>C19</f>
        <v>15</v>
      </c>
      <c r="C60" s="79">
        <f>B60*(1+T19)^Hold_Long*Ret_Con_Long</f>
        <v>50.70866044393789</v>
      </c>
      <c r="D60" s="80">
        <f>C60/B60</f>
        <v>3.3805773629291926</v>
      </c>
      <c r="E60" s="81">
        <f>IF((C60/B60)&lt;=0,-1,(C60/B60)^(1/Hold_Long)-1)</f>
        <v>0.12953342726582306</v>
      </c>
      <c r="F60" s="79">
        <f>B60*(1+U19)^Hold_Long*Ret_Con_Long</f>
        <v>155.09080333012506</v>
      </c>
      <c r="G60" s="80">
        <f>F60/B60</f>
        <v>10.339386888675003</v>
      </c>
      <c r="H60" s="81">
        <f>IF((F60/B60)&lt;=0,-1,(F60/B60)^(1/Hold_Long)-1)</f>
        <v>0.2631341552219957</v>
      </c>
      <c r="I60" s="79">
        <f>B60*(1+V19)^Hold_Long*Ret_Con_Long</f>
        <v>3.5079434921211963</v>
      </c>
      <c r="J60" s="80">
        <f>I60/B60</f>
        <v>0.23386289947474642</v>
      </c>
      <c r="K60" s="81">
        <f>IF((I60/B60)&lt;=0,-1,(I60/B60)^(1/Hold_Long)-1)</f>
        <v>-0.1352389245018646</v>
      </c>
      <c r="L60" s="82">
        <f>B60*(1+W19)^Hold_Long*Ret_Con_Long</f>
        <v>2.1505502322526655</v>
      </c>
      <c r="M60" s="83">
        <f>L60/B60</f>
        <v>0.14337001548351103</v>
      </c>
      <c r="N60" s="84">
        <f>IF((L60/B60)&lt;=0,-1,(L60/B60)^(1/Hold_Long)-1)</f>
        <v>-0.1765336949610452</v>
      </c>
    </row>
    <row r="61">
      <c r="A61" s="78" t="str">
        <f>A20</f>
        <v>Stripe</v>
      </c>
      <c r="B61" s="79">
        <f>C20</f>
        <v>45</v>
      </c>
      <c r="C61" s="79">
        <f>B61*(1+T20)^Hold_Long*Ret_Con_Long</f>
        <v>207.23619424346788</v>
      </c>
      <c r="D61" s="80">
        <f>C61/B61</f>
        <v>4.605248760965953</v>
      </c>
      <c r="E61" s="81">
        <f>IF((C61/B61)&lt;=0,-1,(C61/B61)^(1/Hold_Long)-1)</f>
        <v>0.16499834777782518</v>
      </c>
      <c r="F61" s="79">
        <f>B61*(1+U20)^Hold_Long*Ret_Con_Long</f>
        <v>847.8583143821816</v>
      </c>
      <c r="G61" s="80">
        <f>F61/B61</f>
        <v>18.84129587515959</v>
      </c>
      <c r="H61" s="81">
        <f>IF((F61/B61)&lt;=0,-1,(F61/B61)^(1/Hold_Long)-1)</f>
        <v>0.34125414451418656</v>
      </c>
      <c r="I61" s="79">
        <f>B61*(1+V20)^Hold_Long*Ret_Con_Long</f>
        <v>23.683555937130464</v>
      </c>
      <c r="J61" s="80">
        <f>I61/B61</f>
        <v>0.5263012430473436</v>
      </c>
      <c r="K61" s="81">
        <f>IF((I61/B61)&lt;=0,-1,(I61/B61)^(1/Hold_Long)-1)</f>
        <v>-0.062171471830561376</v>
      </c>
      <c r="L61" s="82">
        <f>B61*(1+W20)^Hold_Long*Ret_Con_Long</f>
        <v>16.581969543634923</v>
      </c>
      <c r="M61" s="83">
        <f>L61/B61</f>
        <v>0.3684882120807761</v>
      </c>
      <c r="N61" s="84">
        <f>IF((L61/B61)&lt;=0,-1,(L61/B61)^(1/Hold_Long)-1)</f>
        <v>-0.0950129598663334</v>
      </c>
    </row>
    <row r="62">
      <c r="A62" s="53" t="inlineStr">
        <is>
          <t>SLEEVE TOTAL</t>
        </is>
      </c>
      <c r="B62" s="63">
        <f>SUM(B53:B61)</f>
        <v>200.0</v>
      </c>
      <c r="C62" s="63">
        <f>SUM(C53:C61)</f>
        <v>1272.2620836793592</v>
      </c>
      <c r="D62" s="64">
        <f>C62/B62</f>
        <v>6.361310418396796</v>
      </c>
      <c r="E62" s="65">
        <f>IF((C62/B62)&lt;=0,-1,(C62/B62)^(1/Hold_Long)-1)</f>
        <v>0.20324664350826627</v>
      </c>
      <c r="F62" s="63">
        <f>SUM(F53:F61)</f>
        <v>4579.070895201318</v>
      </c>
      <c r="G62" s="64">
        <f>F62/B62</f>
        <v>22.89535447600659</v>
      </c>
      <c r="H62" s="65">
        <f>IF((F62/B62)&lt;=0,-1,(F62/B62)^(1/Hold_Long)-1)</f>
        <v>0.36764926742484527</v>
      </c>
      <c r="I62" s="63">
        <f>SUM(I53:I61)</f>
        <v>157.59436270818185</v>
      </c>
      <c r="J62" s="64">
        <f>I62/B62</f>
        <v>0.7879718135409093</v>
      </c>
      <c r="K62" s="65">
        <f>IF((I62/B62)&lt;=0,-1,(I62/B62)^(1/Hold_Long)-1)</f>
        <v>-0.023547620080739518</v>
      </c>
      <c r="L62" s="66">
        <f>SUM(L53:L61)</f>
        <v>50.98707740480144</v>
      </c>
      <c r="M62" s="67">
        <f>L62/B62</f>
        <v>0.2549353870240072</v>
      </c>
      <c r="N62" s="68">
        <f>IF((L62/B62)&lt;=0,-1,(L62/B62)^(1/Hold_Long)-1)</f>
        <v>-0.12774591445847894</v>
      </c>
    </row>
    <row r="63" ht="6" customHeight="1">
      <c r="A63" s="177" t="n"/>
      <c r="K63" s="177" t="n"/>
      <c r="L63" s="177" t="n"/>
      <c r="M63" s="177" t="n"/>
      <c r="N63" s="177" t="n"/>
    </row>
    <row r="64">
      <c r="A64" s="177" t="n"/>
      <c r="B64" s="177" t="n"/>
      <c r="C64" s="177" t="n"/>
      <c r="D64" s="177" t="n"/>
      <c r="E64" s="177" t="n"/>
      <c r="F64" s="177" t="n"/>
      <c r="G64" s="177" t="n"/>
      <c r="H64" s="177" t="n"/>
      <c r="I64" s="177" t="n"/>
      <c r="J64" s="177" t="n"/>
      <c r="K64" s="177" t="n"/>
      <c r="L64" s="177" t="n"/>
      <c r="M64" s="177" t="n"/>
      <c r="N64" s="177" t="n"/>
    </row>
    <row r="65">
      <c r="A65" s="11" t="inlineStr">
        <is>
          <t>METHODOLOGY / DATA-CONFIDENCE NOTE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</row>
    <row r="66" ht="160" customHeight="1">
      <c r="A66" s="179" t="inlineStr">
        <is>
          <t>Marks are now tiered by evidence quality. Quince and Whoop are confirmed 2026 primary rounds (both $10.1B post-money, Mar-26). The Farmer's Dog and Thrive Market are MARKET-PRICED off live Forge Global secondary quotes (22-Sep-26): Farmer's Dog implies $3.76B (up from its $2.5B Series E in Jun-22 — real appreciation, and its Walmart.com launch in 2025 is the modeled upside catalyst); Thrive Market implies ~$945M (DOWN ~27% from its $1.29B Series C post-money in Jul-21, despite revenue growing from $400M to $700M+ over the same period — genuine multiple compression, not a data gap, which is why its Base/Bull CAGRs were cut and its Bear turned negative). Made In Cookware and Plunge remain unpriced: Made In has raised only ~$8.3M total (no institutional round large enough to anchor an EV) and Plunge has raised just $4.75M against an estimated ~$200M in lifetime sales by 2025 (mostly self-funded) — both entry marks are directional estimates with no market to check them against, and are the first things to re-underwrite before a check is cut. Bear vs. Shock differ by name rather than using one sleeve-wide spread: staple/subscription names (Farmer's Dog, Thrive Market) see Shock milder than Bear — food/grocery spend is defensive and some trade-down benefit offsets inflation; import- or hardware-exposed names (Quince's direct-factory M2C sourcing, Whoop's own chip-dependent hardware, Made In's imported cookware inputs, Plunge's hardware BOM) see Shock worse than Bear — a Taiwan/decoupling scenario hits their COGS and supply chain directly, on top of softer discretionary demand. Polymarket added at $15M check (~$18B entry mark, mid of $14-21B secondary range Sep-26); Base 25%/Bull 40%/Bear -5%/Shock -12% — volume/fee leverage + US expansion convexity, with regulatory/competitive risk in Bear/Shock. Goat Group and Stripe were added Sep-26: Goat Group's last priced round is its Series F (24-Jun-21, $3.73B post, $195M raise); Forge Global shows no active secondary match for it, so — like Made In and Plunge — it is an unpriced, stale mark and among the first names to re-underwrite. Stripe is the opposite end of the confidence spectrum: MARKET-PRICED off a live, recurring employee tender ($159B post, 24-Feb-26, up from ~$140B guided 9-Feb-26 and ~$91.5B in the Feb-25 tender), with payment volume +34% YoY — the most liquid, best-evidenced mark in the sleeve. Both checks were funded by trimming the other seven positions pro-rata (×0.7× of prior check size) so total sleeve checks stay at exactly $200M, matching the Holdco Summary sleeve cap.</t>
        </is>
      </c>
    </row>
  </sheetData>
  <mergeCells count="2">
    <mergeCell ref="A66:N66"/>
    <mergeCell ref="A63:J63"/>
  </mergeCells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R66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97" t="inlineStr">
        <is>
          <t>SLEEVE ECONOMICS — GROSS-&gt;NET WATERFALL BY SUB-VEHICLE</t>
        </is>
      </c>
    </row>
    <row r="2">
      <c r="A2" s="194" t="inlineStr">
        <is>
          <t>Same European waterfall (return of capital -&gt; pref -&gt; carry, fees on committed) applied to each sleeve on a stand-alone basis. Expected = probability-weighted net. IQT block reconciles to Fund Economics (see Checks).</t>
        </is>
      </c>
    </row>
    <row r="3"/>
    <row r="4">
      <c r="A4" s="225" t="str">
        <f>Hold_Short&amp;"-YEAR HOLD — SLEEVE WATERFALLS"</f>
        <v>5-YEAR HOLD — SLEEVE WATERFALLS</v>
      </c>
      <c r="B4" s="192" t="inlineStr">
        <is>
          <t>IQT-MIRROR SLEEVE</t>
        </is>
      </c>
      <c r="H4" s="192" t="inlineStr">
        <is>
          <t>WEAPONS SLEEVE</t>
        </is>
      </c>
      <c r="N4" s="192" t="inlineStr">
        <is>
          <t>CONSUMER / VALUE SLEEVE</t>
        </is>
      </c>
    </row>
    <row r="5">
      <c r="A5" s="198" t="inlineStr">
        <is>
          <t>Line item ($M)</t>
        </is>
      </c>
      <c r="B5" s="198" t="inlineStr">
        <is>
          <t>Base</t>
        </is>
      </c>
      <c r="C5" s="198" t="inlineStr">
        <is>
          <t>Bull</t>
        </is>
      </c>
      <c r="D5" s="198" t="inlineStr">
        <is>
          <t>Bear</t>
        </is>
      </c>
      <c r="E5" s="226" t="inlineStr">
        <is>
          <t>TSMC-Shock</t>
        </is>
      </c>
      <c r="F5" s="227" t="inlineStr">
        <is>
          <t>Expected</t>
        </is>
      </c>
      <c r="H5" s="198" t="inlineStr">
        <is>
          <t>Base</t>
        </is>
      </c>
      <c r="I5" s="198" t="inlineStr">
        <is>
          <t>Bull</t>
        </is>
      </c>
      <c r="J5" s="198" t="inlineStr">
        <is>
          <t>Bear</t>
        </is>
      </c>
      <c r="K5" s="226" t="inlineStr">
        <is>
          <t>TSMC-Shock</t>
        </is>
      </c>
      <c r="L5" s="227" t="inlineStr">
        <is>
          <t>Expected</t>
        </is>
      </c>
      <c r="N5" s="198" t="inlineStr">
        <is>
          <t>Base</t>
        </is>
      </c>
      <c r="O5" s="198" t="inlineStr">
        <is>
          <t>Bull</t>
        </is>
      </c>
      <c r="P5" s="198" t="inlineStr">
        <is>
          <t>Bear</t>
        </is>
      </c>
      <c r="Q5" s="226" t="inlineStr">
        <is>
          <t>TSMC-Shock</t>
        </is>
      </c>
      <c r="R5" s="227" t="inlineStr">
        <is>
          <t>Expected</t>
        </is>
      </c>
    </row>
    <row r="6">
      <c r="A6" s="200" t="inlineStr">
        <is>
          <t>Gross exit proceeds</t>
        </is>
      </c>
      <c r="B6" s="228">
        <f>'Portfolio Returns'!C15</f>
        <v>565.830779755255</v>
      </c>
      <c r="C6" s="228">
        <f>'Portfolio Returns'!F15</f>
        <v>904.361416298755</v>
      </c>
      <c r="D6" s="228">
        <f>'Portfolio Returns'!I15</f>
        <v>126.2935256890875</v>
      </c>
      <c r="E6" s="229">
        <f>'Portfolio Returns'!L15</f>
        <v>915.4063137502143</v>
      </c>
      <c r="F6" s="230">
        <f>B6*P_Base+C6*P_Bull+D6*P_Bear+E6*P_Shock</f>
        <v>636.9691808804487</v>
      </c>
      <c r="H6" s="228">
        <f>'Weapons Sleeve'!C34</f>
        <v>935.7243031254295</v>
      </c>
      <c r="I6" s="228">
        <f>'Weapons Sleeve'!F34</f>
        <v>1546.444971955883</v>
      </c>
      <c r="J6" s="228">
        <f>'Weapons Sleeve'!I34</f>
        <v>443.3342383276562</v>
      </c>
      <c r="K6" s="229">
        <f>'Weapons Sleeve'!L34</f>
        <v>1549.6151797026841</v>
      </c>
      <c r="L6" s="230">
        <f>H6*P_Base+I6*P_Bull+J6*P_Bear+K6*P_Shock</f>
        <v>1106.629592099965</v>
      </c>
      <c r="N6" s="228">
        <f>'Consumer Sleeve'!C34</f>
        <v>509.7644827012424</v>
      </c>
      <c r="O6" s="228">
        <f>'Consumer Sleeve'!F34</f>
        <v>957.972917291402</v>
      </c>
      <c r="P6" s="228">
        <f>'Consumer Sleeve'!I34</f>
        <v>173.45881344878435</v>
      </c>
      <c r="Q6" s="229">
        <f>'Consumer Sleeve'!L34</f>
        <v>100.75996477359112</v>
      </c>
      <c r="R6" s="230">
        <f>N6*P_Base+O6*P_Bull+P6*P_Bear+Q6*P_Shock</f>
        <v>510.02006327176593</v>
      </c>
    </row>
    <row r="7">
      <c r="A7" s="200" t="inlineStr">
        <is>
          <t>(-) Return of committed capital</t>
        </is>
      </c>
      <c r="B7" s="206">
        <f>-IQT_Size</f>
        <v>-250.0</v>
      </c>
      <c r="C7" s="206">
        <f>-IQT_Size</f>
        <v>-250.0</v>
      </c>
      <c r="D7" s="206">
        <f>-IQT_Size</f>
        <v>-250.0</v>
      </c>
      <c r="E7" s="231">
        <f>-IQT_Size</f>
        <v>-250.0</v>
      </c>
      <c r="F7" s="232">
        <f>B7*P_Base+C7*P_Bull+D7*P_Bear+E7*P_Shock</f>
        <v>-250.0</v>
      </c>
      <c r="H7" s="206">
        <f>-Wpn_Size</f>
        <v>-390.0</v>
      </c>
      <c r="I7" s="206">
        <f>-Wpn_Size</f>
        <v>-390.0</v>
      </c>
      <c r="J7" s="206">
        <f>-Wpn_Size</f>
        <v>-390.0</v>
      </c>
      <c r="K7" s="231">
        <f>-Wpn_Size</f>
        <v>-390.0</v>
      </c>
      <c r="L7" s="232">
        <f>H7*P_Base+I7*P_Bull+J7*P_Bear+K7*P_Shock</f>
        <v>-390.0</v>
      </c>
      <c r="N7" s="206">
        <f>-Con_Size</f>
        <v>-200.0</v>
      </c>
      <c r="O7" s="206">
        <f>-Con_Size</f>
        <v>-200.0</v>
      </c>
      <c r="P7" s="206">
        <f>-Con_Size</f>
        <v>-200.0</v>
      </c>
      <c r="Q7" s="231">
        <f>-Con_Size</f>
        <v>-200.0</v>
      </c>
      <c r="R7" s="232">
        <f>N7*P_Base+O7*P_Bull+P7*P_Bear+Q7*P_Shock</f>
        <v>-200.0</v>
      </c>
    </row>
    <row r="8">
      <c r="A8" s="200" t="inlineStr">
        <is>
          <t>(-) Preferred return (comp.)</t>
        </is>
      </c>
      <c r="B8" s="206">
        <f>-IQT_Size*((1+Pref)^Hold_Short-1)</f>
        <v>-117.33201920000013</v>
      </c>
      <c r="C8" s="206">
        <f>-IQT_Size*((1+Pref)^Hold_Short-1)</f>
        <v>-117.33201920000013</v>
      </c>
      <c r="D8" s="206">
        <f>-IQT_Size*((1+Pref)^Hold_Short-1)</f>
        <v>-117.33201920000013</v>
      </c>
      <c r="E8" s="231">
        <f>-IQT_Size*((1+Pref)^Hold_Short-1)</f>
        <v>-117.33201920000013</v>
      </c>
      <c r="F8" s="232">
        <f>B8*P_Base+C8*P_Bull+D8*P_Bear+E8*P_Shock</f>
        <v>-117.33201920000013</v>
      </c>
      <c r="H8" s="206">
        <f>-Wpn_Size*((1+Pref)^Hold_Short-1)</f>
        <v>-183.03794995200022</v>
      </c>
      <c r="I8" s="206">
        <f>-Wpn_Size*((1+Pref)^Hold_Short-1)</f>
        <v>-183.03794995200022</v>
      </c>
      <c r="J8" s="206">
        <f>-Wpn_Size*((1+Pref)^Hold_Short-1)</f>
        <v>-183.03794995200022</v>
      </c>
      <c r="K8" s="231">
        <f>-Wpn_Size*((1+Pref)^Hold_Short-1)</f>
        <v>-183.03794995200022</v>
      </c>
      <c r="L8" s="232">
        <f>H8*P_Base+I8*P_Bull+J8*P_Bear+K8*P_Shock</f>
        <v>-183.03794995200025</v>
      </c>
      <c r="N8" s="206">
        <f>-Con_Size*((1+Pref)^Hold_Short-1)</f>
        <v>-93.8656153600001</v>
      </c>
      <c r="O8" s="206">
        <f>-Con_Size*((1+Pref)^Hold_Short-1)</f>
        <v>-93.8656153600001</v>
      </c>
      <c r="P8" s="206">
        <f>-Con_Size*((1+Pref)^Hold_Short-1)</f>
        <v>-93.8656153600001</v>
      </c>
      <c r="Q8" s="231">
        <f>-Con_Size*((1+Pref)^Hold_Short-1)</f>
        <v>-93.8656153600001</v>
      </c>
      <c r="R8" s="232">
        <f>N8*P_Base+O8*P_Bull+P8*P_Bear+Q8*P_Shock</f>
        <v>-93.8656153600001</v>
      </c>
    </row>
    <row r="9">
      <c r="A9" s="200" t="inlineStr">
        <is>
          <t>Profit above pref (carry base)</t>
        </is>
      </c>
      <c r="B9" s="206">
        <f>MAX(0,B6+B7+B8)</f>
        <v>198.49876055525485</v>
      </c>
      <c r="C9" s="206">
        <f>MAX(0,C6+C7+C8)</f>
        <v>537.0293970987549</v>
      </c>
      <c r="D9" s="206">
        <f>MAX(0,D6+D7+D8)</f>
        <v>0</v>
      </c>
      <c r="E9" s="231">
        <f>MAX(0,E6+E7+E8)</f>
        <v>548.0742945502142</v>
      </c>
      <c r="F9" s="232">
        <f>B9*P_Base+C9*P_Bull+D9*P_Bear+E9*P_Shock</f>
        <v>305.7929357070855</v>
      </c>
      <c r="H9" s="206">
        <f>MAX(0,H6+H7+H8)</f>
        <v>362.6863531734293</v>
      </c>
      <c r="I9" s="206">
        <f>MAX(0,I6+I7+I8)</f>
        <v>973.4070220038827</v>
      </c>
      <c r="J9" s="206">
        <f>MAX(0,J6+J7+J8)</f>
        <v>0</v>
      </c>
      <c r="K9" s="231">
        <f>MAX(0,K6+K7+K8)</f>
        <v>976.577229750684</v>
      </c>
      <c r="L9" s="232">
        <f>H9*P_Base+I9*P_Bull+J9*P_Bear+K9*P_Shock</f>
        <v>553.0471988916165</v>
      </c>
      <c r="N9" s="206">
        <f>MAX(0,N6+N7+N8)</f>
        <v>215.8988673412423</v>
      </c>
      <c r="O9" s="206">
        <f>MAX(0,O6+O7+O8)</f>
        <v>664.1073019314019</v>
      </c>
      <c r="P9" s="206">
        <f>MAX(0,P6+P7+P8)</f>
        <v>0</v>
      </c>
      <c r="Q9" s="231">
        <f>MAX(0,Q6+Q7+Q8)</f>
        <v>0</v>
      </c>
      <c r="R9" s="232">
        <f>N9*P_Base+O9*P_Bull+P9*P_Bear+Q9*P_Shock</f>
        <v>263.1813157864095</v>
      </c>
    </row>
    <row r="10">
      <c r="A10" s="200" t="inlineStr">
        <is>
          <t>(-) GP carried interest</t>
        </is>
      </c>
      <c r="B10" s="206">
        <f>-Carry*B9</f>
        <v>-39.69975211105097</v>
      </c>
      <c r="C10" s="206">
        <f>-Carry*C9</f>
        <v>-107.40587941975099</v>
      </c>
      <c r="D10" s="206">
        <f>-Carry*D9</f>
        <v>-0.0</v>
      </c>
      <c r="E10" s="231">
        <f>-Carry*E9</f>
        <v>-109.61485891004284</v>
      </c>
      <c r="F10" s="232">
        <f>B10*P_Base+C10*P_Bull+D10*P_Bear+E10*P_Shock</f>
        <v>-61.158587141417115</v>
      </c>
      <c r="H10" s="206">
        <f>-Carry*H9</f>
        <v>-72.53727063468587</v>
      </c>
      <c r="I10" s="206">
        <f>-Carry*I9</f>
        <v>-194.68140440077656</v>
      </c>
      <c r="J10" s="206">
        <f>-Carry*J9</f>
        <v>-0.0</v>
      </c>
      <c r="K10" s="231">
        <f>-Carry*K9</f>
        <v>-195.3154459501368</v>
      </c>
      <c r="L10" s="232">
        <f>H10*P_Base+I10*P_Bull+J10*P_Bear+K10*P_Shock</f>
        <v>-110.60943977832329</v>
      </c>
      <c r="N10" s="206">
        <f>-Carry*N9</f>
        <v>-43.17977346824846</v>
      </c>
      <c r="O10" s="206">
        <f>-Carry*O9</f>
        <v>-132.8214603862804</v>
      </c>
      <c r="P10" s="206">
        <f>-Carry*P9</f>
        <v>-0.0</v>
      </c>
      <c r="Q10" s="231">
        <f>-Carry*Q9</f>
        <v>-0.0</v>
      </c>
      <c r="R10" s="232">
        <f>N10*P_Base+O10*P_Bull+P10*P_Bear+Q10*P_Shock</f>
        <v>-52.6362631572819</v>
      </c>
    </row>
    <row r="11">
      <c r="A11" s="200" t="inlineStr">
        <is>
          <t>(-) Management fees</t>
        </is>
      </c>
      <c r="B11" s="206">
        <f>-IQT_Size*Mgmt_Fee*Hold_Short</f>
        <v>-25.0</v>
      </c>
      <c r="C11" s="206">
        <f>-IQT_Size*Mgmt_Fee*Hold_Short</f>
        <v>-25.0</v>
      </c>
      <c r="D11" s="206">
        <f>-IQT_Size*Mgmt_Fee*Hold_Short</f>
        <v>-25.0</v>
      </c>
      <c r="E11" s="231">
        <f>-IQT_Size*Mgmt_Fee*Hold_Short</f>
        <v>-25.0</v>
      </c>
      <c r="F11" s="232">
        <f>B11*P_Base+C11*P_Bull+D11*P_Bear+E11*P_Shock</f>
        <v>-25.0</v>
      </c>
      <c r="H11" s="206">
        <f>-Wpn_Size*Mgmt_Fee*Hold_Short</f>
        <v>-39.0</v>
      </c>
      <c r="I11" s="206">
        <f>-Wpn_Size*Mgmt_Fee*Hold_Short</f>
        <v>-39.0</v>
      </c>
      <c r="J11" s="206">
        <f>-Wpn_Size*Mgmt_Fee*Hold_Short</f>
        <v>-39.0</v>
      </c>
      <c r="K11" s="231">
        <f>-Wpn_Size*Mgmt_Fee*Hold_Short</f>
        <v>-39.0</v>
      </c>
      <c r="L11" s="232">
        <f>H11*P_Base+I11*P_Bull+J11*P_Bear+K11*P_Shock</f>
        <v>-39.0</v>
      </c>
      <c r="N11" s="206">
        <f>-Con_Size*Mgmt_Fee*Hold_Short</f>
        <v>-20.0</v>
      </c>
      <c r="O11" s="206">
        <f>-Con_Size*Mgmt_Fee*Hold_Short</f>
        <v>-20.0</v>
      </c>
      <c r="P11" s="206">
        <f>-Con_Size*Mgmt_Fee*Hold_Short</f>
        <v>-20.0</v>
      </c>
      <c r="Q11" s="231">
        <f>-Con_Size*Mgmt_Fee*Hold_Short</f>
        <v>-20.0</v>
      </c>
      <c r="R11" s="232">
        <f>N11*P_Base+O11*P_Bull+P11*P_Bear+Q11*P_Shock</f>
        <v>-20.0</v>
      </c>
    </row>
    <row r="12">
      <c r="A12" s="222" t="inlineStr">
        <is>
          <t>Net proceeds to LPs</t>
        </is>
      </c>
      <c r="B12" s="233">
        <f>B6+B10+B11</f>
        <v>501.131027644204</v>
      </c>
      <c r="C12" s="233">
        <f>C6+C10+C11</f>
        <v>771.9555368790041</v>
      </c>
      <c r="D12" s="233">
        <f>D6+D10+D11</f>
        <v>101.2935256890875</v>
      </c>
      <c r="E12" s="233">
        <f>E6+E10+E11</f>
        <v>780.7914548401715</v>
      </c>
      <c r="F12" s="233">
        <f>B12*P_Base+C12*P_Bull+D12*P_Bear+E12*P_Shock</f>
        <v>550.8105937390317</v>
      </c>
      <c r="H12" s="233">
        <f>H6+H10+H11</f>
        <v>824.1870324907436</v>
      </c>
      <c r="I12" s="233">
        <f>I6+I10+I11</f>
        <v>1312.7635675551064</v>
      </c>
      <c r="J12" s="233">
        <f>J6+J10+J11</f>
        <v>404.3342383276562</v>
      </c>
      <c r="K12" s="233">
        <f>K6+K10+K11</f>
        <v>1315.2997337525474</v>
      </c>
      <c r="L12" s="233">
        <f>H12*P_Base+I12*P_Bull+J12*P_Bear+K12*P_Shock</f>
        <v>957.0201523216416</v>
      </c>
      <c r="N12" s="233">
        <f>N6+N10+N11</f>
        <v>446.58470923299393</v>
      </c>
      <c r="O12" s="233">
        <f>O6+O10+O11</f>
        <v>805.1514569051217</v>
      </c>
      <c r="P12" s="233">
        <f>P6+P10+P11</f>
        <v>153.45881344878435</v>
      </c>
      <c r="Q12" s="233">
        <f>Q6+Q10+Q11</f>
        <v>80.75996477359112</v>
      </c>
      <c r="R12" s="233">
        <f>N12*P_Base+O12*P_Bull+P12*P_Bear+Q12*P_Shock</f>
        <v>437.383800114484</v>
      </c>
    </row>
    <row r="13">
      <c r="A13" s="200" t="inlineStr">
        <is>
          <t>Gross MOIC</t>
        </is>
      </c>
      <c r="B13" s="234">
        <f>B6/IQT_Size</f>
        <v>2.26332311902102</v>
      </c>
      <c r="C13" s="234">
        <f>C6/IQT_Size</f>
        <v>3.61744566519502</v>
      </c>
      <c r="D13" s="234">
        <f>D6/IQT_Size</f>
        <v>0.50517410275635</v>
      </c>
      <c r="E13" s="235">
        <f>E6/IQT_Size</f>
        <v>3.6616252550008572</v>
      </c>
      <c r="F13" s="236">
        <f>F6/IQT_Size</f>
        <v>2.5478767235217945</v>
      </c>
      <c r="H13" s="234">
        <f>H6/Wpn_Size</f>
        <v>2.399293084936999</v>
      </c>
      <c r="I13" s="234">
        <f>I6/Wpn_Size</f>
        <v>3.965243517835597</v>
      </c>
      <c r="J13" s="234">
        <f>J6/Wpn_Size</f>
        <v>1.1367544572504005</v>
      </c>
      <c r="K13" s="235">
        <f>K6/Wpn_Size</f>
        <v>3.973372255647908</v>
      </c>
      <c r="L13" s="236">
        <f>L6/Wpn_Size</f>
        <v>2.837511774615295</v>
      </c>
      <c r="N13" s="234">
        <f>N6/Con_Size</f>
        <v>2.548822413506212</v>
      </c>
      <c r="O13" s="234">
        <f>O6/Con_Size</f>
        <v>4.789864586457011</v>
      </c>
      <c r="P13" s="234">
        <f>P6/Con_Size</f>
        <v>0.8672940672439218</v>
      </c>
      <c r="Q13" s="235">
        <f>Q6/Con_Size</f>
        <v>0.5037998238679556</v>
      </c>
      <c r="R13" s="236">
        <f>R6/Con_Size</f>
        <v>2.55010031635883</v>
      </c>
    </row>
    <row r="14">
      <c r="A14" s="222" t="inlineStr">
        <is>
          <t>Net MOIC (to LP)</t>
        </is>
      </c>
      <c r="B14" s="237">
        <f>B12/IQT_Size</f>
        <v>2.004524110576816</v>
      </c>
      <c r="C14" s="237">
        <f>C12/IQT_Size</f>
        <v>3.0878221475160164</v>
      </c>
      <c r="D14" s="237">
        <f>D12/IQT_Size</f>
        <v>0.40517410275635</v>
      </c>
      <c r="E14" s="237">
        <f>E12/IQT_Size</f>
        <v>3.1231658193606857</v>
      </c>
      <c r="F14" s="237">
        <f>F12/IQT_Size</f>
        <v>2.2032423749561265</v>
      </c>
      <c r="H14" s="237">
        <f>H12/Wpn_Size</f>
        <v>2.113300083309599</v>
      </c>
      <c r="I14" s="237">
        <f>I12/Wpn_Size</f>
        <v>3.366060429628478</v>
      </c>
      <c r="J14" s="237">
        <f>J12/Wpn_Size</f>
        <v>1.0367544572504004</v>
      </c>
      <c r="K14" s="237">
        <f>K12/Wpn_Size</f>
        <v>3.3725634198783268</v>
      </c>
      <c r="L14" s="237">
        <f>L12/Wpn_Size</f>
        <v>2.453897826465748</v>
      </c>
      <c r="N14" s="237">
        <f>N12/Con_Size</f>
        <v>2.2329235461649697</v>
      </c>
      <c r="O14" s="237">
        <f>O12/Con_Size</f>
        <v>4.025757284525608</v>
      </c>
      <c r="P14" s="237">
        <f>P12/Con_Size</f>
        <v>0.7672940672439218</v>
      </c>
      <c r="Q14" s="237">
        <f>Q12/Con_Size</f>
        <v>0.4037998238679556</v>
      </c>
      <c r="R14" s="237">
        <f>R12/Con_Size</f>
        <v>2.18691900057242</v>
      </c>
    </row>
    <row r="15">
      <c r="A15" s="200" t="inlineStr">
        <is>
          <t>Gross IRR</t>
        </is>
      </c>
      <c r="B15" s="208">
        <f>IF((B6/IQT_Size)&lt;=0,-1,(B6/IQT_Size)^(1/Hold_Short)-1)</f>
        <v>0.17746853889181313</v>
      </c>
      <c r="C15" s="208">
        <f>IF((C6/IQT_Size)&lt;=0,-1,(C6/IQT_Size)^(1/Hold_Short)-1)</f>
        <v>0.2932437949795841</v>
      </c>
      <c r="D15" s="208">
        <f>IF((D6/IQT_Size)&lt;=0,-1,(D6/IQT_Size)^(1/Hold_Short)-1)</f>
        <v>-0.1276551213612328</v>
      </c>
      <c r="E15" s="238">
        <f>IF((E6/IQT_Size)&lt;=0,-1,(E6/IQT_Size)^(1/Hold_Short)-1)</f>
        <v>0.29638733323967204</v>
      </c>
      <c r="F15" s="239">
        <f>IF((F6/IQT_Size)&lt;=0,-1,(F6/IQT_Size)^(1/Hold_Short)-1)</f>
        <v>0.20569006487290808</v>
      </c>
      <c r="H15" s="208">
        <f>IF((H6/Wpn_Size)&lt;=0,-1,(H6/Wpn_Size)^(1/Hold_Short)-1)</f>
        <v>0.19128770749316026</v>
      </c>
      <c r="I15" s="208">
        <f>IF((I6/Wpn_Size)&lt;=0,-1,(I6/Wpn_Size)^(1/Hold_Short)-1)</f>
        <v>0.31720682639533604</v>
      </c>
      <c r="J15" s="208">
        <f>IF((J6/Wpn_Size)&lt;=0,-1,(J6/Wpn_Size)^(1/Hold_Short)-1)</f>
        <v>0.02596686094441769</v>
      </c>
      <c r="K15" s="238">
        <f>IF((K6/Wpn_Size)&lt;=0,-1,(K6/Wpn_Size)^(1/Hold_Short)-1)</f>
        <v>0.3177464381370425</v>
      </c>
      <c r="L15" s="239">
        <f>IF((L6/Wpn_Size)&lt;=0,-1,(L6/Wpn_Size)^(1/Hold_Short)-1)</f>
        <v>0.23193426393062455</v>
      </c>
      <c r="N15" s="208">
        <f>IF((N6/Con_Size)&lt;=0,-1,(N6/Con_Size)^(1/Hold_Short)-1)</f>
        <v>0.2057795542710601</v>
      </c>
      <c r="O15" s="208">
        <f>IF((O6/Con_Size)&lt;=0,-1,(O6/Con_Size)^(1/Hold_Short)-1)</f>
        <v>0.36793243477255366</v>
      </c>
      <c r="P15" s="208">
        <f>IF((P6/Con_Size)&lt;=0,-1,(P6/Con_Size)^(1/Hold_Short)-1)</f>
        <v>-0.02807383210337744</v>
      </c>
      <c r="Q15" s="238">
        <f>IF((Q6/Con_Size)&lt;=0,-1,(Q6/Con_Size)^(1/Hold_Short)-1)</f>
        <v>-0.12813026520387416</v>
      </c>
      <c r="R15" s="239">
        <f>IF((R6/Con_Size)&lt;=0,-1,(R6/Con_Size)^(1/Hold_Short)-1)</f>
        <v>0.20590043834667338</v>
      </c>
    </row>
    <row r="16">
      <c r="A16" s="222" t="inlineStr">
        <is>
          <t>Net IRR (to LP)</t>
        </is>
      </c>
      <c r="B16" s="240">
        <f>IF((B12/IQT_Size)&lt;=0,-1,(B12/IQT_Size)^(1/Hold_Short)-1)</f>
        <v>0.1492175692505382</v>
      </c>
      <c r="C16" s="240">
        <f>IF((C12/IQT_Size)&lt;=0,-1,(C12/IQT_Size)^(1/Hold_Short)-1)</f>
        <v>0.2529405230598696</v>
      </c>
      <c r="D16" s="240">
        <f>IF((D12/IQT_Size)&lt;=0,-1,(D12/IQT_Size)^(1/Hold_Short)-1)</f>
        <v>-0.1653039932407776</v>
      </c>
      <c r="E16" s="240">
        <f>IF((E12/IQT_Size)&lt;=0,-1,(E12/IQT_Size)^(1/Hold_Short)-1)</f>
        <v>0.25579574901845725</v>
      </c>
      <c r="F16" s="240">
        <f>IF((F12/IQT_Size)&lt;=0,-1,(F12/IQT_Size)^(1/Hold_Short)-1)</f>
        <v>0.1711498177436066</v>
      </c>
      <c r="H16" s="240">
        <f>IF((H12/Wpn_Size)&lt;=0,-1,(H12/Wpn_Size)^(1/Hold_Short)-1)</f>
        <v>0.16142784523060327</v>
      </c>
      <c r="I16" s="240">
        <f>IF((I12/Wpn_Size)&lt;=0,-1,(I12/Wpn_Size)^(1/Hold_Short)-1)</f>
        <v>0.27474812453601194</v>
      </c>
      <c r="J16" s="240">
        <f>IF((J12/Wpn_Size)&lt;=0,-1,(J12/Wpn_Size)^(1/Hold_Short)-1)</f>
        <v>0.0072451438461955675</v>
      </c>
      <c r="K16" s="240">
        <f>IF((K12/Wpn_Size)&lt;=0,-1,(K12/Wpn_Size)^(1/Hold_Short)-1)</f>
        <v>0.275240288963122</v>
      </c>
      <c r="L16" s="240">
        <f>IF((L12/Wpn_Size)&lt;=0,-1,(L12/Wpn_Size)^(1/Hold_Short)-1)</f>
        <v>0.1966614350320175</v>
      </c>
      <c r="N16" s="240">
        <f>IF((N12/Con_Size)&lt;=0,-1,(N12/Con_Size)^(1/Hold_Short)-1)</f>
        <v>0.17428839965413245</v>
      </c>
      <c r="O16" s="240">
        <f>IF((O12/Con_Size)&lt;=0,-1,(O12/Con_Size)^(1/Hold_Short)-1)</f>
        <v>0.32120289758627196</v>
      </c>
      <c r="P16" s="240">
        <f>IF((P12/Con_Size)&lt;=0,-1,(P12/Con_Size)^(1/Hold_Short)-1)</f>
        <v>-0.051598203323574565</v>
      </c>
      <c r="Q16" s="240">
        <f>IF((Q12/Con_Size)&lt;=0,-1,(Q12/Con_Size)^(1/Hold_Short)-1)</f>
        <v>-0.16587099126869664</v>
      </c>
      <c r="R16" s="240">
        <f>IF((R12/Con_Size)&lt;=0,-1,(R12/Con_Size)^(1/Hold_Short)-1)</f>
        <v>0.16940928985253856</v>
      </c>
    </row>
    <row r="17">
      <c r="A17" s="200" t="inlineStr">
        <is>
          <t>Net KS-PME vs SPX</t>
        </is>
      </c>
      <c r="B17" s="234">
        <f>B14/(1+SPX_CAGR)^Hold_Short</f>
        <v>1.3028031340556476</v>
      </c>
      <c r="C17" s="234">
        <f>C14/(1+SPX_CAGR)^Hold_Short</f>
        <v>2.006872528977818</v>
      </c>
      <c r="D17" s="234">
        <f>D14/(1+SPX_CAGR)^Hold_Short</f>
        <v>0.2633353662966228</v>
      </c>
      <c r="E17" s="235">
        <f>E14/(1+SPX_CAGR)^Hold_Short</f>
        <v>2.029843490616698</v>
      </c>
      <c r="F17" s="236">
        <f>F14/(1+SPX_CAGR)^Hold_Short</f>
        <v>1.431956371106494</v>
      </c>
      <c r="H17" s="234">
        <f>H14/(1+SPX_CAGR)^Hold_Short</f>
        <v>1.3735000528098162</v>
      </c>
      <c r="I17" s="234">
        <f>I14/(1+SPX_CAGR)^Hold_Short</f>
        <v>2.1877083213924404</v>
      </c>
      <c r="J17" s="234">
        <f>J14/(1+SPX_CAGR)^Hold_Short</f>
        <v>0.6738192616517412</v>
      </c>
      <c r="K17" s="235">
        <f>K14/(1+SPX_CAGR)^Hold_Short</f>
        <v>2.1919348188606094</v>
      </c>
      <c r="L17" s="236">
        <f>L14/(1+SPX_CAGR)^Hold_Short</f>
        <v>1.5948652161893797</v>
      </c>
      <c r="N17" s="234">
        <f>N14/(1+SPX_CAGR)^Hold_Short</f>
        <v>1.451247095857216</v>
      </c>
      <c r="O17" s="234">
        <f>O14/(1+SPX_CAGR)^Hold_Short</f>
        <v>2.6164660128323907</v>
      </c>
      <c r="P17" s="234">
        <f>P14/(1+SPX_CAGR)^Hold_Short</f>
        <v>0.49868849682233785</v>
      </c>
      <c r="Q17" s="235">
        <f>Q14/(1+SPX_CAGR)^Hold_Short</f>
        <v>0.26244217931352803</v>
      </c>
      <c r="R17" s="236">
        <f>R14/(1+SPX_CAGR)^Hold_Short</f>
        <v>1.4213472977642247</v>
      </c>
    </row>
    <row r="18">
      <c r="A18" s="200" t="inlineStr">
        <is>
          <t>Net KS-PME vs NDX</t>
        </is>
      </c>
      <c r="B18" s="234">
        <f>B14/(1+NDX_CAGR)^Hold_Short</f>
        <v>1.0879753779660242</v>
      </c>
      <c r="C18" s="234">
        <f>C14/(1+NDX_CAGR)^Hold_Short</f>
        <v>1.6759461511634728</v>
      </c>
      <c r="D18" s="234">
        <f>D14/(1+NDX_CAGR)^Hold_Short</f>
        <v>0.21991227008067052</v>
      </c>
      <c r="E18" s="235">
        <f>E14/(1+NDX_CAGR)^Hold_Short</f>
        <v>1.695129280231871</v>
      </c>
      <c r="F18" s="236">
        <f>F14/(1+NDX_CAGR)^Hold_Short</f>
        <v>1.1958316904224602</v>
      </c>
      <c r="H18" s="234">
        <f>H14/(1+NDX_CAGR)^Hold_Short</f>
        <v>1.1470146179647471</v>
      </c>
      <c r="I18" s="234">
        <f>I14/(1+NDX_CAGR)^Hold_Short</f>
        <v>1.826962743355429</v>
      </c>
      <c r="J18" s="234">
        <f>J14/(1+NDX_CAGR)^Hold_Short</f>
        <v>0.5627087828643703</v>
      </c>
      <c r="K18" s="235">
        <f>K14/(1+NDX_CAGR)^Hold_Short</f>
        <v>1.830492305927242</v>
      </c>
      <c r="L18" s="236">
        <f>L14/(1+NDX_CAGR)^Hold_Short</f>
        <v>1.331877427241735</v>
      </c>
      <c r="N18" s="234">
        <f>N14/(1+NDX_CAGR)^Hold_Short</f>
        <v>1.2119414410081606</v>
      </c>
      <c r="O18" s="234">
        <f>O14/(1+NDX_CAGR)^Hold_Short</f>
        <v>2.1850197660984327</v>
      </c>
      <c r="P18" s="234">
        <f>P14/(1+NDX_CAGR)^Hold_Short</f>
        <v>0.41645647883006753</v>
      </c>
      <c r="Q18" s="235">
        <f>Q14/(1+NDX_CAGR)^Hold_Short</f>
        <v>0.21916636655916016</v>
      </c>
      <c r="R18" s="236">
        <f>R14/(1+NDX_CAGR)^Hold_Short</f>
        <v>1.1869720167866646</v>
      </c>
    </row>
    <row r="19"/>
    <row r="20"/>
    <row r="21">
      <c r="A21" s="225" t="str">
        <f>Hold_Mid&amp;"-YEAR HOLD — SLEEVE WATERFALLS"</f>
        <v>7-YEAR HOLD — SLEEVE WATERFALLS</v>
      </c>
      <c r="B21" s="192" t="inlineStr">
        <is>
          <t>IQT-MIRROR SLEEVE</t>
        </is>
      </c>
      <c r="H21" s="192" t="inlineStr">
        <is>
          <t>WEAPONS SLEEVE</t>
        </is>
      </c>
      <c r="N21" s="192" t="inlineStr">
        <is>
          <t>CONSUMER / VALUE SLEEVE</t>
        </is>
      </c>
    </row>
    <row r="22">
      <c r="A22" s="198" t="inlineStr">
        <is>
          <t>Line item ($M)</t>
        </is>
      </c>
      <c r="B22" s="198" t="inlineStr">
        <is>
          <t>Base</t>
        </is>
      </c>
      <c r="C22" s="198" t="inlineStr">
        <is>
          <t>Bull</t>
        </is>
      </c>
      <c r="D22" s="198" t="inlineStr">
        <is>
          <t>Bear</t>
        </is>
      </c>
      <c r="E22" s="226" t="inlineStr">
        <is>
          <t>TSMC-Shock</t>
        </is>
      </c>
      <c r="F22" s="227" t="inlineStr">
        <is>
          <t>Expected</t>
        </is>
      </c>
      <c r="H22" s="198" t="inlineStr">
        <is>
          <t>Base</t>
        </is>
      </c>
      <c r="I22" s="198" t="inlineStr">
        <is>
          <t>Bull</t>
        </is>
      </c>
      <c r="J22" s="198" t="inlineStr">
        <is>
          <t>Bear</t>
        </is>
      </c>
      <c r="K22" s="226" t="inlineStr">
        <is>
          <t>TSMC-Shock</t>
        </is>
      </c>
      <c r="L22" s="227" t="inlineStr">
        <is>
          <t>Expected</t>
        </is>
      </c>
      <c r="N22" s="198" t="inlineStr">
        <is>
          <t>Base</t>
        </is>
      </c>
      <c r="O22" s="198" t="inlineStr">
        <is>
          <t>Bull</t>
        </is>
      </c>
      <c r="P22" s="198" t="inlineStr">
        <is>
          <t>Bear</t>
        </is>
      </c>
      <c r="Q22" s="226" t="inlineStr">
        <is>
          <t>TSMC-Shock</t>
        </is>
      </c>
      <c r="R22" s="227" t="inlineStr">
        <is>
          <t>Expected</t>
        </is>
      </c>
    </row>
    <row r="23">
      <c r="A23" s="200" t="inlineStr">
        <is>
          <t>Gross exit proceeds</t>
        </is>
      </c>
      <c r="B23" s="228">
        <f>'Portfolio Returns'!C29</f>
        <v>778.1307714763823</v>
      </c>
      <c r="C23" s="228">
        <f>'Portfolio Returns'!F29</f>
        <v>1497.0052965953112</v>
      </c>
      <c r="D23" s="228">
        <f>'Portfolio Returns'!I29</f>
        <v>100.0336881936079</v>
      </c>
      <c r="E23" s="229">
        <f>'Portfolio Returns'!L29</f>
        <v>1542.4475243358172</v>
      </c>
      <c r="F23" s="230">
        <f>B23*P_Base+C23*P_Bull+D23*P_Bear+E23*P_Shock</f>
        <v>970.7823531926136</v>
      </c>
      <c r="H23" s="228">
        <f>'Weapons Sleeve'!C48</f>
        <v>1335.6852599158549</v>
      </c>
      <c r="I23" s="228">
        <f>'Weapons Sleeve'!F48</f>
        <v>2734.307718959475</v>
      </c>
      <c r="J23" s="228">
        <f>'Weapons Sleeve'!I48</f>
        <v>463.7236831894512</v>
      </c>
      <c r="K23" s="229">
        <f>'Weapons Sleeve'!L48</f>
        <v>2737.7292308667043</v>
      </c>
      <c r="L23" s="230">
        <f>H23*P_Base+I23*P_Bull+J23*P_Bear+K23*P_Shock</f>
        <v>1764.8532338104267</v>
      </c>
      <c r="N23" s="228">
        <f>'Consumer Sleeve'!C48</f>
        <v>733.3504912188805</v>
      </c>
      <c r="O23" s="228">
        <f>'Consumer Sleeve'!F48</f>
        <v>1784.0995037699522</v>
      </c>
      <c r="P23" s="228">
        <f>'Consumer Sleeve'!I48</f>
        <v>165.1945467770528</v>
      </c>
      <c r="Q23" s="229">
        <f>'Consumer Sleeve'!L48</f>
        <v>76.35418293796164</v>
      </c>
      <c r="R23" s="230">
        <f>N23*P_Base+O23*P_Bull+P23*P_Bear+Q23*P_Shock</f>
        <v>812.2649064482365</v>
      </c>
    </row>
    <row r="24">
      <c r="A24" s="200" t="inlineStr">
        <is>
          <t>(-) Return of committed capital</t>
        </is>
      </c>
      <c r="B24" s="206">
        <f>-IQT_Size</f>
        <v>-250.0</v>
      </c>
      <c r="C24" s="206">
        <f>-IQT_Size</f>
        <v>-250.0</v>
      </c>
      <c r="D24" s="206">
        <f>-IQT_Size</f>
        <v>-250.0</v>
      </c>
      <c r="E24" s="231">
        <f>-IQT_Size</f>
        <v>-250.0</v>
      </c>
      <c r="F24" s="232">
        <f>B24*P_Base+C24*P_Bull+D24*P_Bear+E24*P_Shock</f>
        <v>-250.0</v>
      </c>
      <c r="H24" s="206">
        <f>-Wpn_Size</f>
        <v>-390.0</v>
      </c>
      <c r="I24" s="206">
        <f>-Wpn_Size</f>
        <v>-390.0</v>
      </c>
      <c r="J24" s="206">
        <f>-Wpn_Size</f>
        <v>-390.0</v>
      </c>
      <c r="K24" s="231">
        <f>-Wpn_Size</f>
        <v>-390.0</v>
      </c>
      <c r="L24" s="232">
        <f>H24*P_Base+I24*P_Bull+J24*P_Bear+K24*P_Shock</f>
        <v>-390.0</v>
      </c>
      <c r="N24" s="206">
        <f>-Con_Size</f>
        <v>-200.0</v>
      </c>
      <c r="O24" s="206">
        <f>-Con_Size</f>
        <v>-200.0</v>
      </c>
      <c r="P24" s="206">
        <f>-Con_Size</f>
        <v>-200.0</v>
      </c>
      <c r="Q24" s="231">
        <f>-Con_Size</f>
        <v>-200.0</v>
      </c>
      <c r="R24" s="232">
        <f>N24*P_Base+O24*P_Bull+P24*P_Bear+Q24*P_Shock</f>
        <v>-200.0</v>
      </c>
    </row>
    <row r="25">
      <c r="A25" s="200" t="inlineStr">
        <is>
          <t>(-) Preferred return (comp.)</t>
        </is>
      </c>
      <c r="B25" s="206">
        <f>-IQT_Size*((1+Pref)^Hold_Mid-1)</f>
        <v>-178.4560671948802</v>
      </c>
      <c r="C25" s="206">
        <f>-IQT_Size*((1+Pref)^Hold_Mid-1)</f>
        <v>-178.4560671948802</v>
      </c>
      <c r="D25" s="206">
        <f>-IQT_Size*((1+Pref)^Hold_Mid-1)</f>
        <v>-178.4560671948802</v>
      </c>
      <c r="E25" s="231">
        <f>-IQT_Size*((1+Pref)^Hold_Mid-1)</f>
        <v>-178.4560671948802</v>
      </c>
      <c r="F25" s="232">
        <f>B25*P_Base+C25*P_Bull+D25*P_Bear+E25*P_Shock</f>
        <v>-178.45606719488023</v>
      </c>
      <c r="H25" s="206">
        <f>-Wpn_Size*((1+Pref)^Hold_Mid-1)</f>
        <v>-278.39146482401316</v>
      </c>
      <c r="I25" s="206">
        <f>-Wpn_Size*((1+Pref)^Hold_Mid-1)</f>
        <v>-278.39146482401316</v>
      </c>
      <c r="J25" s="206">
        <f>-Wpn_Size*((1+Pref)^Hold_Mid-1)</f>
        <v>-278.39146482401316</v>
      </c>
      <c r="K25" s="231">
        <f>-Wpn_Size*((1+Pref)^Hold_Mid-1)</f>
        <v>-278.39146482401316</v>
      </c>
      <c r="L25" s="232">
        <f>H25*P_Base+I25*P_Bull+J25*P_Bear+K25*P_Shock</f>
        <v>-278.39146482401316</v>
      </c>
      <c r="N25" s="206">
        <f>-Con_Size*((1+Pref)^Hold_Mid-1)</f>
        <v>-142.76485375590417</v>
      </c>
      <c r="O25" s="206">
        <f>-Con_Size*((1+Pref)^Hold_Mid-1)</f>
        <v>-142.76485375590417</v>
      </c>
      <c r="P25" s="206">
        <f>-Con_Size*((1+Pref)^Hold_Mid-1)</f>
        <v>-142.76485375590417</v>
      </c>
      <c r="Q25" s="231">
        <f>-Con_Size*((1+Pref)^Hold_Mid-1)</f>
        <v>-142.76485375590417</v>
      </c>
      <c r="R25" s="232">
        <f>N25*P_Base+O25*P_Bull+P25*P_Bear+Q25*P_Shock</f>
        <v>-142.76485375590417</v>
      </c>
    </row>
    <row r="26">
      <c r="A26" s="200" t="inlineStr">
        <is>
          <t>Profit above pref (carry base)</t>
        </is>
      </c>
      <c r="B26" s="206">
        <f>MAX(0,B23+B24+B25)</f>
        <v>349.67470428150204</v>
      </c>
      <c r="C26" s="206">
        <f>MAX(0,C23+C24+C25)</f>
        <v>1068.549229400431</v>
      </c>
      <c r="D26" s="206">
        <f>MAX(0,D23+D24+D25)</f>
        <v>0</v>
      </c>
      <c r="E26" s="231">
        <f>MAX(0,E23+E24+E25)</f>
        <v>1113.991457140937</v>
      </c>
      <c r="F26" s="232">
        <f>B26*P_Base+C26*P_Bull+D26*P_Bear+E26*P_Shock</f>
        <v>591.5896428479242</v>
      </c>
      <c r="H26" s="206">
        <f>MAX(0,H23+H24+H25)</f>
        <v>667.2937950918417</v>
      </c>
      <c r="I26" s="206">
        <f>MAX(0,I23+I24+I25)</f>
        <v>2065.9162541354617</v>
      </c>
      <c r="J26" s="206">
        <f>MAX(0,J23+J24+J25)</f>
        <v>0</v>
      </c>
      <c r="K26" s="231">
        <f>MAX(0,K23+K24+K25)</f>
        <v>2069.3377660426913</v>
      </c>
      <c r="L26" s="232">
        <f>H26*P_Base+I26*P_Bull+J26*P_Bear+K26*P_Shock</f>
        <v>1127.1619362315978</v>
      </c>
      <c r="N26" s="206">
        <f>MAX(0,N23+N24+N25)</f>
        <v>390.58563746297636</v>
      </c>
      <c r="O26" s="206">
        <f>MAX(0,O23+O24+O25)</f>
        <v>1441.334650014048</v>
      </c>
      <c r="P26" s="206">
        <f>MAX(0,P23+P24+P25)</f>
        <v>0</v>
      </c>
      <c r="Q26" s="231">
        <f>MAX(0,Q23+Q24+Q25)</f>
        <v>0</v>
      </c>
      <c r="R26" s="232">
        <f>N26*P_Base+O26*P_Bull+P26*P_Bear+Q26*P_Shock</f>
        <v>536.0971993618514</v>
      </c>
    </row>
    <row r="27">
      <c r="A27" s="200" t="inlineStr">
        <is>
          <t>(-) GP carried interest</t>
        </is>
      </c>
      <c r="B27" s="206">
        <f>-Carry*B26</f>
        <v>-69.93494085630041</v>
      </c>
      <c r="C27" s="206">
        <f>-Carry*C26</f>
        <v>-213.7098458800862</v>
      </c>
      <c r="D27" s="206">
        <f>-Carry*D26</f>
        <v>-0.0</v>
      </c>
      <c r="E27" s="231">
        <f>-Carry*E26</f>
        <v>-222.7982914281874</v>
      </c>
      <c r="F27" s="232">
        <f>B27*P_Base+C27*P_Bull+D27*P_Bear+E27*P_Shock</f>
        <v>-118.31792856958484</v>
      </c>
      <c r="H27" s="206">
        <f>-Carry*H26</f>
        <v>-133.45875901836834</v>
      </c>
      <c r="I27" s="206">
        <f>-Carry*I26</f>
        <v>-413.18325082709237</v>
      </c>
      <c r="J27" s="206">
        <f>-Carry*J26</f>
        <v>-0.0</v>
      </c>
      <c r="K27" s="231">
        <f>-Carry*K26</f>
        <v>-413.8675532085383</v>
      </c>
      <c r="L27" s="232">
        <f>H27*P_Base+I27*P_Bull+J27*P_Bear+K27*P_Shock</f>
        <v>-225.4323872463196</v>
      </c>
      <c r="N27" s="206">
        <f>-Carry*N26</f>
        <v>-78.11712749259527</v>
      </c>
      <c r="O27" s="206">
        <f>-Carry*O26</f>
        <v>-288.2669300028096</v>
      </c>
      <c r="P27" s="206">
        <f>-Carry*P26</f>
        <v>-0.0</v>
      </c>
      <c r="Q27" s="231">
        <f>-Carry*Q26</f>
        <v>-0.0</v>
      </c>
      <c r="R27" s="232">
        <f>N27*P_Base+O27*P_Bull+P27*P_Bear+Q27*P_Shock</f>
        <v>-107.21943987237027</v>
      </c>
    </row>
    <row r="28">
      <c r="A28" s="200" t="inlineStr">
        <is>
          <t>(-) Management fees</t>
        </is>
      </c>
      <c r="B28" s="206">
        <f>-IQT_Size*Mgmt_Fee*Hold_Mid</f>
        <v>-35.0</v>
      </c>
      <c r="C28" s="206">
        <f>-IQT_Size*Mgmt_Fee*Hold_Mid</f>
        <v>-35.0</v>
      </c>
      <c r="D28" s="206">
        <f>-IQT_Size*Mgmt_Fee*Hold_Mid</f>
        <v>-35.0</v>
      </c>
      <c r="E28" s="231">
        <f>-IQT_Size*Mgmt_Fee*Hold_Mid</f>
        <v>-35.0</v>
      </c>
      <c r="F28" s="232">
        <f>B28*P_Base+C28*P_Bull+D28*P_Bear+E28*P_Shock</f>
        <v>-35.0</v>
      </c>
      <c r="H28" s="206">
        <f>-Wpn_Size*Mgmt_Fee*Hold_Mid</f>
        <v>-54.6</v>
      </c>
      <c r="I28" s="206">
        <f>-Wpn_Size*Mgmt_Fee*Hold_Mid</f>
        <v>-54.6</v>
      </c>
      <c r="J28" s="206">
        <f>-Wpn_Size*Mgmt_Fee*Hold_Mid</f>
        <v>-54.6</v>
      </c>
      <c r="K28" s="231">
        <f>-Wpn_Size*Mgmt_Fee*Hold_Mid</f>
        <v>-54.6</v>
      </c>
      <c r="L28" s="232">
        <f>H28*P_Base+I28*P_Bull+J28*P_Bear+K28*P_Shock</f>
        <v>-54.599999999999994</v>
      </c>
      <c r="N28" s="206">
        <f>-Con_Size*Mgmt_Fee*Hold_Mid</f>
        <v>-28.0</v>
      </c>
      <c r="O28" s="206">
        <f>-Con_Size*Mgmt_Fee*Hold_Mid</f>
        <v>-28.0</v>
      </c>
      <c r="P28" s="206">
        <f>-Con_Size*Mgmt_Fee*Hold_Mid</f>
        <v>-28.0</v>
      </c>
      <c r="Q28" s="231">
        <f>-Con_Size*Mgmt_Fee*Hold_Mid</f>
        <v>-28.0</v>
      </c>
      <c r="R28" s="232">
        <f>N28*P_Base+O28*P_Bull+P28*P_Bear+Q28*P_Shock</f>
        <v>-28.0</v>
      </c>
    </row>
    <row r="29">
      <c r="A29" s="222" t="inlineStr">
        <is>
          <t>Net proceeds to LPs</t>
        </is>
      </c>
      <c r="B29" s="233">
        <f>B23+B27+B28</f>
        <v>673.1958306200819</v>
      </c>
      <c r="C29" s="233">
        <f>C23+C27+C28</f>
        <v>1248.295450715225</v>
      </c>
      <c r="D29" s="233">
        <f>D23+D27+D28</f>
        <v>65.0336881936079</v>
      </c>
      <c r="E29" s="233">
        <f>E23+E27+E28</f>
        <v>1284.6492329076298</v>
      </c>
      <c r="F29" s="233">
        <f>B29*P_Base+C29*P_Bull+D29*P_Bear+E29*P_Shock</f>
        <v>817.4644246230287</v>
      </c>
      <c r="H29" s="233">
        <f>H23+H27+H28</f>
        <v>1147.6265008974867</v>
      </c>
      <c r="I29" s="233">
        <f>I23+I27+I28</f>
        <v>2266.524468132383</v>
      </c>
      <c r="J29" s="233">
        <f>J23+J27+J28</f>
        <v>409.1236831894512</v>
      </c>
      <c r="K29" s="233">
        <f>K23+K27+K28</f>
        <v>2269.261677658166</v>
      </c>
      <c r="L29" s="233">
        <f>H29*P_Base+I29*P_Bull+J29*P_Bear+K29*P_Shock</f>
        <v>1484.8208465641073</v>
      </c>
      <c r="N29" s="233">
        <f>N23+N27+N28</f>
        <v>627.2333637262852</v>
      </c>
      <c r="O29" s="233">
        <f>O23+O27+O28</f>
        <v>1467.8325737671425</v>
      </c>
      <c r="P29" s="233">
        <f>P23+P27+P28</f>
        <v>137.1945467770528</v>
      </c>
      <c r="Q29" s="233">
        <f>Q23+Q27+Q28</f>
        <v>48.35418293796164</v>
      </c>
      <c r="R29" s="233">
        <f>N29*P_Base+O29*P_Bull+P29*P_Bear+Q29*P_Shock</f>
        <v>677.045466575866</v>
      </c>
    </row>
    <row r="30">
      <c r="A30" s="200" t="inlineStr">
        <is>
          <t>Gross MOIC</t>
        </is>
      </c>
      <c r="B30" s="234">
        <f>B23/IQT_Size</f>
        <v>3.1125230859055293</v>
      </c>
      <c r="C30" s="234">
        <f>C23/IQT_Size</f>
        <v>5.9880211863812445</v>
      </c>
      <c r="D30" s="234">
        <f>D23/IQT_Size</f>
        <v>0.4001347527744316</v>
      </c>
      <c r="E30" s="235">
        <f>E23/IQT_Size</f>
        <v>6.169790097343268</v>
      </c>
      <c r="F30" s="236">
        <f>F23/IQT_Size</f>
        <v>3.8831294127704545</v>
      </c>
      <c r="H30" s="234">
        <f>H23/Wpn_Size</f>
        <v>3.4248339997842434</v>
      </c>
      <c r="I30" s="234">
        <f>I23/Wpn_Size</f>
        <v>7.011045433229423</v>
      </c>
      <c r="J30" s="234">
        <f>J23/Wpn_Size</f>
        <v>1.1890350851011569</v>
      </c>
      <c r="K30" s="235">
        <f>K23/Wpn_Size</f>
        <v>7.019818540683857</v>
      </c>
      <c r="L30" s="236">
        <f>L23/Wpn_Size</f>
        <v>4.525264702078017</v>
      </c>
      <c r="N30" s="234">
        <f>N23/Con_Size</f>
        <v>3.6667524560944025</v>
      </c>
      <c r="O30" s="234">
        <f>O23/Con_Size</f>
        <v>8.92049751884976</v>
      </c>
      <c r="P30" s="234">
        <f>P23/Con_Size</f>
        <v>0.825972733885264</v>
      </c>
      <c r="Q30" s="235">
        <f>Q23/Con_Size</f>
        <v>0.38177091468980817</v>
      </c>
      <c r="R30" s="236">
        <f>R23/Con_Size</f>
        <v>4.061324532241183</v>
      </c>
    </row>
    <row r="31">
      <c r="A31" s="222" t="inlineStr">
        <is>
          <t>Net MOIC (to LP)</t>
        </is>
      </c>
      <c r="B31" s="237">
        <f>B29/IQT_Size</f>
        <v>2.6927833224803277</v>
      </c>
      <c r="C31" s="237">
        <f>C29/IQT_Size</f>
        <v>4.993181802860899</v>
      </c>
      <c r="D31" s="237">
        <f>D29/IQT_Size</f>
        <v>0.2601347527744316</v>
      </c>
      <c r="E31" s="237">
        <f>E29/IQT_Size</f>
        <v>5.138596931630519</v>
      </c>
      <c r="F31" s="237">
        <f>F29/IQT_Size</f>
        <v>3.269857698492115</v>
      </c>
      <c r="H31" s="237">
        <f>H29/Wpn_Size</f>
        <v>2.9426320535832993</v>
      </c>
      <c r="I31" s="237">
        <f>I29/Wpn_Size</f>
        <v>5.811601200339443</v>
      </c>
      <c r="J31" s="237">
        <f>J29/Wpn_Size</f>
        <v>1.049035085101157</v>
      </c>
      <c r="K31" s="237">
        <f>K29/Wpn_Size</f>
        <v>5.8186196863029895</v>
      </c>
      <c r="L31" s="237">
        <f>L29/Wpn_Size</f>
        <v>3.8072329399079674</v>
      </c>
      <c r="N31" s="237">
        <f>N29/Con_Size</f>
        <v>3.136166818631426</v>
      </c>
      <c r="O31" s="237">
        <f>O29/Con_Size</f>
        <v>7.339162868835713</v>
      </c>
      <c r="P31" s="237">
        <f>P29/Con_Size</f>
        <v>0.685972733885264</v>
      </c>
      <c r="Q31" s="237">
        <f>Q29/Con_Size</f>
        <v>0.2417709146898082</v>
      </c>
      <c r="R31" s="237">
        <f>R29/Con_Size</f>
        <v>3.3852273328793303</v>
      </c>
    </row>
    <row r="32">
      <c r="A32" s="200" t="inlineStr">
        <is>
          <t>Gross IRR</t>
        </is>
      </c>
      <c r="B32" s="208">
        <f>IF((B23/IQT_Size)&lt;=0,-1,(B23/IQT_Size)^(1/Hold_Mid)-1)</f>
        <v>0.17610109541967134</v>
      </c>
      <c r="C32" s="208">
        <f>IF((C23/IQT_Size)&lt;=0,-1,(C23/IQT_Size)^(1/Hold_Mid)-1)</f>
        <v>0.2913396185398953</v>
      </c>
      <c r="D32" s="208">
        <f>IF((D23/IQT_Size)&lt;=0,-1,(D23/IQT_Size)^(1/Hold_Mid)-1)</f>
        <v>-0.12265112271839618</v>
      </c>
      <c r="E32" s="238">
        <f>IF((E23/IQT_Size)&lt;=0,-1,(E23/IQT_Size)^(1/Hold_Mid)-1)</f>
        <v>0.2968679869637141</v>
      </c>
      <c r="F32" s="239">
        <f>IF((F23/IQT_Size)&lt;=0,-1,(F23/IQT_Size)^(1/Hold_Mid)-1)</f>
        <v>0.2138606633027409</v>
      </c>
      <c r="H32" s="208">
        <f>IF((H23/Wpn_Size)&lt;=0,-1,(H23/Wpn_Size)^(1/Hold_Mid)-1)</f>
        <v>0.19227675029385383</v>
      </c>
      <c r="I32" s="208">
        <f>IF((I23/Wpn_Size)&lt;=0,-1,(I23/Wpn_Size)^(1/Hold_Mid)-1)</f>
        <v>0.3207667028848058</v>
      </c>
      <c r="J32" s="208">
        <f>IF((J23/Wpn_Size)&lt;=0,-1,(J23/Wpn_Size)^(1/Hold_Mid)-1)</f>
        <v>0.025043027066785628</v>
      </c>
      <c r="K32" s="238">
        <f>IF((K23/Wpn_Size)&lt;=0,-1,(K23/Wpn_Size)^(1/Hold_Mid)-1)</f>
        <v>0.32100267786161396</v>
      </c>
      <c r="L32" s="239">
        <f>IF((L23/Wpn_Size)&lt;=0,-1,(L23/Wpn_Size)^(1/Hold_Mid)-1)</f>
        <v>0.24069041436595517</v>
      </c>
      <c r="N32" s="208">
        <f>IF((N23/Con_Size)&lt;=0,-1,(N23/Con_Size)^(1/Hold_Mid)-1)</f>
        <v>0.20395888457793165</v>
      </c>
      <c r="O32" s="208">
        <f>IF((O23/Con_Size)&lt;=0,-1,(O23/Con_Size)^(1/Hold_Mid)-1)</f>
        <v>0.36700426045735246</v>
      </c>
      <c r="P32" s="208">
        <f>IF((P23/Con_Size)&lt;=0,-1,(P23/Con_Size)^(1/Hold_Mid)-1)</f>
        <v>-0.02694372259029809</v>
      </c>
      <c r="Q32" s="238">
        <f>IF((Q23/Con_Size)&lt;=0,-1,(Q23/Con_Size)^(1/Hold_Mid)-1)</f>
        <v>-0.12851975193495835</v>
      </c>
      <c r="R32" s="239">
        <f>IF((R23/Con_Size)&lt;=0,-1,(R23/Con_Size)^(1/Hold_Mid)-1)</f>
        <v>0.22166611398197356</v>
      </c>
    </row>
    <row r="33">
      <c r="A33" s="222" t="inlineStr">
        <is>
          <t>Net IRR (to LP)</t>
        </is>
      </c>
      <c r="B33" s="240">
        <f>IF((B29/IQT_Size)&lt;=0,-1,(B29/IQT_Size)^(1/Hold_Mid)-1)</f>
        <v>0.1520129049646377</v>
      </c>
      <c r="C33" s="240">
        <f>IF((C29/IQT_Size)&lt;=0,-1,(C29/IQT_Size)^(1/Hold_Mid)-1)</f>
        <v>0.258253644559407</v>
      </c>
      <c r="D33" s="240">
        <f>IF((D29/IQT_Size)&lt;=0,-1,(D29/IQT_Size)^(1/Hold_Mid)-1)</f>
        <v>-0.17499437274931617</v>
      </c>
      <c r="E33" s="240">
        <f>IF((E29/IQT_Size)&lt;=0,-1,(E29/IQT_Size)^(1/Hold_Mid)-1)</f>
        <v>0.263424289157445</v>
      </c>
      <c r="F33" s="240">
        <f>IF((F29/IQT_Size)&lt;=0,-1,(F29/IQT_Size)^(1/Hold_Mid)-1)</f>
        <v>0.184415608120029</v>
      </c>
      <c r="H33" s="240">
        <f>IF((H29/Wpn_Size)&lt;=0,-1,(H29/Wpn_Size)^(1/Hold_Mid)-1)</f>
        <v>0.16670828047176145</v>
      </c>
      <c r="I33" s="240">
        <f>IF((I29/Wpn_Size)&lt;=0,-1,(I29/Wpn_Size)^(1/Hold_Mid)-1)</f>
        <v>0.28583462112316216</v>
      </c>
      <c r="J33" s="240">
        <f>IF((J29/Wpn_Size)&lt;=0,-1,(J29/Wpn_Size)^(1/Hold_Mid)-1)</f>
        <v>0.0068621193386140256</v>
      </c>
      <c r="K33" s="240">
        <f>IF((K29/Wpn_Size)&lt;=0,-1,(K29/Wpn_Size)^(1/Hold_Mid)-1)</f>
        <v>0.28605634376109745</v>
      </c>
      <c r="L33" s="240">
        <f>IF((L29/Wpn_Size)&lt;=0,-1,(L29/Wpn_Size)^(1/Hold_Mid)-1)</f>
        <v>0.21044262037763972</v>
      </c>
      <c r="N33" s="240">
        <f>IF((N29/Con_Size)&lt;=0,-1,(N29/Con_Size)^(1/Hold_Mid)-1)</f>
        <v>0.1773732518793214</v>
      </c>
      <c r="O33" s="240">
        <f>IF((O29/Con_Size)&lt;=0,-1,(O29/Con_Size)^(1/Hold_Mid)-1)</f>
        <v>0.32942484048459675</v>
      </c>
      <c r="P33" s="240">
        <f>IF((P29/Con_Size)&lt;=0,-1,(P29/Con_Size)^(1/Hold_Mid)-1)</f>
        <v>-0.05242135483054222</v>
      </c>
      <c r="Q33" s="240">
        <f>IF((Q29/Con_Size)&lt;=0,-1,(Q29/Con_Size)^(1/Hold_Mid)-1)</f>
        <v>-0.18357768845743994</v>
      </c>
      <c r="R33" s="240">
        <f>IF((R29/Con_Size)&lt;=0,-1,(R29/Con_Size)^(1/Hold_Mid)-1)</f>
        <v>0.19029718233676118</v>
      </c>
    </row>
    <row r="34">
      <c r="A34" s="200" t="inlineStr">
        <is>
          <t>Net KS-PME vs SPX</t>
        </is>
      </c>
      <c r="B34" s="234">
        <f>B31/(1+SPX_CAGR)^Hold_Mid</f>
        <v>1.4730446913397048</v>
      </c>
      <c r="C34" s="234">
        <f>C31/(1+SPX_CAGR)^Hold_Mid</f>
        <v>2.7314414368934052</v>
      </c>
      <c r="D34" s="234">
        <f>D31/(1+SPX_CAGR)^Hold_Mid</f>
        <v>0.1423026180414642</v>
      </c>
      <c r="E34" s="235">
        <f>E31/(1+SPX_CAGR)^Hold_Mid</f>
        <v>2.810988492048688</v>
      </c>
      <c r="F34" s="236">
        <f>F31/(1+SPX_CAGR)^Hold_Mid</f>
        <v>1.7887241368397413</v>
      </c>
      <c r="H34" s="234">
        <f>H31/(1+SPX_CAGR)^Hold_Mid</f>
        <v>1.6097205032836799</v>
      </c>
      <c r="I34" s="234">
        <f>I31/(1+SPX_CAGR)^Hold_Mid</f>
        <v>3.179144873958203</v>
      </c>
      <c r="J34" s="234">
        <f>J31/(1+SPX_CAGR)^Hold_Mid</f>
        <v>0.5738581155924564</v>
      </c>
      <c r="K34" s="235">
        <f>K31/(1+SPX_CAGR)^Hold_Mid</f>
        <v>3.182984226127215</v>
      </c>
      <c r="L34" s="236">
        <f>L31/(1+SPX_CAGR)^Hold_Mid</f>
        <v>2.0826867962251576</v>
      </c>
      <c r="N34" s="234">
        <f>N31/(1+SPX_CAGR)^Hold_Mid</f>
        <v>1.7155906473327107</v>
      </c>
      <c r="O34" s="234">
        <f>O31/(1+SPX_CAGR)^Hold_Mid</f>
        <v>4.0147734177356575</v>
      </c>
      <c r="P34" s="234">
        <f>P31/(1+SPX_CAGR)^Hold_Mid</f>
        <v>0.3752505764640312</v>
      </c>
      <c r="Q34" s="235">
        <f>Q31/(1+SPX_CAGR)^Hold_Mid</f>
        <v>0.1322569697424173</v>
      </c>
      <c r="R34" s="236">
        <f>R31/(1+SPX_CAGR)^Hold_Mid</f>
        <v>1.8518352776646012</v>
      </c>
    </row>
    <row r="35">
      <c r="A35" s="200" t="inlineStr">
        <is>
          <t>Net KS-PME vs NDX</t>
        </is>
      </c>
      <c r="B35" s="234">
        <f>B31/(1+NDX_CAGR)^Hold_Mid</f>
        <v>1.144596212522363</v>
      </c>
      <c r="C35" s="234">
        <f>C31/(1+NDX_CAGR)^Hold_Mid</f>
        <v>2.1224050714655753</v>
      </c>
      <c r="D35" s="234">
        <f>D31/(1+NDX_CAGR)^Hold_Mid</f>
        <v>0.11057304547504337</v>
      </c>
      <c r="E35" s="235">
        <f>E31/(1+NDX_CAGR)^Hold_Mid</f>
        <v>2.1842153197108183</v>
      </c>
      <c r="F35" s="236">
        <f>F31/(1+NDX_CAGR)^Hold_Mid</f>
        <v>1.3898878182793364</v>
      </c>
      <c r="H35" s="234">
        <f>H31/(1+NDX_CAGR)^Hold_Mid</f>
        <v>1.2507970750041488</v>
      </c>
      <c r="I35" s="234">
        <f>I31/(1+NDX_CAGR)^Hold_Mid</f>
        <v>2.470282947412135</v>
      </c>
      <c r="J35" s="234">
        <f>J31/(1+NDX_CAGR)^Hold_Mid</f>
        <v>0.44590352858538657</v>
      </c>
      <c r="K35" s="235">
        <f>K31/(1+NDX_CAGR)^Hold_Mid</f>
        <v>2.473266229573923</v>
      </c>
      <c r="L35" s="236">
        <f>L31/(1+NDX_CAGR)^Hold_Mid</f>
        <v>1.618304884328797</v>
      </c>
      <c r="N35" s="234">
        <f>N31/(1+NDX_CAGR)^Hold_Mid</f>
        <v>1.333061086822764</v>
      </c>
      <c r="O35" s="234">
        <f>O31/(1+NDX_CAGR)^Hold_Mid</f>
        <v>3.11958929358509</v>
      </c>
      <c r="P35" s="234">
        <f>P31/(1+NDX_CAGR)^Hold_Mid</f>
        <v>0.29158001185757126</v>
      </c>
      <c r="Q35" s="235">
        <f>Q31/(1+NDX_CAGR)^Hold_Mid</f>
        <v>0.10276730063714343</v>
      </c>
      <c r="R35" s="236">
        <f>R31/(1+NDX_CAGR)^Hold_Mid</f>
        <v>1.4389269093407233</v>
      </c>
    </row>
    <row r="36"/>
    <row r="37"/>
    <row r="38">
      <c r="A38" s="225" t="str">
        <f>Hold_Long&amp;"-YEAR HOLD — SLEEVE WATERFALLS"</f>
        <v>10-YEAR HOLD — SLEEVE WATERFALLS</v>
      </c>
      <c r="B38" s="192" t="inlineStr">
        <is>
          <t>IQT-MIRROR SLEEVE</t>
        </is>
      </c>
      <c r="H38" s="192" t="inlineStr">
        <is>
          <t>WEAPONS SLEEVE</t>
        </is>
      </c>
      <c r="N38" s="192" t="inlineStr">
        <is>
          <t>CONSUMER / VALUE SLEEVE</t>
        </is>
      </c>
    </row>
    <row r="39">
      <c r="A39" s="198" t="inlineStr">
        <is>
          <t>Line item ($M)</t>
        </is>
      </c>
      <c r="B39" s="198" t="inlineStr">
        <is>
          <t>Base</t>
        </is>
      </c>
      <c r="C39" s="198" t="inlineStr">
        <is>
          <t>Bull</t>
        </is>
      </c>
      <c r="D39" s="198" t="inlineStr">
        <is>
          <t>Bear</t>
        </is>
      </c>
      <c r="E39" s="226" t="inlineStr">
        <is>
          <t>TSMC-Shock</t>
        </is>
      </c>
      <c r="F39" s="227" t="inlineStr">
        <is>
          <t>Expected</t>
        </is>
      </c>
      <c r="H39" s="198" t="inlineStr">
        <is>
          <t>Base</t>
        </is>
      </c>
      <c r="I39" s="198" t="inlineStr">
        <is>
          <t>Bull</t>
        </is>
      </c>
      <c r="J39" s="198" t="inlineStr">
        <is>
          <t>Bear</t>
        </is>
      </c>
      <c r="K39" s="226" t="inlineStr">
        <is>
          <t>TSMC-Shock</t>
        </is>
      </c>
      <c r="L39" s="227" t="inlineStr">
        <is>
          <t>Expected</t>
        </is>
      </c>
      <c r="N39" s="198" t="inlineStr">
        <is>
          <t>Base</t>
        </is>
      </c>
      <c r="O39" s="198" t="inlineStr">
        <is>
          <t>Bull</t>
        </is>
      </c>
      <c r="P39" s="198" t="inlineStr">
        <is>
          <t>Bear</t>
        </is>
      </c>
      <c r="Q39" s="226" t="inlineStr">
        <is>
          <t>TSMC-Shock</t>
        </is>
      </c>
      <c r="R39" s="227" t="inlineStr">
        <is>
          <t>Expected</t>
        </is>
      </c>
    </row>
    <row r="40">
      <c r="A40" s="200" t="inlineStr">
        <is>
          <t>Gross exit proceeds</t>
        </is>
      </c>
      <c r="B40" s="228">
        <f>'Portfolio Returns'!C43</f>
        <v>1261.4559359608952</v>
      </c>
      <c r="C40" s="228">
        <f>'Portfolio Returns'!F43</f>
        <v>3197.697188993902</v>
      </c>
      <c r="D40" s="228">
        <f>'Portfolio Returns'!I43</f>
        <v>73.96335394130377</v>
      </c>
      <c r="E40" s="229">
        <f>'Portfolio Returns'!L43</f>
        <v>3418.1014561193974</v>
      </c>
      <c r="F40" s="230">
        <f>B40*P_Base+C40*P_Bull+D40*P_Bear+E40*P_Shock</f>
        <v>1890.8891899399837</v>
      </c>
      <c r="H40" s="228">
        <f>'Weapons Sleeve'!C62</f>
        <v>2309.5430450299345</v>
      </c>
      <c r="I40" s="228">
        <f>'Weapons Sleeve'!F62</f>
        <v>6599.488517783072</v>
      </c>
      <c r="J40" s="228">
        <f>'Weapons Sleeve'!I62</f>
        <v>496.5196864314694</v>
      </c>
      <c r="K40" s="229">
        <f>'Weapons Sleeve'!L62</f>
        <v>6598.600299015651</v>
      </c>
      <c r="L40" s="230">
        <f>H40*P_Base+I40*P_Bull+J40*P_Bear+K40*P_Shock</f>
        <v>3753.4344975263066</v>
      </c>
      <c r="N40" s="228">
        <f>'Consumer Sleeve'!C62</f>
        <v>1272.2620836793592</v>
      </c>
      <c r="O40" s="228">
        <f>'Consumer Sleeve'!F62</f>
        <v>4579.070895201318</v>
      </c>
      <c r="P40" s="228">
        <f>'Consumer Sleeve'!I62</f>
        <v>157.59436270818185</v>
      </c>
      <c r="Q40" s="229">
        <f>'Consumer Sleeve'!L62</f>
        <v>50.98707740480144</v>
      </c>
      <c r="R40" s="230">
        <f>N40*P_Base+O40*P_Bull+P40*P_Bear+Q40*P_Shock</f>
        <v>1748.5728774729887</v>
      </c>
    </row>
    <row r="41">
      <c r="A41" s="200" t="inlineStr">
        <is>
          <t>(-) Return of committed capital</t>
        </is>
      </c>
      <c r="B41" s="206">
        <f>-IQT_Size</f>
        <v>-250.0</v>
      </c>
      <c r="C41" s="206">
        <f>-IQT_Size</f>
        <v>-250.0</v>
      </c>
      <c r="D41" s="206">
        <f>-IQT_Size</f>
        <v>-250.0</v>
      </c>
      <c r="E41" s="231">
        <f>-IQT_Size</f>
        <v>-250.0</v>
      </c>
      <c r="F41" s="232">
        <f>B41*P_Base+C41*P_Bull+D41*P_Bear+E41*P_Shock</f>
        <v>-250.0</v>
      </c>
      <c r="H41" s="206">
        <f>-Wpn_Size</f>
        <v>-390.0</v>
      </c>
      <c r="I41" s="206">
        <f>-Wpn_Size</f>
        <v>-390.0</v>
      </c>
      <c r="J41" s="206">
        <f>-Wpn_Size</f>
        <v>-390.0</v>
      </c>
      <c r="K41" s="231">
        <f>-Wpn_Size</f>
        <v>-390.0</v>
      </c>
      <c r="L41" s="232">
        <f>H41*P_Base+I41*P_Bull+J41*P_Bear+K41*P_Shock</f>
        <v>-390.0</v>
      </c>
      <c r="N41" s="206">
        <f>-Con_Size</f>
        <v>-200.0</v>
      </c>
      <c r="O41" s="206">
        <f>-Con_Size</f>
        <v>-200.0</v>
      </c>
      <c r="P41" s="206">
        <f>-Con_Size</f>
        <v>-200.0</v>
      </c>
      <c r="Q41" s="231">
        <f>-Con_Size</f>
        <v>-200.0</v>
      </c>
      <c r="R41" s="232">
        <f>N41*P_Base+O41*P_Bull+P41*P_Bear+Q41*P_Shock</f>
        <v>-200.0</v>
      </c>
    </row>
    <row r="42">
      <c r="A42" s="200" t="inlineStr">
        <is>
          <t>(-) Preferred return (comp.)</t>
        </is>
      </c>
      <c r="B42" s="206">
        <f>-IQT_Size*((1+Pref)^Hold_Long-1)</f>
        <v>-289.73124931819706</v>
      </c>
      <c r="C42" s="206">
        <f>-IQT_Size*((1+Pref)^Hold_Long-1)</f>
        <v>-289.73124931819706</v>
      </c>
      <c r="D42" s="206">
        <f>-IQT_Size*((1+Pref)^Hold_Long-1)</f>
        <v>-289.73124931819706</v>
      </c>
      <c r="E42" s="231">
        <f>-IQT_Size*((1+Pref)^Hold_Long-1)</f>
        <v>-289.73124931819706</v>
      </c>
      <c r="F42" s="232">
        <f>B42*P_Base+C42*P_Bull+D42*P_Bear+E42*P_Shock</f>
        <v>-289.73124931819706</v>
      </c>
      <c r="H42" s="206">
        <f>-Wpn_Size*((1+Pref)^Hold_Long-1)</f>
        <v>-451.9807489363874</v>
      </c>
      <c r="I42" s="206">
        <f>-Wpn_Size*((1+Pref)^Hold_Long-1)</f>
        <v>-451.9807489363874</v>
      </c>
      <c r="J42" s="206">
        <f>-Wpn_Size*((1+Pref)^Hold_Long-1)</f>
        <v>-451.9807489363874</v>
      </c>
      <c r="K42" s="231">
        <f>-Wpn_Size*((1+Pref)^Hold_Long-1)</f>
        <v>-451.9807489363874</v>
      </c>
      <c r="L42" s="232">
        <f>H42*P_Base+I42*P_Bull+J42*P_Bear+K42*P_Shock</f>
        <v>-451.9807489363874</v>
      </c>
      <c r="N42" s="206">
        <f>-Con_Size*((1+Pref)^Hold_Long-1)</f>
        <v>-231.78499945455764</v>
      </c>
      <c r="O42" s="206">
        <f>-Con_Size*((1+Pref)^Hold_Long-1)</f>
        <v>-231.78499945455764</v>
      </c>
      <c r="P42" s="206">
        <f>-Con_Size*((1+Pref)^Hold_Long-1)</f>
        <v>-231.78499945455764</v>
      </c>
      <c r="Q42" s="231">
        <f>-Con_Size*((1+Pref)^Hold_Long-1)</f>
        <v>-231.78499945455764</v>
      </c>
      <c r="R42" s="232">
        <f>N42*P_Base+O42*P_Bull+P42*P_Bear+Q42*P_Shock</f>
        <v>-231.78499945455764</v>
      </c>
    </row>
    <row r="43">
      <c r="A43" s="200" t="inlineStr">
        <is>
          <t>Profit above pref (carry base)</t>
        </is>
      </c>
      <c r="B43" s="206">
        <f>MAX(0,B40+B41+B42)</f>
        <v>721.7246866426981</v>
      </c>
      <c r="C43" s="206">
        <f>MAX(0,C40+C41+C42)</f>
        <v>2657.9659396757047</v>
      </c>
      <c r="D43" s="206">
        <f>MAX(0,D40+D41+D42)</f>
        <v>0</v>
      </c>
      <c r="E43" s="231">
        <f>MAX(0,E40+E41+E42)</f>
        <v>2878.3702068012003</v>
      </c>
      <c r="F43" s="232">
        <f>B43*P_Base+C43*P_Bull+D43*P_Bear+E43*P_Shock</f>
        <v>1421.0231249283204</v>
      </c>
      <c r="H43" s="206">
        <f>MAX(0,H40+H41+H42)</f>
        <v>1467.562296093547</v>
      </c>
      <c r="I43" s="206">
        <f>MAX(0,I40+I41+I42)</f>
        <v>5757.5077688466845</v>
      </c>
      <c r="J43" s="206">
        <f>MAX(0,J40+J41+J42)</f>
        <v>0</v>
      </c>
      <c r="K43" s="231">
        <f>MAX(0,K40+K41+K42)</f>
        <v>5756.619550079264</v>
      </c>
      <c r="L43" s="232">
        <f>H43*P_Base+I43*P_Bull+J43*P_Bear+K43*P_Shock</f>
        <v>2963.272907965657</v>
      </c>
      <c r="N43" s="206">
        <f>MAX(0,N40+N41+N42)</f>
        <v>840.4770842248015</v>
      </c>
      <c r="O43" s="206">
        <f>MAX(0,O40+O41+O42)</f>
        <v>4147.285895746761</v>
      </c>
      <c r="P43" s="206">
        <f>MAX(0,P40+P41+P42)</f>
        <v>0</v>
      </c>
      <c r="Q43" s="231">
        <f>MAX(0,Q40+Q41+Q42)</f>
        <v>0</v>
      </c>
      <c r="R43" s="232">
        <f>N43*P_Base+O43*P_Bull+P43*P_Bear+Q43*P_Shock</f>
        <v>1415.0361618378508</v>
      </c>
    </row>
    <row r="44">
      <c r="A44" s="200" t="inlineStr">
        <is>
          <t>(-) GP carried interest</t>
        </is>
      </c>
      <c r="B44" s="206">
        <f>-Carry*B43</f>
        <v>-144.34493732853963</v>
      </c>
      <c r="C44" s="206">
        <f>-Carry*C43</f>
        <v>-531.5931879351409</v>
      </c>
      <c r="D44" s="206">
        <f>-Carry*D43</f>
        <v>-0.0</v>
      </c>
      <c r="E44" s="231">
        <f>-Carry*E43</f>
        <v>-575.67404136024</v>
      </c>
      <c r="F44" s="232">
        <f>B44*P_Base+C44*P_Bull+D44*P_Bear+E44*P_Shock</f>
        <v>-284.20462498566405</v>
      </c>
      <c r="H44" s="206">
        <f>-Carry*H43</f>
        <v>-293.5124592187094</v>
      </c>
      <c r="I44" s="206">
        <f>-Carry*I43</f>
        <v>-1151.5015537693369</v>
      </c>
      <c r="J44" s="206">
        <f>-Carry*J43</f>
        <v>-0.0</v>
      </c>
      <c r="K44" s="231">
        <f>-Carry*K43</f>
        <v>-1151.3239100158528</v>
      </c>
      <c r="L44" s="232">
        <f>H44*P_Base+I44*P_Bull+J44*P_Bear+K44*P_Shock</f>
        <v>-592.6545815931313</v>
      </c>
      <c r="N44" s="206">
        <f>-Carry*N43</f>
        <v>-168.0954168449603</v>
      </c>
      <c r="O44" s="206">
        <f>-Carry*O43</f>
        <v>-829.4571791493522</v>
      </c>
      <c r="P44" s="206">
        <f>-Carry*P43</f>
        <v>-0.0</v>
      </c>
      <c r="Q44" s="231">
        <f>-Carry*Q43</f>
        <v>-0.0</v>
      </c>
      <c r="R44" s="232">
        <f>N44*P_Base+O44*P_Bull+P44*P_Bear+Q44*P_Shock</f>
        <v>-283.00723236757017</v>
      </c>
    </row>
    <row r="45">
      <c r="A45" s="200" t="inlineStr">
        <is>
          <t>(-) Management fees</t>
        </is>
      </c>
      <c r="B45" s="206">
        <f>-IQT_Size*Mgmt_Fee*Hold_Long</f>
        <v>-50.0</v>
      </c>
      <c r="C45" s="206">
        <f>-IQT_Size*Mgmt_Fee*Hold_Long</f>
        <v>-50.0</v>
      </c>
      <c r="D45" s="206">
        <f>-IQT_Size*Mgmt_Fee*Hold_Long</f>
        <v>-50.0</v>
      </c>
      <c r="E45" s="231">
        <f>-IQT_Size*Mgmt_Fee*Hold_Long</f>
        <v>-50.0</v>
      </c>
      <c r="F45" s="232">
        <f>B45*P_Base+C45*P_Bull+D45*P_Bear+E45*P_Shock</f>
        <v>-50.0</v>
      </c>
      <c r="H45" s="206">
        <f>-Wpn_Size*Mgmt_Fee*Hold_Long</f>
        <v>-78.0</v>
      </c>
      <c r="I45" s="206">
        <f>-Wpn_Size*Mgmt_Fee*Hold_Long</f>
        <v>-78.0</v>
      </c>
      <c r="J45" s="206">
        <f>-Wpn_Size*Mgmt_Fee*Hold_Long</f>
        <v>-78.0</v>
      </c>
      <c r="K45" s="231">
        <f>-Wpn_Size*Mgmt_Fee*Hold_Long</f>
        <v>-78.0</v>
      </c>
      <c r="L45" s="232">
        <f>H45*P_Base+I45*P_Bull+J45*P_Bear+K45*P_Shock</f>
        <v>-78.0</v>
      </c>
      <c r="N45" s="206">
        <f>-Con_Size*Mgmt_Fee*Hold_Long</f>
        <v>-40.0</v>
      </c>
      <c r="O45" s="206">
        <f>-Con_Size*Mgmt_Fee*Hold_Long</f>
        <v>-40.0</v>
      </c>
      <c r="P45" s="206">
        <f>-Con_Size*Mgmt_Fee*Hold_Long</f>
        <v>-40.0</v>
      </c>
      <c r="Q45" s="231">
        <f>-Con_Size*Mgmt_Fee*Hold_Long</f>
        <v>-40.0</v>
      </c>
      <c r="R45" s="232">
        <f>N45*P_Base+O45*P_Bull+P45*P_Bear+Q45*P_Shock</f>
        <v>-40.0</v>
      </c>
    </row>
    <row r="46">
      <c r="A46" s="222" t="inlineStr">
        <is>
          <t>Net proceeds to LPs</t>
        </is>
      </c>
      <c r="B46" s="233">
        <f>B40+B44+B45</f>
        <v>1067.1109986323556</v>
      </c>
      <c r="C46" s="233">
        <f>C40+C44+C45</f>
        <v>2616.104001058761</v>
      </c>
      <c r="D46" s="233">
        <f>D40+D44+D45</f>
        <v>23.963353941303765</v>
      </c>
      <c r="E46" s="233">
        <f>E40+E44+E45</f>
        <v>2792.4274147591573</v>
      </c>
      <c r="F46" s="233">
        <f>B46*P_Base+C46*P_Bull+D46*P_Bear+E46*P_Shock</f>
        <v>1556.6845649543193</v>
      </c>
      <c r="H46" s="233">
        <f>H40+H44+H45</f>
        <v>1938.0305858112251</v>
      </c>
      <c r="I46" s="233">
        <f>I40+I44+I45</f>
        <v>5369.986964013735</v>
      </c>
      <c r="J46" s="233">
        <f>J40+J44+J45</f>
        <v>418.5196864314694</v>
      </c>
      <c r="K46" s="233">
        <f>K40+K44+K45</f>
        <v>5369.276388999799</v>
      </c>
      <c r="L46" s="233">
        <f>H46*P_Base+I46*P_Bull+J46*P_Bear+K46*P_Shock</f>
        <v>3082.7799159331753</v>
      </c>
      <c r="N46" s="233">
        <f>N40+N44+N45</f>
        <v>1064.166666834399</v>
      </c>
      <c r="O46" s="233">
        <f>O40+O44+O45</f>
        <v>3709.613716051966</v>
      </c>
      <c r="P46" s="233">
        <f>P40+P44+P45</f>
        <v>117.59436270818185</v>
      </c>
      <c r="Q46" s="233">
        <f>Q40+Q44+Q45</f>
        <v>10.98707740480144</v>
      </c>
      <c r="R46" s="233">
        <f>N46*P_Base+O46*P_Bull+P46*P_Bear+Q46*P_Shock</f>
        <v>1425.5656451054185</v>
      </c>
    </row>
    <row r="47">
      <c r="A47" s="200" t="inlineStr">
        <is>
          <t>Gross MOIC</t>
        </is>
      </c>
      <c r="B47" s="234">
        <f>B40/IQT_Size</f>
        <v>5.045823743843581</v>
      </c>
      <c r="C47" s="234">
        <f>C40/IQT_Size</f>
        <v>12.790788755975607</v>
      </c>
      <c r="D47" s="234">
        <f>D40/IQT_Size</f>
        <v>0.29585341576521507</v>
      </c>
      <c r="E47" s="235">
        <f>E40/IQT_Size</f>
        <v>13.67240582447759</v>
      </c>
      <c r="F47" s="236">
        <f>F40/IQT_Size</f>
        <v>7.563556759759935</v>
      </c>
      <c r="H47" s="234">
        <f>H40/Wpn_Size</f>
        <v>5.921905243666499</v>
      </c>
      <c r="I47" s="234">
        <f>I40/Wpn_Size</f>
        <v>16.921765430213004</v>
      </c>
      <c r="J47" s="234">
        <f>J40/Wpn_Size</f>
        <v>1.2731274011063318</v>
      </c>
      <c r="K47" s="235">
        <f>K40/Wpn_Size</f>
        <v>16.91948794619398</v>
      </c>
      <c r="L47" s="236">
        <f>L40/Wpn_Size</f>
        <v>9.624191019298221</v>
      </c>
      <c r="N47" s="234">
        <f>N40/Con_Size</f>
        <v>6.361310418396796</v>
      </c>
      <c r="O47" s="234">
        <f>O40/Con_Size</f>
        <v>22.89535447600659</v>
      </c>
      <c r="P47" s="234">
        <f>P40/Con_Size</f>
        <v>0.7879718135409093</v>
      </c>
      <c r="Q47" s="235">
        <f>Q40/Con_Size</f>
        <v>0.2549353870240072</v>
      </c>
      <c r="R47" s="236">
        <f>R40/Con_Size</f>
        <v>8.742864387364943</v>
      </c>
    </row>
    <row r="48">
      <c r="A48" s="222" t="inlineStr">
        <is>
          <t>Net MOIC (to LP)</t>
        </is>
      </c>
      <c r="B48" s="237">
        <f>B46/IQT_Size</f>
        <v>4.268443994529423</v>
      </c>
      <c r="C48" s="237">
        <f>C46/IQT_Size</f>
        <v>10.464416004235042</v>
      </c>
      <c r="D48" s="237">
        <f>D46/IQT_Size</f>
        <v>0.09585341576521506</v>
      </c>
      <c r="E48" s="237">
        <f>E46/IQT_Size</f>
        <v>11.169709659036629</v>
      </c>
      <c r="F48" s="237">
        <f>F46/IQT_Size</f>
        <v>6.226738259817277</v>
      </c>
      <c r="H48" s="237">
        <f>H46/Wpn_Size</f>
        <v>4.9693091943877565</v>
      </c>
      <c r="I48" s="237">
        <f>I46/Wpn_Size</f>
        <v>13.769197343624962</v>
      </c>
      <c r="J48" s="237">
        <f>J46/Wpn_Size</f>
        <v>1.0731274011063316</v>
      </c>
      <c r="K48" s="237">
        <f>K46/Wpn_Size</f>
        <v>13.76737535640974</v>
      </c>
      <c r="L48" s="237">
        <f>L46/Wpn_Size</f>
        <v>7.904563887008142</v>
      </c>
      <c r="N48" s="237">
        <f>N46/Con_Size</f>
        <v>5.3208333341719944</v>
      </c>
      <c r="O48" s="237">
        <f>O46/Con_Size</f>
        <v>18.54806858025983</v>
      </c>
      <c r="P48" s="237">
        <f>P46/Con_Size</f>
        <v>0.5879718135409092</v>
      </c>
      <c r="Q48" s="237">
        <f>Q46/Con_Size</f>
        <v>0.0549353870240072</v>
      </c>
      <c r="R48" s="237">
        <f>R46/Con_Size</f>
        <v>7.127828225527093</v>
      </c>
    </row>
    <row r="49">
      <c r="A49" s="200" t="inlineStr">
        <is>
          <t>Gross IRR</t>
        </is>
      </c>
      <c r="B49" s="208">
        <f>IF((B40/IQT_Size)&lt;=0,-1,(B40/IQT_Size)^(1/Hold_Long)-1)</f>
        <v>0.17569103776909034</v>
      </c>
      <c r="C49" s="208">
        <f>IF((C40/IQT_Size)&lt;=0,-1,(C40/IQT_Size)^(1/Hold_Long)-1)</f>
        <v>0.29029713407562086</v>
      </c>
      <c r="D49" s="208">
        <f>IF((D40/IQT_Size)&lt;=0,-1,(D40/IQT_Size)^(1/Hold_Long)-1)</f>
        <v>-0.11466494856842613</v>
      </c>
      <c r="E49" s="238">
        <f>IF((E40/IQT_Size)&lt;=0,-1,(E40/IQT_Size)^(1/Hold_Long)-1)</f>
        <v>0.2989262515476212</v>
      </c>
      <c r="F49" s="239">
        <f>IF((F40/IQT_Size)&lt;=0,-1,(F40/IQT_Size)^(1/Hold_Long)-1)</f>
        <v>0.22425703142900466</v>
      </c>
      <c r="H49" s="208">
        <f>IF((H40/Wpn_Size)&lt;=0,-1,(H40/Wpn_Size)^(1/Hold_Long)-1)</f>
        <v>0.19466501377167633</v>
      </c>
      <c r="I49" s="208">
        <f>IF((I40/Wpn_Size)&lt;=0,-1,(I40/Wpn_Size)^(1/Hold_Long)-1)</f>
        <v>0.3269194714688306</v>
      </c>
      <c r="J49" s="208">
        <f>IF((J40/Wpn_Size)&lt;=0,-1,(J40/Wpn_Size)^(1/Hold_Long)-1)</f>
        <v>0.02444155466167075</v>
      </c>
      <c r="K49" s="238">
        <f>IF((K40/Wpn_Size)&lt;=0,-1,(K40/Wpn_Size)^(1/Hold_Long)-1)</f>
        <v>0.32690161150647157</v>
      </c>
      <c r="L49" s="239">
        <f>IF((L40/Wpn_Size)&lt;=0,-1,(L40/Wpn_Size)^(1/Hold_Long)-1)</f>
        <v>0.2541122887628453</v>
      </c>
      <c r="N49" s="208">
        <f>IF((N40/Con_Size)&lt;=0,-1,(N40/Con_Size)^(1/Hold_Long)-1)</f>
        <v>0.20324664350826627</v>
      </c>
      <c r="O49" s="208">
        <f>IF((O40/Con_Size)&lt;=0,-1,(O40/Con_Size)^(1/Hold_Long)-1)</f>
        <v>0.36764926742484527</v>
      </c>
      <c r="P49" s="208">
        <f>IF((P40/Con_Size)&lt;=0,-1,(P40/Con_Size)^(1/Hold_Long)-1)</f>
        <v>-0.023547620080739518</v>
      </c>
      <c r="Q49" s="238">
        <f>IF((Q40/Con_Size)&lt;=0,-1,(Q40/Con_Size)^(1/Hold_Long)-1)</f>
        <v>-0.12774591445847894</v>
      </c>
      <c r="R49" s="239">
        <f>IF((R40/Con_Size)&lt;=0,-1,(R40/Con_Size)^(1/Hold_Long)-1)</f>
        <v>0.2421252041294597</v>
      </c>
    </row>
    <row r="50">
      <c r="A50" s="222" t="inlineStr">
        <is>
          <t>Net IRR (to LP)</t>
        </is>
      </c>
      <c r="B50" s="240">
        <f>IF((B46/IQT_Size)&lt;=0,-1,(B46/IQT_Size)^(1/Hold_Long)-1)</f>
        <v>0.1561840098732863</v>
      </c>
      <c r="C50" s="240">
        <f>IF((C46/IQT_Size)&lt;=0,-1,(C46/IQT_Size)^(1/Hold_Long)-1)</f>
        <v>0.2646533524821302</v>
      </c>
      <c r="D50" s="240">
        <f>IF((D46/IQT_Size)&lt;=0,-1,(D46/IQT_Size)^(1/Hold_Long)-1)</f>
        <v>-0.20902863853914744</v>
      </c>
      <c r="E50" s="240">
        <f>IF((E46/IQT_Size)&lt;=0,-1,(E46/IQT_Size)^(1/Hold_Long)-1)</f>
        <v>0.272929022562435</v>
      </c>
      <c r="F50" s="240">
        <f>IF((F46/IQT_Size)&lt;=0,-1,(F46/IQT_Size)^(1/Hold_Long)-1)</f>
        <v>0.20067663957019932</v>
      </c>
      <c r="H50" s="240">
        <f>IF((H46/Wpn_Size)&lt;=0,-1,(H46/Wpn_Size)^(1/Hold_Long)-1)</f>
        <v>0.1738959437518537</v>
      </c>
      <c r="I50" s="240">
        <f>IF((I46/Wpn_Size)&lt;=0,-1,(I46/Wpn_Size)^(1/Hold_Long)-1)</f>
        <v>0.29984288839327466</v>
      </c>
      <c r="J50" s="240">
        <f>IF((J46/Wpn_Size)&lt;=0,-1,(J46/Wpn_Size)^(1/Hold_Long)-1)</f>
        <v>0.007082683410553736</v>
      </c>
      <c r="K50" s="240">
        <f>IF((K46/Wpn_Size)&lt;=0,-1,(K46/Wpn_Size)^(1/Hold_Long)-1)</f>
        <v>0.2998256874040037</v>
      </c>
      <c r="L50" s="240">
        <f>IF((L46/Wpn_Size)&lt;=0,-1,(L46/Wpn_Size)^(1/Hold_Long)-1)</f>
        <v>0.2296677734183601</v>
      </c>
      <c r="N50" s="240">
        <f>IF((N46/Con_Size)&lt;=0,-1,(N46/Con_Size)^(1/Hold_Long)-1)</f>
        <v>0.1819468990164841</v>
      </c>
      <c r="O50" s="240">
        <f>IF((O46/Con_Size)&lt;=0,-1,(O46/Con_Size)^(1/Hold_Long)-1)</f>
        <v>0.3391519847071396</v>
      </c>
      <c r="P50" s="240">
        <f>IF((P46/Con_Size)&lt;=0,-1,(P46/Con_Size)^(1/Hold_Long)-1)</f>
        <v>-0.051722053167769344</v>
      </c>
      <c r="Q50" s="240">
        <f>IF((Q46/Con_Size)&lt;=0,-1,(Q46/Con_Size)^(1/Hold_Long)-1)</f>
        <v>-0.25185596289639256</v>
      </c>
      <c r="R50" s="240">
        <f>IF((R46/Con_Size)&lt;=0,-1,(R46/Con_Size)^(1/Hold_Long)-1)</f>
        <v>0.217014415605306</v>
      </c>
    </row>
    <row r="51">
      <c r="A51" s="200" t="inlineStr">
        <is>
          <t>Net KS-PME vs SPX</t>
        </is>
      </c>
      <c r="B51" s="234">
        <f>B48/(1+SPX_CAGR)^Hold_Long</f>
        <v>1.8030368719182308</v>
      </c>
      <c r="C51" s="234">
        <f>C48/(1+SPX_CAGR)^Hold_Long</f>
        <v>4.420282408041085</v>
      </c>
      <c r="D51" s="234">
        <f>D48/(1+SPX_CAGR)^Hold_Long</f>
        <v>0.040489518697092435</v>
      </c>
      <c r="E51" s="235">
        <f>E48/(1+SPX_CAGR)^Hold_Long</f>
        <v>4.718206069864232</v>
      </c>
      <c r="F51" s="236">
        <f>F48/(1+SPX_CAGR)^Hold_Long</f>
        <v>2.6302415326576734</v>
      </c>
      <c r="H51" s="234">
        <f>H48/(1+SPX_CAGR)^Hold_Long</f>
        <v>2.0990899065154975</v>
      </c>
      <c r="I51" s="234">
        <f>I48/(1+SPX_CAGR)^Hold_Long</f>
        <v>5.816257760226596</v>
      </c>
      <c r="J51" s="234">
        <f>J48/(1+SPX_CAGR)^Hold_Long</f>
        <v>0.4533006114031991</v>
      </c>
      <c r="K51" s="235">
        <f>K48/(1+SPX_CAGR)^Hold_Long</f>
        <v>5.81548813313686</v>
      </c>
      <c r="L51" s="236">
        <f>L48/(1+SPX_CAGR)^Hold_Long</f>
        <v>3.338973209669632</v>
      </c>
      <c r="N51" s="234">
        <f>N48/(1+SPX_CAGR)^Hold_Long</f>
        <v>2.2475775020450706</v>
      </c>
      <c r="O51" s="234">
        <f>O48/(1+SPX_CAGR)^Hold_Long</f>
        <v>7.834904615344128</v>
      </c>
      <c r="P51" s="234">
        <f>P48/(1+SPX_CAGR)^Hold_Long</f>
        <v>0.24836564818973697</v>
      </c>
      <c r="Q51" s="235">
        <f>Q48/(1+SPX_CAGR)^Hold_Long</f>
        <v>0.023205301159937835</v>
      </c>
      <c r="R51" s="236">
        <f>R48/(1+SPX_CAGR)^Hold_Long</f>
        <v>3.0108716721587654</v>
      </c>
    </row>
    <row r="52">
      <c r="A52" s="200" t="inlineStr">
        <is>
          <t>Net KS-PME vs NDX</t>
        </is>
      </c>
      <c r="B52" s="234">
        <f>B48/(1+NDX_CAGR)^Hold_Long</f>
        <v>1.2574338654173032</v>
      </c>
      <c r="C52" s="234">
        <f>C48/(1+NDX_CAGR)^Hold_Long</f>
        <v>3.0826950247921916</v>
      </c>
      <c r="D52" s="234">
        <f>D48/(1+NDX_CAGR)^Hold_Long</f>
        <v>0.028237299412521417</v>
      </c>
      <c r="E52" s="235">
        <f>E48/(1+NDX_CAGR)^Hold_Long</f>
        <v>3.2904663175040287</v>
      </c>
      <c r="F52" s="236">
        <f>F48/(1+NDX_CAGR)^Hold_Long</f>
        <v>1.8343245381733169</v>
      </c>
      <c r="H52" s="234">
        <f>H48/(1+NDX_CAGR)^Hold_Long</f>
        <v>1.4639005869026567</v>
      </c>
      <c r="I52" s="234">
        <f>I48/(1+NDX_CAGR)^Hold_Long</f>
        <v>4.056245100481112</v>
      </c>
      <c r="J52" s="234">
        <f>J48/(1+NDX_CAGR)^Hold_Long</f>
        <v>0.3161308284207963</v>
      </c>
      <c r="K52" s="235">
        <f>K48/(1+NDX_CAGR)^Hold_Long</f>
        <v>4.0557083642770735</v>
      </c>
      <c r="L52" s="236">
        <f>L48/(1+NDX_CAGR)^Hold_Long</f>
        <v>2.328592418131154</v>
      </c>
      <c r="N52" s="234">
        <f>N48/(1+NDX_CAGR)^Hold_Long</f>
        <v>1.5674555025681525</v>
      </c>
      <c r="O52" s="234">
        <f>O48/(1+NDX_CAGR)^Hold_Long</f>
        <v>5.464044883988833</v>
      </c>
      <c r="P52" s="234">
        <f>P48/(1+NDX_CAGR)^Hold_Long</f>
        <v>0.1732096452957387</v>
      </c>
      <c r="Q52" s="235">
        <f>Q48/(1+NDX_CAGR)^Hold_Long</f>
        <v>0.01618332491707167</v>
      </c>
      <c r="R52" s="236">
        <f>R48/(1+NDX_CAGR)^Hold_Long</f>
        <v>2.0997751426847984</v>
      </c>
    </row>
    <row r="53"/>
    <row r="54"/>
    <row r="55">
      <c r="A55" s="225" t="inlineStr">
        <is>
          <t>RECONCILIATION — SUM OF STAND-ALONE SLEEVES vs HOLDCO (CROSS-COLLATERALISED) NET PROCEEDS ($M)</t>
        </is>
      </c>
    </row>
    <row r="56">
      <c r="A56" s="198" t="inlineStr">
        <is>
          <t>Hold / line item</t>
        </is>
      </c>
      <c r="B56" s="198" t="inlineStr">
        <is>
          <t>Base</t>
        </is>
      </c>
      <c r="C56" s="198" t="inlineStr">
        <is>
          <t>Bull</t>
        </is>
      </c>
      <c r="D56" s="198" t="inlineStr">
        <is>
          <t>Bear</t>
        </is>
      </c>
      <c r="E56" s="226" t="inlineStr">
        <is>
          <t>TSMC-Shock</t>
        </is>
      </c>
      <c r="F56" s="227" t="inlineStr">
        <is>
          <t>Expected</t>
        </is>
      </c>
    </row>
    <row r="57">
      <c r="A57" s="200" t="str">
        <f>Hold_Short&amp;"-yr: sum of sleeve net proceeds"</f>
        <v>5-yr: sum of sleeve net proceeds</v>
      </c>
      <c r="B57" s="206">
        <f>B12+H12+N12</f>
        <v>1771.9027693679416</v>
      </c>
      <c r="C57" s="206">
        <f>C12+I12+O12</f>
        <v>2889.870561339232</v>
      </c>
      <c r="D57" s="206">
        <f>D12+J12+P12</f>
        <v>659.0865774655281</v>
      </c>
      <c r="E57" s="206">
        <f>E12+K12+Q12</f>
        <v>2176.85115336631</v>
      </c>
      <c r="F57" s="206">
        <f>F12+L12+R12</f>
        <v>1945.2145461751575</v>
      </c>
    </row>
    <row r="58">
      <c r="A58" s="200" t="str">
        <f>Hold_Short&amp;"-yr: holdco net proceeds (Holdco Summary)"</f>
        <v>5-yr: holdco net proceeds (Holdco Summary)</v>
      </c>
      <c r="B58" s="228">
        <f>'Holdco Summary'!B37</f>
        <v>1771.9027693679416</v>
      </c>
      <c r="C58" s="228">
        <f>'Holdco Summary'!C37</f>
        <v>2889.870561339232</v>
      </c>
      <c r="D58" s="228">
        <f>'Holdco Summary'!D37</f>
        <v>659.086577465528</v>
      </c>
      <c r="E58" s="228">
        <f>'Holdco Summary'!E37</f>
        <v>2215.4722834835916</v>
      </c>
      <c r="F58" s="228">
        <f>'Holdco Summary'!F37</f>
        <v>1951.0077156927496</v>
      </c>
    </row>
    <row r="59">
      <c r="A59" s="222" t="str">
        <f>Hold_Short&amp;"-yr: cross-sleeve netting effect"</f>
        <v>5-yr: cross-sleeve netting effect</v>
      </c>
      <c r="B59" s="233">
        <f>B58-B57</f>
        <v>0.0</v>
      </c>
      <c r="C59" s="233">
        <f>C58-C57</f>
        <v>0.0</v>
      </c>
      <c r="D59" s="233">
        <f>D58-D57</f>
        <v>-1.1368683772161603e-13</v>
      </c>
      <c r="E59" s="233">
        <f>E58-E57</f>
        <v>38.62113011728161</v>
      </c>
      <c r="F59" s="233">
        <f>F58-F57</f>
        <v>5.793169517592105</v>
      </c>
    </row>
    <row r="60">
      <c r="A60" s="200" t="str">
        <f>Hold_Mid&amp;"-yr: sum of sleeve net proceeds"</f>
        <v>7-yr: sum of sleeve net proceeds</v>
      </c>
      <c r="B60" s="206">
        <f>B29+H29+N29</f>
        <v>2448.0556952438537</v>
      </c>
      <c r="C60" s="206">
        <f>C29+I29+O29</f>
        <v>4982.65249261475</v>
      </c>
      <c r="D60" s="206">
        <f>D29+J29+P29</f>
        <v>611.3519181601118</v>
      </c>
      <c r="E60" s="206">
        <f>E29+K29+Q29</f>
        <v>3602.265093503757</v>
      </c>
      <c r="F60" s="206">
        <f>F29+L29+R29</f>
        <v>2979.330737763002</v>
      </c>
    </row>
    <row r="61">
      <c r="A61" s="200" t="str">
        <f>Hold_Mid&amp;"-yr: holdco net proceeds (Holdco Summary)"</f>
        <v>7-yr: holdco net proceeds (Holdco Summary)</v>
      </c>
      <c r="B61" s="228">
        <f>'Holdco Summary'!B58</f>
        <v>2448.0556952438537</v>
      </c>
      <c r="C61" s="228">
        <f>'Holdco Summary'!C58</f>
        <v>4982.6524926147495</v>
      </c>
      <c r="D61" s="228">
        <f>'Holdco Summary'!D58</f>
        <v>611.3519181601118</v>
      </c>
      <c r="E61" s="228">
        <f>'Holdco Summary'!E58</f>
        <v>3655.547227667346</v>
      </c>
      <c r="F61" s="228">
        <f>'Holdco Summary'!F58</f>
        <v>2987.32305788754</v>
      </c>
    </row>
    <row r="62">
      <c r="A62" s="222" t="str">
        <f>Hold_Mid&amp;"-yr: cross-sleeve netting effect"</f>
        <v>7-yr: cross-sleeve netting effect</v>
      </c>
      <c r="B62" s="233">
        <f>B61-B60</f>
        <v>0.0</v>
      </c>
      <c r="C62" s="233">
        <f>C61-C60</f>
        <v>-9.094947017729282e-13</v>
      </c>
      <c r="D62" s="233">
        <f>D61-D60</f>
        <v>0.0</v>
      </c>
      <c r="E62" s="233">
        <f>E61-E60</f>
        <v>53.282134163589035</v>
      </c>
      <c r="F62" s="233">
        <f>F61-F60</f>
        <v>7.992320124537855</v>
      </c>
    </row>
    <row r="63">
      <c r="A63" s="200" t="str">
        <f>Hold_Long&amp;"-yr: sum of sleeve net proceeds"</f>
        <v>10-yr: sum of sleeve net proceeds</v>
      </c>
      <c r="B63" s="206">
        <f>B46+H46+N46</f>
        <v>4069.3082512779793</v>
      </c>
      <c r="C63" s="206">
        <f>C46+I46+O46</f>
        <v>11695.704681124462</v>
      </c>
      <c r="D63" s="206">
        <f>D46+J46+P46</f>
        <v>560.077403080955</v>
      </c>
      <c r="E63" s="206">
        <f>E46+K46+Q46</f>
        <v>8172.690881163757</v>
      </c>
      <c r="F63" s="206">
        <f>F46+L46+R46</f>
        <v>6065.030125992913</v>
      </c>
    </row>
    <row r="64">
      <c r="A64" s="200" t="str">
        <f>Hold_Long&amp;"-yr: holdco net proceeds (Holdco Summary)"</f>
        <v>10-yr: holdco net proceeds (Holdco Summary)</v>
      </c>
      <c r="B64" s="228">
        <f>'Holdco Summary'!B79</f>
        <v>4069.3082512779793</v>
      </c>
      <c r="C64" s="228">
        <f>'Holdco Summary'!C79</f>
        <v>11695.704681124464</v>
      </c>
      <c r="D64" s="228">
        <f>'Holdco Summary'!D79</f>
        <v>560.077403080955</v>
      </c>
      <c r="E64" s="228">
        <f>'Holdco Summary'!E79</f>
        <v>8248.850465573709</v>
      </c>
      <c r="F64" s="228">
        <f>'Holdco Summary'!F79</f>
        <v>6076.454063654406</v>
      </c>
    </row>
    <row r="65">
      <c r="A65" s="222" t="str">
        <f>Hold_Long&amp;"-yr: cross-sleeve netting effect"</f>
        <v>10-yr: cross-sleeve netting effect</v>
      </c>
      <c r="B65" s="233">
        <f>B64-B63</f>
        <v>0.0</v>
      </c>
      <c r="C65" s="233">
        <f>C64-C63</f>
        <v>1.8189894035458565e-12</v>
      </c>
      <c r="D65" s="233">
        <f>D64-D63</f>
        <v>0.0</v>
      </c>
      <c r="E65" s="233">
        <f>E64-E63</f>
        <v>76.159584409952</v>
      </c>
      <c r="F65" s="233">
        <f>F64-F63</f>
        <v>11.423937661493255</v>
      </c>
    </row>
    <row r="66">
      <c r="A66" s="194" t="inlineStr">
        <is>
          <t>Positive netting effect = the holdco waterfall (one pref / one carry across $750M) returns more to LPs than three stand-alone sleeve waterfalls, because strong sleeves offset weak ones before carry is charged. Negative = the reverse.</t>
        </is>
      </c>
    </row>
  </sheetData>
  <printOptions horizontalCentered="1"/>
  <pageMargins left="0.75" right="0.75" top="1" bottom="1" header="0.5" footer="0.5"/>
  <pageSetup orientation="landscape" paperSize="1" fitToHeight="0" fitToWidth="1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F121"/>
  <sheetViews>
    <sheetView showGridLines="0" tabSelected="0" zoomScale="120" zoomScaleNormal="120"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K95" sqref="K95"/>
    </sheetView>
  </sheetViews>
  <sheetFormatPr baseColWidth="10" defaultColWidth="8.6640625" defaultRowHeight="15"/>
  <cols>
    <col width="34" customWidth="1" min="1" max="1"/>
    <col width="13" customWidth="1" min="2" max="4"/>
    <col width="16" customWidth="1" min="5" max="5"/>
    <col width="14" customWidth="1" min="6" max="6"/>
  </cols>
  <sheetData>
    <row r="1" ht="18" customHeight="1">
      <c r="A1" s="136" t="inlineStr">
        <is>
          <t>PME, DPI &amp; PROBABILITY PRESSURE TEST</t>
        </is>
      </c>
      <c r="B1" s="177" t="n"/>
      <c r="C1" s="177" t="n"/>
      <c r="D1" s="177" t="n"/>
      <c r="E1" s="177" t="n"/>
      <c r="F1" s="177" t="n"/>
    </row>
    <row r="2" ht="15" customHeight="1">
      <c r="A2" s="180" t="inlineStr">
        <is>
          <t>DPI/TVPI, KS-PME &amp; Direct Alpha vs SPX/NDX, and Expected Net IRR sensitivity to the TSMC-Shock probability. Rows 11-69 = IQT-mirror sleeve ($250M) only; rows 72+ = total $840M holdco (all three sleeves) — ties to IC Summary headline.</t>
        </is>
      </c>
      <c r="B2" s="177" t="n"/>
      <c r="C2" s="177" t="n"/>
      <c r="D2" s="177" t="n"/>
      <c r="E2" s="177" t="n"/>
      <c r="F2" s="177" t="n"/>
    </row>
    <row r="3" ht="15" customHeight="1">
      <c r="A3" s="177" t="n"/>
      <c r="B3" s="177" t="n"/>
      <c r="C3" s="177" t="n"/>
      <c r="D3" s="177" t="n"/>
      <c r="E3" s="177" t="n"/>
      <c r="F3" s="177" t="n"/>
    </row>
    <row r="4" ht="15" customHeight="1">
      <c r="A4" s="11" t="inlineStr">
        <is>
          <t>PUBLIC-MARKET BENCHMARK ASSUMPTIONS (blue = lever)</t>
        </is>
      </c>
      <c r="B4" s="177" t="n"/>
      <c r="C4" s="177" t="n"/>
      <c r="D4" s="177" t="n"/>
      <c r="E4" s="177" t="n"/>
      <c r="F4" s="177" t="n"/>
    </row>
    <row r="5" ht="15" customHeight="1">
      <c r="A5" s="25" t="inlineStr">
        <is>
          <t>S&amp;P 500 (SPX) total-return CAGR</t>
        </is>
      </c>
      <c r="B5" s="27" t="n">
        <v>0.09</v>
      </c>
      <c r="C5" s="177" t="n"/>
      <c r="D5" s="177" t="n"/>
      <c r="E5" s="177" t="n"/>
      <c r="F5" s="177" t="n"/>
    </row>
    <row r="6" ht="15" customHeight="1">
      <c r="A6" s="25" t="inlineStr">
        <is>
          <t>Nasdaq-100 (NDX) total-return CAGR</t>
        </is>
      </c>
      <c r="B6" s="27" t="n">
        <v>0.13</v>
      </c>
      <c r="C6" s="177" t="n"/>
      <c r="D6" s="177" t="n"/>
      <c r="E6" s="177" t="n"/>
      <c r="F6" s="177" t="n"/>
    </row>
    <row r="7" ht="15" customHeight="1">
      <c r="A7" s="180" t="inlineStr">
        <is>
          <t>Long-run total-return assumptions; edit to your house view. KS-PME&gt;1.0x = beat the index.</t>
        </is>
      </c>
      <c r="B7" s="177" t="n"/>
      <c r="C7" s="177" t="n"/>
      <c r="D7" s="177" t="n"/>
      <c r="E7" s="177" t="n"/>
      <c r="F7" s="177" t="n"/>
    </row>
    <row r="8" ht="15" customHeight="1">
      <c r="A8" s="177" t="n"/>
      <c r="B8" s="177" t="n"/>
      <c r="C8" s="177" t="n"/>
      <c r="D8" s="177" t="n"/>
      <c r="E8" s="177" t="n"/>
      <c r="F8" s="177" t="n"/>
    </row>
    <row r="9" ht="36.75" customHeight="1">
      <c r="A9" s="179" t="inlineStr">
        <is>
          <t>Method: single terminal exit -&gt; KS-PME = Net MOIC / index total-return multiple over the hold; Direct Alpha = KS-PME^(1/Hold)-1 (annualized outperformance). Paid-in assumed fully drawn = committed, so Net DPI = Net MOIC and RVPI=0 at exit (TVPI=DPI).</t>
        </is>
      </c>
    </row>
    <row r="10" ht="15" customHeight="1">
      <c r="A10" s="177" t="n"/>
      <c r="B10" s="177" t="n"/>
      <c r="C10" s="177" t="n"/>
      <c r="D10" s="177" t="n"/>
      <c r="E10" s="177" t="n"/>
      <c r="F10" s="177" t="n"/>
    </row>
    <row r="11" ht="15" customHeight="1">
      <c r="A11" s="28" t="str">
        <f>"IQT-MIRROR SLEEVE ($250M) — "&amp;Hold_Short&amp;"-YEAR DPI &amp; PME"</f>
        <v>IQT-MIRROR SLEEVE ($250M) — 5-YEAR DPI &amp; PME</v>
      </c>
      <c r="B11" s="177" t="n"/>
      <c r="C11" s="177" t="n"/>
      <c r="D11" s="177" t="n"/>
      <c r="E11" s="177" t="n"/>
      <c r="F11" s="177" t="n"/>
    </row>
    <row r="12" ht="15" customHeight="1">
      <c r="A12" s="186" t="inlineStr">
        <is>
          <t>Metric</t>
        </is>
      </c>
      <c r="B12" s="186" t="inlineStr">
        <is>
          <t>Base</t>
        </is>
      </c>
      <c r="C12" s="186" t="inlineStr">
        <is>
          <t>Bull</t>
        </is>
      </c>
      <c r="D12" s="186" t="inlineStr">
        <is>
          <t>Bear</t>
        </is>
      </c>
      <c r="E12" s="21" t="inlineStr">
        <is>
          <t>TSMC-Shock</t>
        </is>
      </c>
      <c r="F12" s="21" t="inlineStr">
        <is>
          <t>Expected</t>
        </is>
      </c>
    </row>
    <row r="13" ht="15" customHeight="1">
      <c r="A13" s="13" t="inlineStr">
        <is>
          <t>Net MOIC</t>
        </is>
      </c>
      <c r="B13" s="36">
        <f>'Fund Economics'!B14</f>
        <v>2.004524110576816</v>
      </c>
      <c r="C13" s="36">
        <f>'Fund Economics'!C14</f>
        <v>3.0878221475160164</v>
      </c>
      <c r="D13" s="36">
        <f>'Fund Economics'!D14</f>
        <v>0.40517410275635</v>
      </c>
      <c r="E13" s="37">
        <f>'Fund Economics'!E14</f>
        <v>3.1231658193606857</v>
      </c>
      <c r="F13" s="37">
        <f>'Fund Economics'!F14</f>
        <v>2.2032423749561265</v>
      </c>
    </row>
    <row r="14" ht="15" customHeight="1">
      <c r="A14" s="13" t="inlineStr">
        <is>
          <t>Net DPI (to LP; =TVPI at exit)</t>
        </is>
      </c>
      <c r="B14" s="36">
        <f>'Fund Economics'!B12/IQT_Committed</f>
        <v>2.004524110576816</v>
      </c>
      <c r="C14" s="36">
        <f>'Fund Economics'!C12/IQT_Committed</f>
        <v>3.0878221475160164</v>
      </c>
      <c r="D14" s="36">
        <f>'Fund Economics'!D12/IQT_Committed</f>
        <v>0.40517410275635</v>
      </c>
      <c r="E14" s="37">
        <f>'Fund Economics'!E12/IQT_Committed</f>
        <v>3.1231658193606857</v>
      </c>
      <c r="F14" s="37">
        <f>'Fund Economics'!F12/IQT_Committed</f>
        <v>2.2032423749561265</v>
      </c>
    </row>
    <row r="15" ht="15" customHeight="1">
      <c r="A15" s="13" t="inlineStr">
        <is>
          <t>Gross DPI (deal-level)</t>
        </is>
      </c>
      <c r="B15" s="36">
        <f>'Fund Economics'!B6/IQT_Committed</f>
        <v>2.26332311902102</v>
      </c>
      <c r="C15" s="36">
        <f>'Fund Economics'!C6/IQT_Committed</f>
        <v>3.61744566519502</v>
      </c>
      <c r="D15" s="36">
        <f>'Fund Economics'!D6/IQT_Committed</f>
        <v>0.50517410275635</v>
      </c>
      <c r="E15" s="37">
        <f>'Fund Economics'!E6/IQT_Committed</f>
        <v>3.6616252550008572</v>
      </c>
      <c r="F15" s="37">
        <f>'Fund Economics'!F6/IQT_Committed</f>
        <v>2.5478767235217945</v>
      </c>
    </row>
    <row r="16" ht="15" customHeight="1">
      <c r="A16" s="13" t="inlineStr">
        <is>
          <t>Net IRR</t>
        </is>
      </c>
      <c r="B16" s="15">
        <f>'Fund Economics'!B16</f>
        <v>0.1492175692505382</v>
      </c>
      <c r="C16" s="15">
        <f>'Fund Economics'!C16</f>
        <v>0.2529405230598696</v>
      </c>
      <c r="D16" s="15">
        <f>'Fund Economics'!D16</f>
        <v>-0.1653039932407776</v>
      </c>
      <c r="E16" s="39">
        <f>'Fund Economics'!E16</f>
        <v>0.25579574901845725</v>
      </c>
      <c r="F16" s="39">
        <f>'Fund Economics'!F16</f>
        <v>0.1711498177436066</v>
      </c>
    </row>
    <row r="17" ht="15" customHeight="1">
      <c r="A17" s="13" t="inlineStr">
        <is>
          <t>SPX total-return multiple</t>
        </is>
      </c>
      <c r="B17" s="36">
        <f>(1+SPX_CAGR)^Hold_Short</f>
        <v>1.5386239549000005</v>
      </c>
      <c r="C17" s="36">
        <f>(1+SPX_CAGR)^Hold_Short</f>
        <v>1.5386239549000005</v>
      </c>
      <c r="D17" s="36">
        <f>(1+SPX_CAGR)^Hold_Short</f>
        <v>1.5386239549000005</v>
      </c>
      <c r="E17" s="37">
        <f>(1+SPX_CAGR)^Hold_Short</f>
        <v>1.5386239549000005</v>
      </c>
      <c r="F17" s="37">
        <f>(1+SPX_CAGR)^Hold_Short</f>
        <v>1.5386239549000005</v>
      </c>
    </row>
    <row r="18" ht="15" customHeight="1">
      <c r="A18" s="33" t="inlineStr">
        <is>
          <t>Net KS-PME vs SPX</t>
        </is>
      </c>
      <c r="B18" s="35">
        <f>'Fund Economics'!B14/(1+SPX_CAGR)^Hold_Short</f>
        <v>1.3028031340556476</v>
      </c>
      <c r="C18" s="35">
        <f>'Fund Economics'!C14/(1+SPX_CAGR)^Hold_Short</f>
        <v>2.006872528977818</v>
      </c>
      <c r="D18" s="35">
        <f>'Fund Economics'!D14/(1+SPX_CAGR)^Hold_Short</f>
        <v>0.2633353662966228</v>
      </c>
      <c r="E18" s="35">
        <f>'Fund Economics'!E14/(1+SPX_CAGR)^Hold_Short</f>
        <v>2.029843490616698</v>
      </c>
      <c r="F18" s="35">
        <f>'Fund Economics'!F14/(1+SPX_CAGR)^Hold_Short</f>
        <v>1.431956371106494</v>
      </c>
    </row>
    <row r="19" ht="15" customHeight="1">
      <c r="A19" s="13" t="inlineStr">
        <is>
          <t>Direct Alpha vs SPX (ann.)</t>
        </is>
      </c>
      <c r="B19" s="15">
        <f>IF(('Fund Economics'!B14/(1+SPX_CAGR)^Hold_Short)&lt;=0,-1,('Fund Economics'!B14/(1+SPX_CAGR)^Hold_Short)^(1/Hold_Short)-1)</f>
        <v>0.054328045183980045</v>
      </c>
      <c r="C19" s="15">
        <f>IF(('Fund Economics'!C14/(1+SPX_CAGR)^Hold_Short)&lt;=0,-1,('Fund Economics'!C14/(1+SPX_CAGR)^Hold_Short)^(1/Hold_Short)-1)</f>
        <v>0.14948671840355</v>
      </c>
      <c r="D19" s="15">
        <f>IF(('Fund Economics'!D14/(1+SPX_CAGR)^Hold_Short)&lt;=0,-1,('Fund Economics'!D14/(1+SPX_CAGR)^Hold_Short)^(1/Hold_Short)-1)</f>
        <v>-0.23422384700988774</v>
      </c>
      <c r="E19" s="39">
        <f>IF(('Fund Economics'!E14/(1+SPX_CAGR)^Hold_Short)&lt;=0,-1,('Fund Economics'!E14/(1+SPX_CAGR)^Hold_Short)^(1/Hold_Short)-1)</f>
        <v>0.15210619176005236</v>
      </c>
      <c r="F19" s="39">
        <f>IF(('Fund Economics'!F14/(1+SPX_CAGR)^Hold_Short)&lt;=0,-1,('Fund Economics'!F14/(1+SPX_CAGR)^Hold_Short)^(1/Hold_Short)-1)</f>
        <v>0.07444937407670338</v>
      </c>
    </row>
    <row r="20" ht="15" customHeight="1">
      <c r="A20" s="13" t="inlineStr">
        <is>
          <t>NDX total-return multiple</t>
        </is>
      </c>
      <c r="B20" s="36">
        <f>(1+NDX_CAGR)^Hold_Short</f>
        <v>1.8424351792999991</v>
      </c>
      <c r="C20" s="36">
        <f>(1+NDX_CAGR)^Hold_Short</f>
        <v>1.8424351792999991</v>
      </c>
      <c r="D20" s="36">
        <f>(1+NDX_CAGR)^Hold_Short</f>
        <v>1.8424351792999991</v>
      </c>
      <c r="E20" s="37">
        <f>(1+NDX_CAGR)^Hold_Short</f>
        <v>1.8424351792999991</v>
      </c>
      <c r="F20" s="37">
        <f>(1+NDX_CAGR)^Hold_Short</f>
        <v>1.8424351792999991</v>
      </c>
    </row>
    <row r="21" ht="15" customHeight="1">
      <c r="A21" s="33" t="inlineStr">
        <is>
          <t>Net KS-PME vs NDX</t>
        </is>
      </c>
      <c r="B21" s="35">
        <f>'Fund Economics'!B14/(1+NDX_CAGR)^Hold_Short</f>
        <v>1.0879753779660242</v>
      </c>
      <c r="C21" s="35">
        <f>'Fund Economics'!C14/(1+NDX_CAGR)^Hold_Short</f>
        <v>1.6759461511634728</v>
      </c>
      <c r="D21" s="35">
        <f>'Fund Economics'!D14/(1+NDX_CAGR)^Hold_Short</f>
        <v>0.21991227008067052</v>
      </c>
      <c r="E21" s="35">
        <f>'Fund Economics'!E14/(1+NDX_CAGR)^Hold_Short</f>
        <v>1.695129280231871</v>
      </c>
      <c r="F21" s="35">
        <f>'Fund Economics'!F14/(1+NDX_CAGR)^Hold_Short</f>
        <v>1.1958316904224602</v>
      </c>
    </row>
    <row r="22" ht="15" customHeight="1">
      <c r="A22" s="13" t="inlineStr">
        <is>
          <t>Direct Alpha vs NDX (ann.)</t>
        </is>
      </c>
      <c r="B22" s="15">
        <f>IF(('Fund Economics'!B14/(1+NDX_CAGR)^Hold_Short)&lt;=0,-1,('Fund Economics'!B14/(1+NDX_CAGR)^Hold_Short)^(1/Hold_Short)-1)</f>
        <v>0.017006698451803803</v>
      </c>
      <c r="C22" s="15">
        <f>IF(('Fund Economics'!C14/(1+NDX_CAGR)^Hold_Short)&lt;=0,-1,('Fund Economics'!C14/(1+NDX_CAGR)^Hold_Short)^(1/Hold_Short)-1)</f>
        <v>0.10879692306183175</v>
      </c>
      <c r="D22" s="15">
        <f>IF(('Fund Economics'!D14/(1+NDX_CAGR)^Hold_Short)&lt;=0,-1,('Fund Economics'!D14/(1+NDX_CAGR)^Hold_Short)^(1/Hold_Short)-1)</f>
        <v>-0.2613309674697146</v>
      </c>
      <c r="E22" s="39">
        <f>IF(('Fund Economics'!E14/(1+NDX_CAGR)^Hold_Short)&lt;=0,-1,('Fund Economics'!E14/(1+NDX_CAGR)^Hold_Short)^(1/Hold_Short)-1)</f>
        <v>0.1113236716977497</v>
      </c>
      <c r="F22" s="39">
        <f>IF(('Fund Economics'!F14/(1+NDX_CAGR)^Hold_Short)&lt;=0,-1,('Fund Economics'!F14/(1+NDX_CAGR)^Hold_Short)^(1/Hold_Short)-1)</f>
        <v>0.03641576791469636</v>
      </c>
    </row>
    <row r="23" ht="15" customHeight="1">
      <c r="A23" s="23" t="inlineStr">
        <is>
          <t>memo: Gross KS-PME vs SPX</t>
        </is>
      </c>
      <c r="B23" s="36">
        <f>('Fund Economics'!B6/IQT_Committed)/(1+SPX_CAGR)^Hold_Short</f>
        <v>1.4710047323864262</v>
      </c>
      <c r="C23" s="36">
        <f>('Fund Economics'!C6/IQT_Committed)/(1+SPX_CAGR)^Hold_Short</f>
        <v>2.351091476039139</v>
      </c>
      <c r="D23" s="36">
        <f>('Fund Economics'!D6/IQT_Committed)/(1+SPX_CAGR)^Hold_Short</f>
        <v>0.32832850492645727</v>
      </c>
      <c r="E23" s="37">
        <f>('Fund Economics'!E6/IQT_Committed)/(1+SPX_CAGR)^Hold_Short</f>
        <v>2.3798051780877394</v>
      </c>
      <c r="F23" s="37">
        <f>('Fund Economics'!F6/IQT_Committed)/(1+SPX_CAGR)^Hold_Short</f>
        <v>1.6559450510358058</v>
      </c>
    </row>
    <row r="24" ht="15" customHeight="1">
      <c r="A24" s="23" t="inlineStr">
        <is>
          <t>memo: Gross KS-PME vs NDX</t>
        </is>
      </c>
      <c r="B24" s="36">
        <f>('Fund Economics'!B6/IQT_Committed)/(1+NDX_CAGR)^Hold_Short</f>
        <v>1.228441111225921</v>
      </c>
      <c r="C24" s="36">
        <f>('Fund Economics'!C6/IQT_Committed)/(1+NDX_CAGR)^Hold_Short</f>
        <v>1.9634045777227316</v>
      </c>
      <c r="D24" s="36">
        <f>('Fund Economics'!D6/IQT_Committed)/(1+NDX_CAGR)^Hold_Short</f>
        <v>0.2741882636806154</v>
      </c>
      <c r="E24" s="37">
        <f>('Fund Economics'!E6/IQT_Committed)/(1+NDX_CAGR)^Hold_Short</f>
        <v>1.9873834890582296</v>
      </c>
      <c r="F24" s="37">
        <f>('Fund Economics'!F6/IQT_Committed)/(1+NDX_CAGR)^Hold_Short</f>
        <v>1.3828854073931738</v>
      </c>
    </row>
    <row r="25" ht="15" customHeight="1">
      <c r="A25" s="177" t="n"/>
      <c r="B25" s="177" t="n"/>
      <c r="C25" s="177" t="n"/>
      <c r="D25" s="177" t="n"/>
      <c r="E25" s="177" t="n"/>
      <c r="F25" s="177" t="n"/>
    </row>
    <row r="26" ht="15" customHeight="1">
      <c r="A26" s="177" t="n"/>
      <c r="B26" s="177" t="n"/>
      <c r="C26" s="177" t="n"/>
      <c r="D26" s="177" t="n"/>
      <c r="E26" s="177" t="n"/>
      <c r="F26" s="177" t="n"/>
    </row>
    <row r="27" ht="15" customHeight="1">
      <c r="A27" s="28" t="str">
        <f>"IQT-MIRROR SLEEVE ($250M) — "&amp;Hold_Mid&amp;"-YEAR DPI &amp; PME"</f>
        <v>IQT-MIRROR SLEEVE ($250M) — 7-YEAR DPI &amp; PME</v>
      </c>
      <c r="B27" s="177" t="n"/>
      <c r="C27" s="177" t="n"/>
      <c r="D27" s="177" t="n"/>
      <c r="E27" s="177" t="n"/>
      <c r="F27" s="177" t="n"/>
    </row>
    <row r="28" ht="15" customHeight="1">
      <c r="A28" s="186" t="inlineStr">
        <is>
          <t>Metric</t>
        </is>
      </c>
      <c r="B28" s="186" t="inlineStr">
        <is>
          <t>Base</t>
        </is>
      </c>
      <c r="C28" s="186" t="inlineStr">
        <is>
          <t>Bull</t>
        </is>
      </c>
      <c r="D28" s="186" t="inlineStr">
        <is>
          <t>Bear</t>
        </is>
      </c>
      <c r="E28" s="21" t="inlineStr">
        <is>
          <t>TSMC-Shock</t>
        </is>
      </c>
      <c r="F28" s="21" t="inlineStr">
        <is>
          <t>Expected</t>
        </is>
      </c>
    </row>
    <row r="29" ht="15" customHeight="1">
      <c r="A29" s="13" t="inlineStr">
        <is>
          <t>Net MOIC</t>
        </is>
      </c>
      <c r="B29" s="36">
        <f>'Fund Economics'!B30</f>
        <v>2.6927833224803277</v>
      </c>
      <c r="C29" s="36">
        <f>'Fund Economics'!C30</f>
        <v>4.993181802860899</v>
      </c>
      <c r="D29" s="36">
        <f>'Fund Economics'!D30</f>
        <v>0.2601347527744316</v>
      </c>
      <c r="E29" s="37">
        <f>'Fund Economics'!E30</f>
        <v>5.138596931630519</v>
      </c>
      <c r="F29" s="37">
        <f>'Fund Economics'!F30</f>
        <v>3.269857698492115</v>
      </c>
    </row>
    <row r="30" ht="15" customHeight="1">
      <c r="A30" s="13" t="inlineStr">
        <is>
          <t>Net DPI (to LP; =TVPI at exit)</t>
        </is>
      </c>
      <c r="B30" s="36">
        <f>'Fund Economics'!B28/IQT_Committed</f>
        <v>2.6927833224803277</v>
      </c>
      <c r="C30" s="36">
        <f>'Fund Economics'!C28/IQT_Committed</f>
        <v>4.993181802860899</v>
      </c>
      <c r="D30" s="36">
        <f>'Fund Economics'!D28/IQT_Committed</f>
        <v>0.2601347527744316</v>
      </c>
      <c r="E30" s="37">
        <f>'Fund Economics'!E28/IQT_Committed</f>
        <v>5.138596931630519</v>
      </c>
      <c r="F30" s="37">
        <f>'Fund Economics'!F28/IQT_Committed</f>
        <v>3.269857698492115</v>
      </c>
    </row>
    <row r="31" ht="15" customHeight="1">
      <c r="A31" s="13" t="inlineStr">
        <is>
          <t>Gross DPI (deal-level)</t>
        </is>
      </c>
      <c r="B31" s="36">
        <f>'Fund Economics'!B22/IQT_Committed</f>
        <v>3.1125230859055293</v>
      </c>
      <c r="C31" s="36">
        <f>'Fund Economics'!C22/IQT_Committed</f>
        <v>5.9880211863812445</v>
      </c>
      <c r="D31" s="36">
        <f>'Fund Economics'!D22/IQT_Committed</f>
        <v>0.4001347527744316</v>
      </c>
      <c r="E31" s="37">
        <f>'Fund Economics'!E22/IQT_Committed</f>
        <v>6.169790097343268</v>
      </c>
      <c r="F31" s="37">
        <f>'Fund Economics'!F22/IQT_Committed</f>
        <v>3.8831294127704545</v>
      </c>
    </row>
    <row r="32" ht="15" customHeight="1">
      <c r="A32" s="13" t="inlineStr">
        <is>
          <t>Net IRR</t>
        </is>
      </c>
      <c r="B32" s="15">
        <f>'Fund Economics'!B32</f>
        <v>0.1520129049646377</v>
      </c>
      <c r="C32" s="15">
        <f>'Fund Economics'!C32</f>
        <v>0.258253644559407</v>
      </c>
      <c r="D32" s="15">
        <f>'Fund Economics'!D32</f>
        <v>-0.17499437274931617</v>
      </c>
      <c r="E32" s="39">
        <f>'Fund Economics'!E32</f>
        <v>0.263424289157445</v>
      </c>
      <c r="F32" s="39">
        <f>'Fund Economics'!F32</f>
        <v>0.184415608120029</v>
      </c>
    </row>
    <row r="33" ht="15" customHeight="1">
      <c r="A33" s="13" t="inlineStr">
        <is>
          <t>SPX total-return multiple</t>
        </is>
      </c>
      <c r="B33" s="36">
        <f>(1+SPX_CAGR)^Hold_Mid</f>
        <v>1.8280391208166908</v>
      </c>
      <c r="C33" s="36">
        <f>(1+SPX_CAGR)^Hold_Mid</f>
        <v>1.8280391208166908</v>
      </c>
      <c r="D33" s="36">
        <f>(1+SPX_CAGR)^Hold_Mid</f>
        <v>1.8280391208166908</v>
      </c>
      <c r="E33" s="37">
        <f>(1+SPX_CAGR)^Hold_Mid</f>
        <v>1.8280391208166908</v>
      </c>
      <c r="F33" s="37">
        <f>(1+SPX_CAGR)^Hold_Mid</f>
        <v>1.8280391208166908</v>
      </c>
    </row>
    <row r="34" ht="15" customHeight="1">
      <c r="A34" s="33" t="inlineStr">
        <is>
          <t>Net KS-PME vs SPX</t>
        </is>
      </c>
      <c r="B34" s="35">
        <f>'Fund Economics'!B30/(1+SPX_CAGR)^Hold_Mid</f>
        <v>1.4730446913397048</v>
      </c>
      <c r="C34" s="35">
        <f>'Fund Economics'!C30/(1+SPX_CAGR)^Hold_Mid</f>
        <v>2.7314414368934052</v>
      </c>
      <c r="D34" s="35">
        <f>'Fund Economics'!D30/(1+SPX_CAGR)^Hold_Mid</f>
        <v>0.1423026180414642</v>
      </c>
      <c r="E34" s="35">
        <f>'Fund Economics'!E30/(1+SPX_CAGR)^Hold_Mid</f>
        <v>2.810988492048688</v>
      </c>
      <c r="F34" s="35">
        <f>'Fund Economics'!F30/(1+SPX_CAGR)^Hold_Mid</f>
        <v>1.7887241368397413</v>
      </c>
    </row>
    <row r="35" ht="15" customHeight="1">
      <c r="A35" s="13" t="inlineStr">
        <is>
          <t>Direct Alpha vs SPX (ann.)</t>
        </is>
      </c>
      <c r="B35" s="15">
        <f>IF(('Fund Economics'!B30/(1+SPX_CAGR)^Hold_Mid)&lt;=0,-1,('Fund Economics'!B30/(1+SPX_CAGR)^Hold_Mid)^(1/Hold_Mid)-1)</f>
        <v>0.05689257336205289</v>
      </c>
      <c r="C35" s="15">
        <f>IF(('Fund Economics'!C30/(1+SPX_CAGR)^Hold_Mid)&lt;=0,-1,('Fund Economics'!C30/(1+SPX_CAGR)^Hold_Mid)^(1/Hold_Mid)-1)</f>
        <v>0.15436114179762095</v>
      </c>
      <c r="D35" s="15">
        <f>IF(('Fund Economics'!D30/(1+SPX_CAGR)^Hold_Mid)&lt;=0,-1,('Fund Economics'!D30/(1+SPX_CAGR)^Hold_Mid)^(1/Hold_Mid)-1)</f>
        <v>-0.2431141034397396</v>
      </c>
      <c r="E35" s="39">
        <f>IF(('Fund Economics'!E30/(1+SPX_CAGR)^Hold_Mid)&lt;=0,-1,('Fund Economics'!E30/(1+SPX_CAGR)^Hold_Mid)^(1/Hold_Mid)-1)</f>
        <v>0.15910485243802297</v>
      </c>
      <c r="F35" s="39">
        <f>IF(('Fund Economics'!F30/(1+SPX_CAGR)^Hold_Mid)&lt;=0,-1,('Fund Economics'!F30/(1+SPX_CAGR)^Hold_Mid)^(1/Hold_Mid)-1)</f>
        <v>0.08661982396332935</v>
      </c>
    </row>
    <row r="36" ht="15" customHeight="1">
      <c r="A36" s="13" t="inlineStr">
        <is>
          <t>NDX total-return multiple</t>
        </is>
      </c>
      <c r="B36" s="36">
        <f>(1+NDX_CAGR)^Hold_Mid</f>
        <v>2.3526054804481684</v>
      </c>
      <c r="C36" s="36">
        <f>(1+NDX_CAGR)^Hold_Mid</f>
        <v>2.3526054804481684</v>
      </c>
      <c r="D36" s="36">
        <f>(1+NDX_CAGR)^Hold_Mid</f>
        <v>2.3526054804481684</v>
      </c>
      <c r="E36" s="37">
        <f>(1+NDX_CAGR)^Hold_Mid</f>
        <v>2.3526054804481684</v>
      </c>
      <c r="F36" s="37">
        <f>(1+NDX_CAGR)^Hold_Mid</f>
        <v>2.3526054804481684</v>
      </c>
    </row>
    <row r="37" ht="15" customHeight="1">
      <c r="A37" s="33" t="inlineStr">
        <is>
          <t>Net KS-PME vs NDX</t>
        </is>
      </c>
      <c r="B37" s="35">
        <f>'Fund Economics'!B30/(1+NDX_CAGR)^Hold_Mid</f>
        <v>1.144596212522363</v>
      </c>
      <c r="C37" s="35">
        <f>'Fund Economics'!C30/(1+NDX_CAGR)^Hold_Mid</f>
        <v>2.1224050714655753</v>
      </c>
      <c r="D37" s="35">
        <f>'Fund Economics'!D30/(1+NDX_CAGR)^Hold_Mid</f>
        <v>0.11057304547504337</v>
      </c>
      <c r="E37" s="35">
        <f>'Fund Economics'!E30/(1+NDX_CAGR)^Hold_Mid</f>
        <v>2.1842153197108183</v>
      </c>
      <c r="F37" s="35">
        <f>'Fund Economics'!F30/(1+NDX_CAGR)^Hold_Mid</f>
        <v>1.3898878182793364</v>
      </c>
    </row>
    <row r="38" ht="15" customHeight="1">
      <c r="A38" s="13" t="inlineStr">
        <is>
          <t>Direct Alpha vs NDX (ann.)</t>
        </is>
      </c>
      <c r="B38" s="15">
        <f>IF(('Fund Economics'!B30/(1+NDX_CAGR)^Hold_Mid)&lt;=0,-1,('Fund Economics'!B30/(1+NDX_CAGR)^Hold_Mid)^(1/Hold_Mid)-1)</f>
        <v>0.019480446871360968</v>
      </c>
      <c r="C38" s="15">
        <f>IF(('Fund Economics'!C30/(1+NDX_CAGR)^Hold_Mid)&lt;=0,-1,('Fund Economics'!C30/(1+NDX_CAGR)^Hold_Mid)^(1/Hold_Mid)-1)</f>
        <v>0.11349880049505057</v>
      </c>
      <c r="D38" s="15">
        <f>IF(('Fund Economics'!D30/(1+NDX_CAGR)^Hold_Mid)&lt;=0,-1,('Fund Economics'!D30/(1+NDX_CAGR)^Hold_Mid)^(1/Hold_Mid)-1)</f>
        <v>-0.2699065245569169</v>
      </c>
      <c r="E38" s="39">
        <f>IF(('Fund Economics'!E30/(1+NDX_CAGR)^Hold_Mid)&lt;=0,-1,('Fund Economics'!E30/(1+NDX_CAGR)^Hold_Mid)^(1/Hold_Mid)-1)</f>
        <v>0.11807459217473015</v>
      </c>
      <c r="F38" s="39">
        <f>IF(('Fund Economics'!F30/(1+NDX_CAGR)^Hold_Mid)&lt;=0,-1,('Fund Economics'!F30/(1+NDX_CAGR)^Hold_Mid)^(1/Hold_Mid)-1)</f>
        <v>0.04815540541595498</v>
      </c>
    </row>
    <row r="39" ht="15" customHeight="1">
      <c r="A39" s="23" t="inlineStr">
        <is>
          <t>memo: Gross KS-PME vs SPX</t>
        </is>
      </c>
      <c r="B39" s="36">
        <f>('Fund Economics'!B22/IQT_Committed)/(1+SPX_CAGR)^Hold_Mid</f>
        <v>1.7026567158557226</v>
      </c>
      <c r="C39" s="36">
        <f>('Fund Economics'!C22/IQT_Committed)/(1+SPX_CAGR)^Hold_Mid</f>
        <v>3.2756526477978487</v>
      </c>
      <c r="D39" s="36">
        <f>('Fund Economics'!D22/IQT_Committed)/(1+SPX_CAGR)^Hold_Mid</f>
        <v>0.21888741231952863</v>
      </c>
      <c r="E39" s="37">
        <f>('Fund Economics'!E22/IQT_Committed)/(1+SPX_CAGR)^Hold_Mid</f>
        <v>3.3750864667419513</v>
      </c>
      <c r="F39" s="37">
        <f>('Fund Economics'!F22/IQT_Committed)/(1+SPX_CAGR)^Hold_Mid</f>
        <v>2.1242047659437593</v>
      </c>
    </row>
    <row r="40" ht="15" customHeight="1">
      <c r="A40" s="23" t="inlineStr">
        <is>
          <t>memo: Gross KS-PME vs NDX</t>
        </is>
      </c>
      <c r="B40" s="36">
        <f>('Fund Economics'!B22/IQT_Committed)/(1+NDX_CAGR)^Hold_Mid</f>
        <v>1.3230110665697326</v>
      </c>
      <c r="C40" s="36">
        <f>('Fund Economics'!C22/IQT_Committed)/(1+NDX_CAGR)^Hold_Mid</f>
        <v>2.5452721402487484</v>
      </c>
      <c r="D40" s="36">
        <f>('Fund Economics'!D22/IQT_Committed)/(1+NDX_CAGR)^Hold_Mid</f>
        <v>0.17008153559950326</v>
      </c>
      <c r="E40" s="37">
        <f>('Fund Economics'!E22/IQT_Committed)/(1+NDX_CAGR)^Hold_Mid</f>
        <v>2.6225349505553015</v>
      </c>
      <c r="F40" s="37">
        <f>('Fund Economics'!F22/IQT_Committed)/(1+NDX_CAGR)^Hold_Mid</f>
        <v>1.6505654879417875</v>
      </c>
    </row>
    <row r="41" ht="15" customHeight="1">
      <c r="A41" s="177" t="n"/>
      <c r="B41" s="177" t="n"/>
      <c r="C41" s="177" t="n"/>
      <c r="D41" s="177" t="n"/>
      <c r="E41" s="177" t="n"/>
      <c r="F41" s="177" t="n"/>
    </row>
    <row r="42" ht="15" customHeight="1">
      <c r="A42" s="177" t="n"/>
      <c r="B42" s="177" t="n"/>
      <c r="C42" s="177" t="n"/>
      <c r="D42" s="177" t="n"/>
      <c r="E42" s="177" t="n"/>
      <c r="F42" s="177" t="n"/>
    </row>
    <row r="43" ht="15" customHeight="1">
      <c r="A43" s="28" t="str">
        <f>"IQT-MIRROR SLEEVE ($250M) — "&amp;Hold_Long&amp;"-YEAR DPI &amp; PME"</f>
        <v>IQT-MIRROR SLEEVE ($250M) — 10-YEAR DPI &amp; PME</v>
      </c>
      <c r="B43" s="177" t="n"/>
      <c r="C43" s="177" t="n"/>
      <c r="D43" s="177" t="n"/>
      <c r="E43" s="177" t="n"/>
      <c r="F43" s="177" t="n"/>
    </row>
    <row r="44" ht="15" customHeight="1">
      <c r="A44" s="186" t="inlineStr">
        <is>
          <t>Metric</t>
        </is>
      </c>
      <c r="B44" s="186" t="inlineStr">
        <is>
          <t>Base</t>
        </is>
      </c>
      <c r="C44" s="186" t="inlineStr">
        <is>
          <t>Bull</t>
        </is>
      </c>
      <c r="D44" s="186" t="inlineStr">
        <is>
          <t>Bear</t>
        </is>
      </c>
      <c r="E44" s="21" t="inlineStr">
        <is>
          <t>TSMC-Shock</t>
        </is>
      </c>
      <c r="F44" s="21" t="inlineStr">
        <is>
          <t>Expected</t>
        </is>
      </c>
    </row>
    <row r="45" ht="15" customHeight="1">
      <c r="A45" s="13" t="inlineStr">
        <is>
          <t>Net MOIC</t>
        </is>
      </c>
      <c r="B45" s="36">
        <f>'Fund Economics'!B46</f>
        <v>4.268443994529423</v>
      </c>
      <c r="C45" s="36">
        <f>'Fund Economics'!C46</f>
        <v>10.464416004235042</v>
      </c>
      <c r="D45" s="36">
        <f>'Fund Economics'!D46</f>
        <v>0.09585341576521506</v>
      </c>
      <c r="E45" s="37">
        <f>'Fund Economics'!E46</f>
        <v>11.169709659036629</v>
      </c>
      <c r="F45" s="37">
        <f>'Fund Economics'!F46</f>
        <v>6.226738259817277</v>
      </c>
    </row>
    <row r="46" ht="15" customHeight="1">
      <c r="A46" s="13" t="inlineStr">
        <is>
          <t>Net DPI (to LP; =TVPI at exit)</t>
        </is>
      </c>
      <c r="B46" s="36">
        <f>'Fund Economics'!B44/IQT_Committed</f>
        <v>4.268443994529423</v>
      </c>
      <c r="C46" s="36">
        <f>'Fund Economics'!C44/IQT_Committed</f>
        <v>10.464416004235042</v>
      </c>
      <c r="D46" s="36">
        <f>'Fund Economics'!D44/IQT_Committed</f>
        <v>0.09585341576521506</v>
      </c>
      <c r="E46" s="37">
        <f>'Fund Economics'!E44/IQT_Committed</f>
        <v>11.169709659036629</v>
      </c>
      <c r="F46" s="37">
        <f>'Fund Economics'!F44/IQT_Committed</f>
        <v>6.226738259817277</v>
      </c>
    </row>
    <row r="47" ht="15" customHeight="1">
      <c r="A47" s="13" t="inlineStr">
        <is>
          <t>Gross DPI (deal-level)</t>
        </is>
      </c>
      <c r="B47" s="36">
        <f>'Fund Economics'!B38/IQT_Committed</f>
        <v>5.045823743843581</v>
      </c>
      <c r="C47" s="36">
        <f>'Fund Economics'!C38/IQT_Committed</f>
        <v>12.790788755975607</v>
      </c>
      <c r="D47" s="36">
        <f>'Fund Economics'!D38/IQT_Committed</f>
        <v>0.29585341576521507</v>
      </c>
      <c r="E47" s="37">
        <f>'Fund Economics'!E38/IQT_Committed</f>
        <v>13.67240582447759</v>
      </c>
      <c r="F47" s="37">
        <f>'Fund Economics'!F38/IQT_Committed</f>
        <v>7.563556759759935</v>
      </c>
    </row>
    <row r="48" ht="15" customHeight="1">
      <c r="A48" s="13" t="inlineStr">
        <is>
          <t>Net IRR</t>
        </is>
      </c>
      <c r="B48" s="15">
        <f>'Fund Economics'!B48</f>
        <v>0.1561840098732863</v>
      </c>
      <c r="C48" s="15">
        <f>'Fund Economics'!C48</f>
        <v>0.2646533524821302</v>
      </c>
      <c r="D48" s="15">
        <f>'Fund Economics'!D48</f>
        <v>-0.20902863853914744</v>
      </c>
      <c r="E48" s="39">
        <f>'Fund Economics'!E48</f>
        <v>0.272929022562435</v>
      </c>
      <c r="F48" s="39">
        <f>'Fund Economics'!F48</f>
        <v>0.20067663957019932</v>
      </c>
    </row>
    <row r="49" ht="15" customHeight="1">
      <c r="A49" s="13" t="inlineStr">
        <is>
          <t>SPX total-return multiple</t>
        </is>
      </c>
      <c r="B49" s="36">
        <f>(1+SPX_CAGR)^Hold_Long</f>
        <v>2.367363674592119</v>
      </c>
      <c r="C49" s="36">
        <f>(1+SPX_CAGR)^Hold_Long</f>
        <v>2.367363674592119</v>
      </c>
      <c r="D49" s="36">
        <f>(1+SPX_CAGR)^Hold_Long</f>
        <v>2.367363674592119</v>
      </c>
      <c r="E49" s="37">
        <f>(1+SPX_CAGR)^Hold_Long</f>
        <v>2.367363674592119</v>
      </c>
      <c r="F49" s="37">
        <f>(1+SPX_CAGR)^Hold_Long</f>
        <v>2.367363674592119</v>
      </c>
    </row>
    <row r="50" ht="15" customHeight="1">
      <c r="A50" s="33" t="inlineStr">
        <is>
          <t>Net KS-PME vs SPX</t>
        </is>
      </c>
      <c r="B50" s="35">
        <f>'Fund Economics'!B46/(1+SPX_CAGR)^Hold_Long</f>
        <v>1.8030368719182308</v>
      </c>
      <c r="C50" s="35">
        <f>'Fund Economics'!C46/(1+SPX_CAGR)^Hold_Long</f>
        <v>4.420282408041085</v>
      </c>
      <c r="D50" s="35">
        <f>'Fund Economics'!D46/(1+SPX_CAGR)^Hold_Long</f>
        <v>0.040489518697092435</v>
      </c>
      <c r="E50" s="35">
        <f>'Fund Economics'!E46/(1+SPX_CAGR)^Hold_Long</f>
        <v>4.718206069864232</v>
      </c>
      <c r="F50" s="35">
        <f>'Fund Economics'!F46/(1+SPX_CAGR)^Hold_Long</f>
        <v>2.6302415326576734</v>
      </c>
    </row>
    <row r="51" ht="15" customHeight="1">
      <c r="A51" s="13" t="inlineStr">
        <is>
          <t>Direct Alpha vs SPX (ann.)</t>
        </is>
      </c>
      <c r="B51" s="15">
        <f>IF(('Fund Economics'!B46/(1+SPX_CAGR)^Hold_Long)&lt;=0,-1,('Fund Economics'!B46/(1+SPX_CAGR)^Hold_Long)^(1/Hold_Long)-1)</f>
        <v>0.06071927511310671</v>
      </c>
      <c r="C51" s="15">
        <f>IF(('Fund Economics'!C46/(1+SPX_CAGR)^Hold_Long)&lt;=0,-1,('Fund Economics'!C46/(1+SPX_CAGR)^Hold_Long)^(1/Hold_Long)-1)</f>
        <v>0.16023243346984417</v>
      </c>
      <c r="D51" s="15">
        <f>IF(('Fund Economics'!D46/(1+SPX_CAGR)^Hold_Long)&lt;=0,-1,('Fund Economics'!D46/(1+SPX_CAGR)^Hold_Long)^(1/Hold_Long)-1)</f>
        <v>-0.27433820049463076</v>
      </c>
      <c r="E51" s="39">
        <f>IF(('Fund Economics'!E46/(1+SPX_CAGR)^Hold_Long)&lt;=0,-1,('Fund Economics'!E46/(1+SPX_CAGR)^Hold_Long)^(1/Hold_Long)-1)</f>
        <v>0.1678247913416835</v>
      </c>
      <c r="F51" s="39">
        <f>IF(('Fund Economics'!F46/(1+SPX_CAGR)^Hold_Long)&lt;=0,-1,('Fund Economics'!F46/(1+SPX_CAGR)^Hold_Long)^(1/Hold_Long)-1)</f>
        <v>0.1015382014405497</v>
      </c>
    </row>
    <row r="52" ht="15" customHeight="1">
      <c r="A52" s="13" t="inlineStr">
        <is>
          <t>NDX total-return multiple</t>
        </is>
      </c>
      <c r="B52" s="36">
        <f>(1+NDX_CAGR)^Hold_Long</f>
        <v>3.3945673899222197</v>
      </c>
      <c r="C52" s="36">
        <f>(1+NDX_CAGR)^Hold_Long</f>
        <v>3.3945673899222197</v>
      </c>
      <c r="D52" s="36">
        <f>(1+NDX_CAGR)^Hold_Long</f>
        <v>3.3945673899222197</v>
      </c>
      <c r="E52" s="37">
        <f>(1+NDX_CAGR)^Hold_Long</f>
        <v>3.3945673899222197</v>
      </c>
      <c r="F52" s="37">
        <f>(1+NDX_CAGR)^Hold_Long</f>
        <v>3.3945673899222197</v>
      </c>
    </row>
    <row r="53" ht="15" customHeight="1">
      <c r="A53" s="33" t="inlineStr">
        <is>
          <t>Net KS-PME vs NDX</t>
        </is>
      </c>
      <c r="B53" s="35">
        <f>'Fund Economics'!B46/(1+NDX_CAGR)^Hold_Long</f>
        <v>1.2574338654173032</v>
      </c>
      <c r="C53" s="35">
        <f>'Fund Economics'!C46/(1+NDX_CAGR)^Hold_Long</f>
        <v>3.0826950247921916</v>
      </c>
      <c r="D53" s="35">
        <f>'Fund Economics'!D46/(1+NDX_CAGR)^Hold_Long</f>
        <v>0.028237299412521417</v>
      </c>
      <c r="E53" s="35">
        <f>'Fund Economics'!E46/(1+NDX_CAGR)^Hold_Long</f>
        <v>3.2904663175040287</v>
      </c>
      <c r="F53" s="35">
        <f>'Fund Economics'!F46/(1+NDX_CAGR)^Hold_Long</f>
        <v>1.8343245381733169</v>
      </c>
    </row>
    <row r="54" ht="15" customHeight="1">
      <c r="A54" s="13" t="inlineStr">
        <is>
          <t>Direct Alpha vs NDX (ann.)</t>
        </is>
      </c>
      <c r="B54" s="15">
        <f>IF(('Fund Economics'!B46/(1+NDX_CAGR)^Hold_Long)&lt;=0,-1,('Fund Economics'!B46/(1+NDX_CAGR)^Hold_Long)^(1/Hold_Long)-1)</f>
        <v>0.023171690153350966</v>
      </c>
      <c r="C54" s="15">
        <f>IF(('Fund Economics'!C46/(1+NDX_CAGR)^Hold_Long)&lt;=0,-1,('Fund Economics'!C46/(1+NDX_CAGR)^Hold_Long)^(1/Hold_Long)-1)</f>
        <v>0.11916225883374376</v>
      </c>
      <c r="D54" s="15">
        <f>IF(('Fund Economics'!D46/(1+NDX_CAGR)^Hold_Long)&lt;=0,-1,('Fund Economics'!D46/(1+NDX_CAGR)^Hold_Long)^(1/Hold_Long)-1)</f>
        <v>-0.3000253438399534</v>
      </c>
      <c r="E54" s="39">
        <f>IF(('Fund Economics'!E46/(1+NDX_CAGR)^Hold_Long)&lt;=0,-1,('Fund Economics'!E46/(1+NDX_CAGR)^Hold_Long)^(1/Hold_Long)-1)</f>
        <v>0.12648586067472145</v>
      </c>
      <c r="F54" s="39">
        <f>IF(('Fund Economics'!F46/(1+NDX_CAGR)^Hold_Long)&lt;=0,-1,('Fund Economics'!F46/(1+NDX_CAGR)^Hold_Long)^(1/Hold_Long)-1)</f>
        <v>0.06254569873468974</v>
      </c>
    </row>
    <row r="55" ht="15" customHeight="1">
      <c r="A55" s="23" t="inlineStr">
        <is>
          <t>memo: Gross KS-PME vs SPX</t>
        </is>
      </c>
      <c r="B55" s="36">
        <f>('Fund Economics'!B38/IQT_Committed)/(1+SPX_CAGR)^Hold_Long</f>
        <v>2.1314104790903925</v>
      </c>
      <c r="C55" s="36">
        <f>('Fund Economics'!C38/IQT_Committed)/(1+SPX_CAGR)^Hold_Long</f>
        <v>5.40296739924396</v>
      </c>
      <c r="D55" s="36">
        <f>('Fund Economics'!D38/IQT_Committed)/(1+SPX_CAGR)^Hold_Long</f>
        <v>0.1249716800762302</v>
      </c>
      <c r="E55" s="37">
        <f>('Fund Economics'!E38/IQT_Committed)/(1+SPX_CAGR)^Hold_Long</f>
        <v>5.775371976522894</v>
      </c>
      <c r="F55" s="37">
        <f>('Fund Economics'!F38/IQT_Committed)/(1+SPX_CAGR)^Hold_Long</f>
        <v>3.1949281138915357</v>
      </c>
    </row>
    <row r="56" ht="15" customHeight="1">
      <c r="A56" s="23" t="inlineStr">
        <is>
          <t>memo: Gross KS-PME vs NDX</t>
        </is>
      </c>
      <c r="B56" s="36">
        <f>('Fund Economics'!B38/IQT_Committed)/(1+NDX_CAGR)^Hold_Long</f>
        <v>1.4864408816344625</v>
      </c>
      <c r="C56" s="36">
        <f>('Fund Economics'!C38/IQT_Committed)/(1+NDX_CAGR)^Hold_Long</f>
        <v>3.7680173308530733</v>
      </c>
      <c r="D56" s="36">
        <f>('Fund Economics'!D38/IQT_Committed)/(1+NDX_CAGR)^Hold_Long</f>
        <v>0.08715496903774651</v>
      </c>
      <c r="E56" s="37">
        <f>('Fund Economics'!E38/IQT_Committed)/(1+NDX_CAGR)^Hold_Long</f>
        <v>4.0277314467428695</v>
      </c>
      <c r="F56" s="37">
        <f>('Fund Economics'!F38/IQT_Committed)/(1+NDX_CAGR)^Hold_Long</f>
        <v>2.2281356918158695</v>
      </c>
    </row>
    <row r="57" ht="15" customHeight="1">
      <c r="A57" s="177" t="n"/>
      <c r="B57" s="177" t="n"/>
      <c r="C57" s="177" t="n"/>
      <c r="D57" s="177" t="n"/>
      <c r="E57" s="177" t="n"/>
      <c r="F57" s="177" t="n"/>
    </row>
    <row r="58" ht="15" customHeight="1">
      <c r="A58" s="177" t="n"/>
      <c r="B58" s="177" t="n"/>
      <c r="C58" s="177" t="n"/>
      <c r="D58" s="177" t="n"/>
      <c r="E58" s="177" t="n"/>
      <c r="F58" s="177" t="n"/>
    </row>
    <row r="59" ht="15" customHeight="1">
      <c r="A59" s="85" t="inlineStr">
        <is>
          <t>IQT-MIRROR SLEEVE ($250M) — TSMC-SHOCK PROBABILITY PRESSURE TEST</t>
        </is>
      </c>
      <c r="B59" s="177" t="n"/>
      <c r="C59" s="177" t="n"/>
      <c r="D59" s="177" t="n"/>
      <c r="E59" s="177" t="n"/>
      <c r="F59" s="177" t="n"/>
    </row>
    <row r="60" ht="25.5" customHeight="1">
      <c r="A60" s="179" t="inlineStr">
        <is>
          <t>Expected Net IRR to LP (IQT-mirror sleeve only) as the TSMC-Shock probability varies. Base/Bull/Bear keep their current relative weights; shock takes the remainder. The row flagged 'current base case' matches Defense Supercycle!B20.</t>
        </is>
      </c>
    </row>
    <row r="61" ht="27.75" customHeight="1">
      <c r="A61" s="21" t="inlineStr">
        <is>
          <t>Shock probability</t>
        </is>
      </c>
      <c r="B61" s="186" t="str">
        <f>Hold_Short&amp;"-yr Net IRR"</f>
        <v>5-yr Net IRR</v>
      </c>
      <c r="C61" s="186" t="str">
        <f>Hold_Mid&amp;"-yr Net IRR"</f>
        <v>7-yr Net IRR</v>
      </c>
      <c r="D61" s="186" t="str">
        <f>Hold_Long&amp;"-yr Net IRR"</f>
        <v>10-yr Net IRR</v>
      </c>
      <c r="E61" s="186" t="inlineStr">
        <is>
          <t>Note</t>
        </is>
      </c>
      <c r="F61" s="22" t="n"/>
    </row>
    <row r="62" ht="15" customHeight="1">
      <c r="A62" s="27" t="n">
        <v>0</v>
      </c>
      <c r="B62" s="15">
        <f>IF((((1-$A62)*(P_Base*'Fund Economics'!B12+P_Bull*'Fund Economics'!C12+P_Bear*'Fund Economics'!D12)/(P_Base+P_Bull+P_Bear)+$A62*'Fund Economics'!E12)/IQT_Committed)&lt;=0,-1,(((1-$A62)*(P_Base*'Fund Economics'!B12+P_Bull*'Fund Economics'!C12+P_Bear*'Fund Economics'!D12)/(P_Base+P_Bull+P_Bear)+$A62*'Fund Economics'!E12)/IQT_Committed)^(1/Hold_Short)-1)</f>
        <v>0.15335889778711986</v>
      </c>
      <c r="C62" s="15">
        <f>IF((((1-$A62)*(P_Base*'Fund Economics'!B28+P_Bull*'Fund Economics'!C28+P_Bear*'Fund Economics'!D28)/(P_Base+P_Bull+P_Bear)+$A62*'Fund Economics'!E28)/IQT_Committed)&lt;=0,-1,(((1-$A62)*(P_Base*'Fund Economics'!B28+P_Bull*'Fund Economics'!C28+P_Bear*'Fund Economics'!D28)/(P_Base+P_Bull+P_Bear)+$A62*'Fund Economics'!E28)/IQT_Committed)^(1/Hold_Mid)-1)</f>
        <v>0.1665636873112628</v>
      </c>
      <c r="D62" s="15">
        <f>IF((((1-$A62)*(P_Base*'Fund Economics'!B44+P_Bull*'Fund Economics'!C44+P_Bear*'Fund Economics'!D44)/(P_Base+P_Bull+P_Bear)+$A62*'Fund Economics'!E44)/IQT_Committed)&lt;=0,-1,(((1-$A62)*(P_Base*'Fund Economics'!B44+P_Bull*'Fund Economics'!C44+P_Bear*'Fund Economics'!D44)/(P_Base+P_Bull+P_Bear)+$A62*'Fund Economics'!E44)/IQT_Committed)^(1/Hold_Long)-1)</f>
        <v>0.18269151258868788</v>
      </c>
      <c r="E62" s="42" t="inlineStr">
        <is>
          <t>shock excluded</t>
        </is>
      </c>
      <c r="F62" s="86" t="n"/>
    </row>
    <row r="63" ht="15" customHeight="1">
      <c r="A63" s="27" t="n">
        <v>0.05</v>
      </c>
      <c r="B63" s="15">
        <f>IF((((1-$A63)*(P_Base*'Fund Economics'!B12+P_Bull*'Fund Economics'!C12+P_Bear*'Fund Economics'!D12)/(P_Base+P_Bull+P_Bear)+$A63*'Fund Economics'!E12)/IQT_Committed)&lt;=0,-1,(((1-$A63)*(P_Base*'Fund Economics'!B12+P_Bull*'Fund Economics'!C12+P_Bear*'Fund Economics'!D12)/(P_Base+P_Bull+P_Bear)+$A63*'Fund Economics'!E12)/IQT_Committed)^(1/Hold_Short)-1)</f>
        <v>0.15941114946244617</v>
      </c>
      <c r="C63" s="15">
        <f>IF((((1-$A63)*(P_Base*'Fund Economics'!B28+P_Bull*'Fund Economics'!C28+P_Bear*'Fund Economics'!D28)/(P_Base+P_Bull+P_Bear)+$A63*'Fund Economics'!E28)/IQT_Committed)&lt;=0,-1,(((1-$A63)*(P_Base*'Fund Economics'!B28+P_Bull*'Fund Economics'!C28+P_Bear*'Fund Economics'!D28)/(P_Base+P_Bull+P_Bear)+$A63*'Fund Economics'!E28)/IQT_Committed)^(1/Hold_Mid)-1)</f>
        <v>0.17269699928347948</v>
      </c>
      <c r="D63" s="15">
        <f>IF((((1-$A63)*(P_Base*'Fund Economics'!B44+P_Bull*'Fund Economics'!C44+P_Bear*'Fund Economics'!D44)/(P_Base+P_Bull+P_Bear)+$A63*'Fund Economics'!E44)/IQT_Committed)&lt;=0,-1,(((1-$A63)*(P_Base*'Fund Economics'!B44+P_Bull*'Fund Economics'!C44+P_Bear*'Fund Economics'!D44)/(P_Base+P_Bull+P_Bear)+$A63*'Fund Economics'!E44)/IQT_Committed)^(1/Hold_Long)-1)</f>
        <v>0.1889621443732743</v>
      </c>
      <c r="E63" s="42" t="str">
        <f>IF(ABS($A63-P_Shock)&lt;0.0001,"current base case","")</f>
        <v/>
      </c>
      <c r="F63" s="86" t="n"/>
    </row>
    <row r="64" ht="15" customHeight="1">
      <c r="A64" s="27" t="n">
        <v>0.1</v>
      </c>
      <c r="B64" s="15">
        <f>IF((((1-$A64)*(P_Base*'Fund Economics'!B12+P_Bull*'Fund Economics'!C12+P_Bear*'Fund Economics'!D12)/(P_Base+P_Bull+P_Bear)+$A64*'Fund Economics'!E12)/IQT_Committed)&lt;=0,-1,(((1-$A64)*(P_Base*'Fund Economics'!B12+P_Bull*'Fund Economics'!C12+P_Bear*'Fund Economics'!D12)/(P_Base+P_Bull+P_Bear)+$A64*'Fund Economics'!E12)/IQT_Committed)^(1/Hold_Short)-1)</f>
        <v>0.16533960417580174</v>
      </c>
      <c r="C64" s="15">
        <f>IF((((1-$A64)*(P_Base*'Fund Economics'!B28+P_Bull*'Fund Economics'!C28+P_Bear*'Fund Economics'!D28)/(P_Base+P_Bull+P_Bear)+$A64*'Fund Economics'!E28)/IQT_Committed)&lt;=0,-1,(((1-$A64)*(P_Base*'Fund Economics'!B28+P_Bull*'Fund Economics'!C28+P_Bear*'Fund Economics'!D28)/(P_Base+P_Bull+P_Bear)+$A64*'Fund Economics'!E28)/IQT_Committed)^(1/Hold_Mid)-1)</f>
        <v>0.17864367812892756</v>
      </c>
      <c r="D64" s="15">
        <f>IF((((1-$A64)*(P_Base*'Fund Economics'!B44+P_Bull*'Fund Economics'!C44+P_Bear*'Fund Economics'!D44)/(P_Base+P_Bull+P_Bear)+$A64*'Fund Economics'!E44)/IQT_Committed)&lt;=0,-1,(((1-$A64)*(P_Base*'Fund Economics'!B44+P_Bull*'Fund Economics'!C44+P_Bear*'Fund Economics'!D44)/(P_Base+P_Bull+P_Bear)+$A64*'Fund Economics'!E44)/IQT_Committed)^(1/Hold_Long)-1)</f>
        <v>0.19494855399670952</v>
      </c>
      <c r="E64" s="42" t="str">
        <f>IF(ABS($A64-P_Shock)&lt;0.0001,"current base case","")</f>
        <v/>
      </c>
      <c r="F64" s="86" t="n"/>
    </row>
    <row r="65" ht="15" customHeight="1">
      <c r="A65" s="87" t="n">
        <v>0.15</v>
      </c>
      <c r="B65" s="88">
        <f>IF((((1-$A65)*(P_Base*'Fund Economics'!B12+P_Bull*'Fund Economics'!C12+P_Bear*'Fund Economics'!D12)/(P_Base+P_Bull+P_Bear)+$A65*'Fund Economics'!E12)/IQT_Committed)&lt;=0,-1,(((1-$A65)*(P_Base*'Fund Economics'!B12+P_Bull*'Fund Economics'!C12+P_Bear*'Fund Economics'!D12)/(P_Base+P_Bull+P_Bear)+$A65*'Fund Economics'!E12)/IQT_Committed)^(1/Hold_Short)-1)</f>
        <v>0.1711498177436066</v>
      </c>
      <c r="C65" s="88">
        <f>IF((((1-$A65)*(P_Base*'Fund Economics'!B28+P_Bull*'Fund Economics'!C28+P_Bear*'Fund Economics'!D28)/(P_Base+P_Bull+P_Bear)+$A65*'Fund Economics'!E28)/IQT_Committed)&lt;=0,-1,(((1-$A65)*(P_Base*'Fund Economics'!B28+P_Bull*'Fund Economics'!C28+P_Bear*'Fund Economics'!D28)/(P_Base+P_Bull+P_Bear)+$A65*'Fund Economics'!E28)/IQT_Committed)^(1/Hold_Mid)-1)</f>
        <v>0.184415608120029</v>
      </c>
      <c r="D65" s="88">
        <f>IF((((1-$A65)*(P_Base*'Fund Economics'!B44+P_Bull*'Fund Economics'!C44+P_Bear*'Fund Economics'!D44)/(P_Base+P_Bull+P_Bear)+$A65*'Fund Economics'!E44)/IQT_Committed)&lt;=0,-1,(((1-$A65)*(P_Base*'Fund Economics'!B44+P_Bull*'Fund Economics'!C44+P_Bear*'Fund Economics'!D44)/(P_Base+P_Bull+P_Bear)+$A65*'Fund Economics'!E44)/IQT_Committed)^(1/Hold_Long)-1)</f>
        <v>0.20067663957019932</v>
      </c>
      <c r="E65" s="42" t="str">
        <f>IF(ABS($A65-P_Shock)&lt;0.0001,"current base case","")</f>
        <v>current base case</v>
      </c>
      <c r="F65" s="86" t="n"/>
    </row>
    <row r="66" ht="15" customHeight="1">
      <c r="A66" s="27" t="n">
        <v>0.2</v>
      </c>
      <c r="B66" s="15">
        <f>IF((((1-$A66)*(P_Base*'Fund Economics'!B12+P_Bull*'Fund Economics'!C12+P_Bear*'Fund Economics'!D12)/(P_Base+P_Bull+P_Bear)+$A66*'Fund Economics'!E12)/IQT_Committed)&lt;=0,-1,(((1-$A66)*(P_Base*'Fund Economics'!B12+P_Bull*'Fund Economics'!C12+P_Bear*'Fund Economics'!D12)/(P_Base+P_Bull+P_Bear)+$A66*'Fund Economics'!E12)/IQT_Committed)^(1/Hold_Short)-1)</f>
        <v>0.1768469675381703</v>
      </c>
      <c r="C66" s="15">
        <f>IF((((1-$A66)*(P_Base*'Fund Economics'!B28+P_Bull*'Fund Economics'!C28+P_Bear*'Fund Economics'!D28)/(P_Base+P_Bull+P_Bear)+$A66*'Fund Economics'!E28)/IQT_Committed)&lt;=0,-1,(((1-$A66)*(P_Base*'Fund Economics'!B28+P_Bull*'Fund Economics'!C28+P_Bear*'Fund Economics'!D28)/(P_Base+P_Bull+P_Bear)+$A66*'Fund Economics'!E28)/IQT_Committed)^(1/Hold_Mid)-1)</f>
        <v>0.19002354776568176</v>
      </c>
      <c r="D66" s="15">
        <f>IF((((1-$A66)*(P_Base*'Fund Economics'!B44+P_Bull*'Fund Economics'!C44+P_Bear*'Fund Economics'!D44)/(P_Base+P_Bull+P_Bear)+$A66*'Fund Economics'!E44)/IQT_Committed)&lt;=0,-1,(((1-$A66)*(P_Base*'Fund Economics'!B44+P_Bull*'Fund Economics'!C44+P_Bear*'Fund Economics'!D44)/(P_Base+P_Bull+P_Bear)+$A66*'Fund Economics'!E44)/IQT_Committed)^(1/Hold_Long)-1)</f>
        <v>0.2061688615502797</v>
      </c>
      <c r="E66" s="42" t="str">
        <f>IF(ABS($A66-P_Shock)&lt;0.0001,"current base case","")</f>
        <v/>
      </c>
      <c r="F66" s="86" t="n"/>
    </row>
    <row r="67" ht="15" customHeight="1">
      <c r="A67" s="27" t="n">
        <v>0.25</v>
      </c>
      <c r="B67" s="15">
        <f>IF((((1-$A67)*(P_Base*'Fund Economics'!B12+P_Bull*'Fund Economics'!C12+P_Bear*'Fund Economics'!D12)/(P_Base+P_Bull+P_Bear)+$A67*'Fund Economics'!E12)/IQT_Committed)&lt;=0,-1,(((1-$A67)*(P_Base*'Fund Economics'!B12+P_Bull*'Fund Economics'!C12+P_Bear*'Fund Economics'!D12)/(P_Base+P_Bull+P_Bear)+$A67*'Fund Economics'!E12)/IQT_Committed)^(1/Hold_Short)-1)</f>
        <v>0.18243588664367927</v>
      </c>
      <c r="C67" s="15">
        <f>IF((((1-$A67)*(P_Base*'Fund Economics'!B28+P_Bull*'Fund Economics'!C28+P_Bear*'Fund Economics'!D28)/(P_Base+P_Bull+P_Bear)+$A67*'Fund Economics'!E28)/IQT_Committed)&lt;=0,-1,(((1-$A67)*(P_Base*'Fund Economics'!B28+P_Bull*'Fund Economics'!C28+P_Bear*'Fund Economics'!D28)/(P_Base+P_Bull+P_Bear)+$A67*'Fund Economics'!E28)/IQT_Committed)^(1/Hold_Mid)-1)</f>
        <v>0.19547726916954278</v>
      </c>
      <c r="D67" s="15">
        <f>IF((((1-$A67)*(P_Base*'Fund Economics'!B44+P_Bull*'Fund Economics'!C44+P_Bear*'Fund Economics'!D44)/(P_Base+P_Bull+P_Bear)+$A67*'Fund Economics'!E44)/IQT_Committed)&lt;=0,-1,(((1-$A67)*(P_Base*'Fund Economics'!B44+P_Bull*'Fund Economics'!C44+P_Bear*'Fund Economics'!D44)/(P_Base+P_Bull+P_Bear)+$A67*'Fund Economics'!E44)/IQT_Committed)^(1/Hold_Long)-1)</f>
        <v>0.21144482963633693</v>
      </c>
      <c r="E67" s="42" t="str">
        <f>IF(ABS($A67-P_Shock)&lt;0.0001,"current base case","")</f>
        <v/>
      </c>
      <c r="F67" s="86" t="n"/>
    </row>
    <row r="68" ht="15" customHeight="1">
      <c r="A68" s="27" t="n">
        <v>0.3</v>
      </c>
      <c r="B68" s="15">
        <f>IF((((1-$A68)*(P_Base*'Fund Economics'!B12+P_Bull*'Fund Economics'!C12+P_Bear*'Fund Economics'!D12)/(P_Base+P_Bull+P_Bear)+$A68*'Fund Economics'!E12)/IQT_Committed)&lt;=0,-1,(((1-$A68)*(P_Base*'Fund Economics'!B12+P_Bull*'Fund Economics'!C12+P_Bear*'Fund Economics'!D12)/(P_Base+P_Bull+P_Bear)+$A68*'Fund Economics'!E12)/IQT_Committed)^(1/Hold_Short)-1)</f>
        <v>0.18792109420837977</v>
      </c>
      <c r="C68" s="15">
        <f>IF((((1-$A68)*(P_Base*'Fund Economics'!B28+P_Bull*'Fund Economics'!C28+P_Bear*'Fund Economics'!D28)/(P_Base+P_Bull+P_Bear)+$A68*'Fund Economics'!E28)/IQT_Committed)&lt;=0,-1,(((1-$A68)*(P_Base*'Fund Economics'!B28+P_Bull*'Fund Economics'!C28+P_Bear*'Fund Economics'!D28)/(P_Base+P_Bull+P_Bear)+$A68*'Fund Economics'!E28)/IQT_Committed)^(1/Hold_Mid)-1)</f>
        <v>0.2007856763382052</v>
      </c>
      <c r="D68" s="15">
        <f>IF((((1-$A68)*(P_Base*'Fund Economics'!B44+P_Bull*'Fund Economics'!C44+P_Bear*'Fund Economics'!D44)/(P_Base+P_Bull+P_Bear)+$A68*'Fund Economics'!E44)/IQT_Committed)&lt;=0,-1,(((1-$A68)*(P_Base*'Fund Economics'!B44+P_Bull*'Fund Economics'!C44+P_Bear*'Fund Economics'!D44)/(P_Base+P_Bull+P_Bear)+$A68*'Fund Economics'!E44)/IQT_Committed)^(1/Hold_Long)-1)</f>
        <v>0.21652176903785647</v>
      </c>
      <c r="E68" s="42" t="str">
        <f>IF(ABS($A68-P_Shock)&lt;0.0001,"current base case","")</f>
        <v/>
      </c>
      <c r="F68" s="86" t="n"/>
    </row>
    <row r="69" ht="15" customHeight="1">
      <c r="A69" s="27" t="n">
        <v>0.4</v>
      </c>
      <c r="B69" s="15">
        <f>IF((((1-$A69)*(P_Base*'Fund Economics'!B12+P_Bull*'Fund Economics'!C12+P_Bear*'Fund Economics'!D12)/(P_Base+P_Bull+P_Bear)+$A69*'Fund Economics'!E12)/IQT_Committed)&lt;=0,-1,(((1-$A69)*(P_Base*'Fund Economics'!B12+P_Bull*'Fund Economics'!C12+P_Bear*'Fund Economics'!D12)/(P_Base+P_Bull+P_Bear)+$A69*'Fund Economics'!E12)/IQT_Committed)^(1/Hold_Short)-1)</f>
        <v>0.1985970410419129</v>
      </c>
      <c r="C69" s="15">
        <f>IF((((1-$A69)*(P_Base*'Fund Economics'!B28+P_Bull*'Fund Economics'!C28+P_Bear*'Fund Economics'!D28)/(P_Base+P_Bull+P_Bear)+$A69*'Fund Economics'!E28)/IQT_Committed)&lt;=0,-1,(((1-$A69)*(P_Base*'Fund Economics'!B28+P_Bull*'Fund Economics'!C28+P_Bear*'Fund Economics'!D28)/(P_Base+P_Bull+P_Bear)+$A69*'Fund Economics'!E28)/IQT_Committed)^(1/Hold_Mid)-1)</f>
        <v>0.21099841501397498</v>
      </c>
      <c r="D69" s="15">
        <f>IF((((1-$A69)*(P_Base*'Fund Economics'!B44+P_Bull*'Fund Economics'!C44+P_Bear*'Fund Economics'!D44)/(P_Base+P_Bull+P_Bear)+$A69*'Fund Economics'!E44)/IQT_Committed)&lt;=0,-1,(((1-$A69)*(P_Base*'Fund Economics'!B44+P_Bull*'Fund Economics'!C44+P_Bear*'Fund Economics'!D44)/(P_Base+P_Bull+P_Bear)+$A69*'Fund Economics'!E44)/IQT_Committed)^(1/Hold_Long)-1)</f>
        <v>0.22613771496596824</v>
      </c>
      <c r="E69" s="42" t="str">
        <f>IF(ABS($A69-P_Shock)&lt;0.0001,"current base case","")</f>
        <v/>
      </c>
      <c r="F69" s="86" t="n"/>
    </row>
    <row r="70"/>
    <row r="71"/>
    <row r="72">
      <c r="A72" s="138" t="inlineStr">
        <is>
          <t>TOTAL HOLDCO ($840M) — DPI &amp; PME BY HOLD (Expected, probability-weighted)</t>
        </is>
      </c>
      <c r="B72" s="138" t="n"/>
      <c r="C72" s="138" t="n"/>
      <c r="D72" s="138" t="n"/>
      <c r="E72" s="138" t="n"/>
      <c r="F72" s="138" t="n"/>
    </row>
    <row r="73">
      <c r="A73" s="147" t="inlineStr">
        <is>
          <t>Metric</t>
        </is>
      </c>
      <c r="B73" s="147" t="str">
        <f>Hold_Short&amp;"-yr"</f>
        <v>5-yr</v>
      </c>
      <c r="C73" s="147" t="str">
        <f>Hold_Mid&amp;"-yr"</f>
        <v>7-yr</v>
      </c>
      <c r="D73" s="147" t="str">
        <f>Hold_Long&amp;"-yr"</f>
        <v>10-yr</v>
      </c>
    </row>
    <row r="74">
      <c r="A74" s="141" t="inlineStr">
        <is>
          <t>Net MOIC</t>
        </is>
      </c>
      <c r="B74" s="161">
        <f>'Holdco Summary'!F38</f>
        <v>2.322628232967559</v>
      </c>
      <c r="C74" s="161">
        <f>'Holdco Summary'!F59</f>
        <v>3.5563369736756427</v>
      </c>
      <c r="D74" s="161">
        <f>'Holdco Summary'!F80</f>
        <v>7.233873885302865</v>
      </c>
    </row>
    <row r="75">
      <c r="A75" s="141" t="inlineStr">
        <is>
          <t>Net DPI (=TVPI at exit)</t>
        </is>
      </c>
      <c r="B75" s="161">
        <f>'Holdco Summary'!F39</f>
        <v>2.322628232967559</v>
      </c>
      <c r="C75" s="161">
        <f>'Holdco Summary'!F60</f>
        <v>3.5563369736756427</v>
      </c>
      <c r="D75" s="161">
        <f>'Holdco Summary'!F81</f>
        <v>7.233873885302865</v>
      </c>
    </row>
    <row r="76">
      <c r="A76" s="141" t="inlineStr">
        <is>
          <t>Net IRR</t>
        </is>
      </c>
      <c r="B76" s="149">
        <f>'Holdco Summary'!F40</f>
        <v>0.18357542772384994</v>
      </c>
      <c r="C76" s="149">
        <f>'Holdco Summary'!F61</f>
        <v>0.19871157976278053</v>
      </c>
      <c r="D76" s="149">
        <f>'Holdco Summary'!F82</f>
        <v>0.21881304348201125</v>
      </c>
    </row>
    <row r="77">
      <c r="A77" s="163" t="inlineStr">
        <is>
          <t>Net KS-PME vs SPX</t>
        </is>
      </c>
      <c r="B77" s="164">
        <f>'Holdco Summary'!F41</f>
        <v>1.5095489873082817</v>
      </c>
      <c r="C77" s="164">
        <f>'Holdco Summary'!F62</f>
        <v>1.9454381108030232</v>
      </c>
      <c r="D77" s="164">
        <f>'Holdco Summary'!F83</f>
        <v>3.055666504872435</v>
      </c>
    </row>
    <row r="78">
      <c r="A78" s="163" t="inlineStr">
        <is>
          <t>Net KS-PME vs NDX</t>
        </is>
      </c>
      <c r="B78" s="164">
        <f>'Holdco Summary'!F42</f>
        <v>1.2606295510759846</v>
      </c>
      <c r="C78" s="164">
        <f>'Holdco Summary'!F63</f>
        <v>1.511658883408775</v>
      </c>
      <c r="D78" s="164">
        <f>'Holdco Summary'!F84</f>
        <v>2.131014958424088</v>
      </c>
    </row>
    <row r="79">
      <c r="A79" s="163" t="inlineStr">
        <is>
          <t>Net KS-PME vs Defense+Semis basket</t>
        </is>
      </c>
      <c r="B79" s="164">
        <f>'Holdco Summary'!F43</f>
        <v>1.1547567221784467</v>
      </c>
      <c r="C79" s="164">
        <f>'Holdco Summary'!F64</f>
        <v>1.3369587948526704</v>
      </c>
      <c r="D79" s="164">
        <f>'Holdco Summary'!F85</f>
        <v>1.7881029904612287</v>
      </c>
    </row>
    <row r="80">
      <c r="A80" s="141" t="inlineStr">
        <is>
          <t>Direct Alpha vs basket (ann.)</t>
        </is>
      </c>
      <c r="B80" s="150">
        <f>'Holdco Summary'!F44</f>
        <v>0.029196024107695617</v>
      </c>
      <c r="C80" s="150">
        <f>'Holdco Summary'!F65</f>
        <v>0.04235789544589608</v>
      </c>
      <c r="D80" s="150">
        <f>'Holdco Summary'!F86</f>
        <v>0.059837429114792506</v>
      </c>
    </row>
    <row r="81">
      <c r="A81" s="142" t="inlineStr">
        <is>
          <t>Direct Alpha vs SPX (ann.)</t>
        </is>
      </c>
      <c r="B81" s="151">
        <f>B77^(1/Hold_Short)-1</f>
        <v>0.08584901626041286</v>
      </c>
      <c r="C81" s="151">
        <f>C77^(1/Hold_Mid)-1</f>
        <v>0.09973539427778011</v>
      </c>
      <c r="D81" s="151">
        <f>D77^(1/Hold_Long)-1</f>
        <v>0.11817710411193683</v>
      </c>
    </row>
    <row r="82">
      <c r="A82" s="140" t="inlineStr">
        <is>
          <t>Links to Holdco Summary roll-ups (rows 38-44 / 59-65 / 80-86). Holdco = IQT-mirror + Weapons + Consumer/Value, 2%/8%/20% on $840M.</t>
        </is>
      </c>
    </row>
    <row r="83"/>
    <row r="84">
      <c r="A84" s="139" t="inlineStr">
        <is>
          <t>TOTAL HOLDCO ($840M) — TSMC-SHOCK PROBABILITY PRESSURE TEST</t>
        </is>
      </c>
      <c r="B84" s="139" t="n"/>
      <c r="C84" s="139" t="n"/>
      <c r="D84" s="139" t="n"/>
      <c r="E84" s="139" t="n"/>
      <c r="F84" s="139" t="n"/>
    </row>
    <row r="85">
      <c r="A85" s="140" t="inlineStr">
        <is>
          <t>Expected holdco Net IRR to LP as the TSMC-Shock probability varies (all three sleeves). Base/Bull/Bear keep their current relative weights; shock takes the remainder.</t>
        </is>
      </c>
    </row>
    <row r="86">
      <c r="A86" s="147" t="inlineStr">
        <is>
          <t>Shock probability</t>
        </is>
      </c>
      <c r="B86" s="147" t="str">
        <f>Hold_Short&amp;"-yr Net IRR"</f>
        <v>5-yr Net IRR</v>
      </c>
      <c r="C86" s="147" t="str">
        <f>Hold_Mid&amp;"-yr Net IRR"</f>
        <v>7-yr Net IRR</v>
      </c>
      <c r="D86" s="147" t="str">
        <f>Hold_Long&amp;"-yr Net IRR"</f>
        <v>10-yr Net IRR</v>
      </c>
      <c r="E86" s="147" t="inlineStr">
        <is>
          <t>Note</t>
        </is>
      </c>
    </row>
    <row r="87">
      <c r="A87" s="143" t="n">
        <v>0</v>
      </c>
      <c r="B87" s="152">
        <f>IF((((1-$A87)*(P_Base*'Holdco Summary'!B37+P_Bull*'Holdco Summary'!C37+P_Bear*'Holdco Summary'!D37)/(P_Base+P_Bull+P_Bear)+$A87*'Holdco Summary'!E37)/Holdco_Size)&lt;=0,-1,(((1-$A87)*(P_Base*'Holdco Summary'!B37+P_Bull*'Holdco Summary'!C37+P_Bear*'Holdco Summary'!D37)/(P_Base+P_Bull+P_Bear)+$A87*'Holdco Summary'!E37)/Holdco_Size)^(1/Hold_Short)-1)</f>
        <v>0.17785797449460006</v>
      </c>
      <c r="C87" s="152">
        <f>IF((((1-$A87)*(P_Base*'Holdco Summary'!B58+P_Bull*'Holdco Summary'!C58+P_Bear*'Holdco Summary'!D58)/(P_Base+P_Bull+P_Bear)+$A87*'Holdco Summary'!E58)/Holdco_Size)&lt;=0,-1,(((1-$A87)*(P_Base*'Holdco Summary'!B58+P_Bull*'Holdco Summary'!C58+P_Bear*'Holdco Summary'!D58)/(P_Base+P_Bull+P_Bear)+$A87*'Holdco Summary'!E58)/Holdco_Size)^(1/Hold_Mid)-1)</f>
        <v>0.19183462225025938</v>
      </c>
      <c r="D87" s="152">
        <f>IF((((1-$A87)*(P_Base*'Holdco Summary'!B79+P_Bull*'Holdco Summary'!C79+P_Bear*'Holdco Summary'!D79)/(P_Base+P_Bull+P_Bear)+$A87*'Holdco Summary'!E79)/Holdco_Size)&lt;=0,-1,(((1-$A87)*(P_Base*'Holdco Summary'!B79+P_Bull*'Holdco Summary'!C79+P_Bear*'Holdco Summary'!D79)/(P_Base+P_Bull+P_Bear)+$A87*'Holdco Summary'!E79)/Holdco_Size)^(1/Hold_Long)-1)</f>
        <v>0.21089608841396168</v>
      </c>
      <c r="E87" s="144" t="inlineStr">
        <is>
          <t>shock excluded</t>
        </is>
      </c>
    </row>
    <row r="88">
      <c r="A88" s="143" t="n">
        <v>0.05</v>
      </c>
      <c r="B88" s="152">
        <f>IF((((1-$A88)*(P_Base*'Holdco Summary'!B37+P_Bull*'Holdco Summary'!C37+P_Bear*'Holdco Summary'!D37)/(P_Base+P_Bull+P_Bear)+$A88*'Holdco Summary'!E37)/Holdco_Size)&lt;=0,-1,(((1-$A88)*(P_Base*'Holdco Summary'!B37+P_Bull*'Holdco Summary'!C37+P_Bear*'Holdco Summary'!D37)/(P_Base+P_Bull+P_Bear)+$A88*'Holdco Summary'!E37)/Holdco_Size)^(1/Hold_Short)-1)</f>
        <v>0.17977612673004018</v>
      </c>
      <c r="C88" s="152">
        <f>IF((((1-$A88)*(P_Base*'Holdco Summary'!B58+P_Bull*'Holdco Summary'!C58+P_Bear*'Holdco Summary'!D58)/(P_Base+P_Bull+P_Bear)+$A88*'Holdco Summary'!E58)/Holdco_Size)&lt;=0,-1,(((1-$A88)*(P_Base*'Holdco Summary'!B58+P_Bull*'Holdco Summary'!C58+P_Bear*'Holdco Summary'!D58)/(P_Base+P_Bull+P_Bear)+$A88*'Holdco Summary'!E58)/Holdco_Size)^(1/Hold_Mid)-1)</f>
        <v>0.1941534274774641</v>
      </c>
      <c r="D88" s="152">
        <f>IF((((1-$A88)*(P_Base*'Holdco Summary'!B79+P_Bull*'Holdco Summary'!C79+P_Bear*'Holdco Summary'!D79)/(P_Base+P_Bull+P_Bear)+$A88*'Holdco Summary'!E79)/Holdco_Size)&lt;=0,-1,(((1-$A88)*(P_Base*'Holdco Summary'!B79+P_Bull*'Holdco Summary'!C79+P_Bear*'Holdco Summary'!D79)/(P_Base+P_Bull+P_Bear)+$A88*'Holdco Summary'!E79)/Holdco_Size)^(1/Hold_Long)-1)</f>
        <v>0.2135870156304096</v>
      </c>
      <c r="E88" s="144" t="str">
        <f>IF(ABS($A88-P_Shock)&lt;0.0001,"current base case","")</f>
        <v/>
      </c>
    </row>
    <row r="89">
      <c r="A89" s="143" t="n">
        <v>0.1</v>
      </c>
      <c r="B89" s="152">
        <f>IF((((1-$A89)*(P_Base*'Holdco Summary'!B37+P_Bull*'Holdco Summary'!C37+P_Bear*'Holdco Summary'!D37)/(P_Base+P_Bull+P_Bear)+$A89*'Holdco Summary'!E37)/Holdco_Size)&lt;=0,-1,(((1-$A89)*(P_Base*'Holdco Summary'!B37+P_Bull*'Holdco Summary'!C37+P_Bear*'Holdco Summary'!D37)/(P_Base+P_Bull+P_Bear)+$A89*'Holdco Summary'!E37)/Holdco_Size)^(1/Hold_Short)-1)</f>
        <v>0.18168188489105952</v>
      </c>
      <c r="C89" s="152">
        <f>IF((((1-$A89)*(P_Base*'Holdco Summary'!B58+P_Bull*'Holdco Summary'!C58+P_Bear*'Holdco Summary'!D58)/(P_Base+P_Bull+P_Bear)+$A89*'Holdco Summary'!E58)/Holdco_Size)&lt;=0,-1,(((1-$A89)*(P_Base*'Holdco Summary'!B58+P_Bull*'Holdco Summary'!C58+P_Bear*'Holdco Summary'!D58)/(P_Base+P_Bull+P_Bear)+$A89*'Holdco Summary'!E58)/Holdco_Size)^(1/Hold_Mid)-1)</f>
        <v>0.1964455274635175</v>
      </c>
      <c r="D89" s="152">
        <f>IF((((1-$A89)*(P_Base*'Holdco Summary'!B79+P_Bull*'Holdco Summary'!C79+P_Bear*'Holdco Summary'!D79)/(P_Base+P_Bull+P_Bear)+$A89*'Holdco Summary'!E79)/Holdco_Size)&lt;=0,-1,(((1-$A89)*(P_Base*'Holdco Summary'!B79+P_Bull*'Holdco Summary'!C79+P_Bear*'Holdco Summary'!D79)/(P_Base+P_Bull+P_Bear)+$A89*'Holdco Summary'!E79)/Holdco_Size)^(1/Hold_Long)-1)</f>
        <v>0.21622529108993316</v>
      </c>
      <c r="E89" s="144" t="str">
        <f>IF(ABS($A89-P_Shock)&lt;0.0001,"current base case","")</f>
        <v/>
      </c>
    </row>
    <row r="90">
      <c r="A90" s="143" t="n">
        <v>0.15</v>
      </c>
      <c r="B90" s="152">
        <f>IF((((1-$A90)*(P_Base*'Holdco Summary'!B37+P_Bull*'Holdco Summary'!C37+P_Bear*'Holdco Summary'!D37)/(P_Base+P_Bull+P_Bear)+$A90*'Holdco Summary'!E37)/Holdco_Size)&lt;=0,-1,(((1-$A90)*(P_Base*'Holdco Summary'!B37+P_Bull*'Holdco Summary'!C37+P_Bear*'Holdco Summary'!D37)/(P_Base+P_Bull+P_Bear)+$A90*'Holdco Summary'!E37)/Holdco_Size)^(1/Hold_Short)-1)</f>
        <v>0.18357542772384994</v>
      </c>
      <c r="C90" s="152">
        <f>IF((((1-$A90)*(P_Base*'Holdco Summary'!B58+P_Bull*'Holdco Summary'!C58+P_Bear*'Holdco Summary'!D58)/(P_Base+P_Bull+P_Bear)+$A90*'Holdco Summary'!E58)/Holdco_Size)&lt;=0,-1,(((1-$A90)*(P_Base*'Holdco Summary'!B58+P_Bull*'Holdco Summary'!C58+P_Bear*'Holdco Summary'!D58)/(P_Base+P_Bull+P_Bear)+$A90*'Holdco Summary'!E58)/Holdco_Size)^(1/Hold_Mid)-1)</f>
        <v>0.19871157976278053</v>
      </c>
      <c r="D90" s="152">
        <f>IF((((1-$A90)*(P_Base*'Holdco Summary'!B79+P_Bull*'Holdco Summary'!C79+P_Bear*'Holdco Summary'!D79)/(P_Base+P_Bull+P_Bear)+$A90*'Holdco Summary'!E79)/Holdco_Size)&lt;=0,-1,(((1-$A90)*(P_Base*'Holdco Summary'!B79+P_Bull*'Holdco Summary'!C79+P_Bear*'Holdco Summary'!D79)/(P_Base+P_Bull+P_Bear)+$A90*'Holdco Summary'!E79)/Holdco_Size)^(1/Hold_Long)-1)</f>
        <v>0.21881304348201125</v>
      </c>
      <c r="E90" s="144" t="str">
        <f>IF(ABS($A90-P_Shock)&lt;0.0001,"current base case","")</f>
        <v>current base case</v>
      </c>
    </row>
    <row r="91">
      <c r="A91" s="143" t="n">
        <v>0.2</v>
      </c>
      <c r="B91" s="152">
        <f>IF((((1-$A91)*(P_Base*'Holdco Summary'!B37+P_Bull*'Holdco Summary'!C37+P_Bear*'Holdco Summary'!D37)/(P_Base+P_Bull+P_Bear)+$A91*'Holdco Summary'!E37)/Holdco_Size)&lt;=0,-1,(((1-$A91)*(P_Base*'Holdco Summary'!B37+P_Bull*'Holdco Summary'!C37+P_Bear*'Holdco Summary'!D37)/(P_Base+P_Bull+P_Bear)+$A91*'Holdco Summary'!E37)/Holdco_Size)^(1/Hold_Short)-1)</f>
        <v>0.18545692999644658</v>
      </c>
      <c r="C91" s="152">
        <f>IF((((1-$A91)*(P_Base*'Holdco Summary'!B58+P_Bull*'Holdco Summary'!C58+P_Bear*'Holdco Summary'!D58)/(P_Base+P_Bull+P_Bear)+$A91*'Holdco Summary'!E58)/Holdco_Size)&lt;=0,-1,(((1-$A91)*(P_Base*'Holdco Summary'!B58+P_Bull*'Holdco Summary'!C58+P_Bear*'Holdco Summary'!D58)/(P_Base+P_Bull+P_Bear)+$A91*'Holdco Summary'!E58)/Holdco_Size)^(1/Hold_Mid)-1)</f>
        <v>0.20095221734630453</v>
      </c>
      <c r="D91" s="152">
        <f>IF((((1-$A91)*(P_Base*'Holdco Summary'!B79+P_Bull*'Holdco Summary'!C79+P_Bear*'Holdco Summary'!D79)/(P_Base+P_Bull+P_Bear)+$A91*'Holdco Summary'!E79)/Holdco_Size)&lt;=0,-1,(((1-$A91)*(P_Base*'Holdco Summary'!B79+P_Bull*'Holdco Summary'!C79+P_Bear*'Holdco Summary'!D79)/(P_Base+P_Bull+P_Bear)+$A91*'Holdco Summary'!E79)/Holdco_Size)^(1/Hold_Long)-1)</f>
        <v>0.22135227287000947</v>
      </c>
      <c r="E91" s="144" t="str">
        <f>IF(ABS($A91-P_Shock)&lt;0.0001,"current base case","")</f>
        <v/>
      </c>
    </row>
    <row r="92">
      <c r="A92" s="143" t="n">
        <v>0.25</v>
      </c>
      <c r="B92" s="152">
        <f>IF((((1-$A92)*(P_Base*'Holdco Summary'!B37+P_Bull*'Holdco Summary'!C37+P_Bear*'Holdco Summary'!D37)/(P_Base+P_Bull+P_Bear)+$A92*'Holdco Summary'!E37)/Holdco_Size)&lt;=0,-1,(((1-$A92)*(P_Base*'Holdco Summary'!B37+P_Bull*'Holdco Summary'!C37+P_Bear*'Holdco Summary'!D37)/(P_Base+P_Bull+P_Bear)+$A92*'Holdco Summary'!E37)/Holdco_Size)^(1/Hold_Short)-1)</f>
        <v>0.18732656261793745</v>
      </c>
      <c r="C92" s="152">
        <f>IF((((1-$A92)*(P_Base*'Holdco Summary'!B58+P_Bull*'Holdco Summary'!C58+P_Bear*'Holdco Summary'!D58)/(P_Base+P_Bull+P_Bear)+$A92*'Holdco Summary'!E58)/Holdco_Size)&lt;=0,-1,(((1-$A92)*(P_Base*'Holdco Summary'!B58+P_Bull*'Holdco Summary'!C58+P_Bear*'Holdco Summary'!D58)/(P_Base+P_Bull+P_Bear)+$A92*'Holdco Summary'!E58)/Holdco_Size)^(1/Hold_Mid)-1)</f>
        <v>0.20316804982657088</v>
      </c>
      <c r="D92" s="152">
        <f>IF((((1-$A92)*(P_Base*'Holdco Summary'!B79+P_Bull*'Holdco Summary'!C79+P_Bear*'Holdco Summary'!D79)/(P_Base+P_Bull+P_Bear)+$A92*'Holdco Summary'!E79)/Holdco_Size)&lt;=0,-1,(((1-$A92)*(P_Base*'Holdco Summary'!B79+P_Bull*'Holdco Summary'!C79+P_Bear*'Holdco Summary'!D79)/(P_Base+P_Bull+P_Bear)+$A92*'Holdco Summary'!E79)/Holdco_Size)^(1/Hold_Long)-1)</f>
        <v>0.22384486093054745</v>
      </c>
      <c r="E92" s="144" t="str">
        <f>IF(ABS($A92-P_Shock)&lt;0.0001,"current base case","")</f>
        <v/>
      </c>
    </row>
    <row r="93">
      <c r="A93" s="143" t="n">
        <v>0.3</v>
      </c>
      <c r="B93" s="152">
        <f>IF((((1-$A93)*(P_Base*'Holdco Summary'!B37+P_Bull*'Holdco Summary'!C37+P_Bear*'Holdco Summary'!D37)/(P_Base+P_Bull+P_Bear)+$A93*'Holdco Summary'!E37)/Holdco_Size)&lt;=0,-1,(((1-$A93)*(P_Base*'Holdco Summary'!B37+P_Bull*'Holdco Summary'!C37+P_Bear*'Holdco Summary'!D37)/(P_Base+P_Bull+P_Bear)+$A93*'Holdco Summary'!E37)/Holdco_Size)^(1/Hold_Short)-1)</f>
        <v>0.18918449275319804</v>
      </c>
      <c r="C93" s="152">
        <f>IF((((1-$A93)*(P_Base*'Holdco Summary'!B58+P_Bull*'Holdco Summary'!C58+P_Bear*'Holdco Summary'!D58)/(P_Base+P_Bull+P_Bear)+$A93*'Holdco Summary'!E58)/Holdco_Size)&lt;=0,-1,(((1-$A93)*(P_Base*'Holdco Summary'!B58+P_Bull*'Holdco Summary'!C58+P_Bear*'Holdco Summary'!D58)/(P_Base+P_Bull+P_Bear)+$A93*'Holdco Summary'!E58)/Holdco_Size)^(1/Hold_Mid)-1)</f>
        <v>0.205359664606374</v>
      </c>
      <c r="D93" s="152">
        <f>IF((((1-$A93)*(P_Base*'Holdco Summary'!B79+P_Bull*'Holdco Summary'!C79+P_Bear*'Holdco Summary'!D79)/(P_Base+P_Bull+P_Bear)+$A93*'Holdco Summary'!E79)/Holdco_Size)&lt;=0,-1,(((1-$A93)*(P_Base*'Holdco Summary'!B79+P_Bull*'Holdco Summary'!C79+P_Bear*'Holdco Summary'!D79)/(P_Base+P_Bull+P_Bear)+$A93*'Holdco Summary'!E79)/Holdco_Size)^(1/Hold_Long)-1)</f>
        <v>0.2262925801892004</v>
      </c>
      <c r="E93" s="144" t="str">
        <f>IF(ABS($A93-P_Shock)&lt;0.0001,"current base case","")</f>
        <v/>
      </c>
    </row>
    <row r="94">
      <c r="A94" s="145" t="n">
        <v>0.4</v>
      </c>
      <c r="B94" s="153">
        <f>IF((((1-$A94)*(P_Base*'Holdco Summary'!B37+P_Bull*'Holdco Summary'!C37+P_Bear*'Holdco Summary'!D37)/(P_Base+P_Bull+P_Bear)+$A94*'Holdco Summary'!E37)/Holdco_Size)&lt;=0,-1,(((1-$A94)*(P_Base*'Holdco Summary'!B37+P_Bull*'Holdco Summary'!C37+P_Bear*'Holdco Summary'!D37)/(P_Base+P_Bull+P_Bear)+$A94*'Holdco Summary'!E37)/Holdco_Size)^(1/Hold_Short)-1)</f>
        <v>0.19286589616213723</v>
      </c>
      <c r="C94" s="153">
        <f>IF((((1-$A94)*(P_Base*'Holdco Summary'!B58+P_Bull*'Holdco Summary'!C58+P_Bear*'Holdco Summary'!D58)/(P_Base+P_Bull+P_Bear)+$A94*'Holdco Summary'!E58)/Holdco_Size)&lt;=0,-1,(((1-$A94)*(P_Base*'Holdco Summary'!B58+P_Bull*'Holdco Summary'!C58+P_Bear*'Holdco Summary'!D58)/(P_Base+P_Bull+P_Bear)+$A94*'Holdco Summary'!E58)/Holdco_Size)^(1/Hold_Mid)-1)</f>
        <v>0.20967248603390765</v>
      </c>
      <c r="D94" s="153">
        <f>IF((((1-$A94)*(P_Base*'Holdco Summary'!B79+P_Bull*'Holdco Summary'!C79+P_Bear*'Holdco Summary'!D79)/(P_Base+P_Bull+P_Bear)+$A94*'Holdco Summary'!E79)/Holdco_Size)&lt;=0,-1,(((1-$A94)*(P_Base*'Holdco Summary'!B79+P_Bull*'Holdco Summary'!C79+P_Bear*'Holdco Summary'!D79)/(P_Base+P_Bull+P_Bear)+$A94*'Holdco Summary'!E79)/Holdco_Size)^(1/Hold_Long)-1)</f>
        <v>0.23106000595016196</v>
      </c>
      <c r="E94" s="146" t="str">
        <f>IF(ABS($A94-P_Shock)&lt;0.0001,"current base case","")</f>
        <v/>
      </c>
    </row>
    <row r="95"/>
    <row r="96"/>
    <row r="97">
      <c r="A97" s="137" t="inlineStr">
        <is>
          <t>WEAPONS BOOK SLEEVE ($390M) — DPI &amp; PME BY HOLD (Expected, probability-weighted)</t>
        </is>
      </c>
      <c r="B97" s="137" t="n"/>
      <c r="C97" s="137" t="n"/>
      <c r="D97" s="137" t="n"/>
      <c r="E97" s="137" t="n"/>
      <c r="F97" s="137" t="n"/>
    </row>
    <row r="98">
      <c r="A98" s="175" t="inlineStr">
        <is>
          <t>Gross = sleeve proceeds from Weapons Sleeve tab. Net = gross × holdco expected net/gross ratio (pro-rata allocation of carry + fees; fees/carry are charged at holdco level).</t>
        </is>
      </c>
    </row>
    <row r="99">
      <c r="A99" s="148" t="inlineStr">
        <is>
          <t>Metric</t>
        </is>
      </c>
      <c r="B99" s="148" t="str">
        <f>Hold_Short&amp;"-yr"</f>
        <v>5-yr</v>
      </c>
      <c r="C99" s="148" t="str">
        <f>Hold_Mid&amp;"-yr"</f>
        <v>7-yr</v>
      </c>
      <c r="D99" s="148" t="str">
        <f>Hold_Long&amp;"-yr"</f>
        <v>10-yr</v>
      </c>
    </row>
    <row r="100">
      <c r="A100" t="inlineStr">
        <is>
          <t>Hold period (yrs)</t>
        </is>
      </c>
      <c r="B100" s="241">
        <f>Hold_Short</f>
        <v>5</v>
      </c>
      <c r="C100" s="241">
        <f>Hold_Mid</f>
        <v>7</v>
      </c>
      <c r="D100" s="241">
        <f>Hold_Long</f>
        <v>10</v>
      </c>
    </row>
    <row r="101">
      <c r="A101" t="inlineStr">
        <is>
          <t>Capital committed ($M)</t>
        </is>
      </c>
      <c r="B101" s="154">
        <f>Wpn_Size</f>
        <v>390</v>
      </c>
      <c r="C101" s="154">
        <f>Wpn_Size</f>
        <v>390</v>
      </c>
      <c r="D101" s="154">
        <f>Wpn_Size</f>
        <v>390</v>
      </c>
    </row>
    <row r="102">
      <c r="A102" t="inlineStr">
        <is>
          <t>Expected gross proceeds ($M)</t>
        </is>
      </c>
      <c r="B102" s="154">
        <f>'Holdco Summary'!F29</f>
        <v>1106.629592099965</v>
      </c>
      <c r="C102" s="154">
        <f>'Holdco Summary'!F50</f>
        <v>1764.8532338104267</v>
      </c>
      <c r="D102" s="154">
        <f>'Holdco Summary'!F71</f>
        <v>3753.4344975263066</v>
      </c>
    </row>
    <row r="103">
      <c r="A103" t="inlineStr">
        <is>
          <t>Gross MOIC</t>
        </is>
      </c>
      <c r="B103" s="155">
        <f>B102/B101</f>
        <v>2.837511774615295</v>
      </c>
      <c r="C103" s="155">
        <f>C102/C101</f>
        <v>4.525264702078017</v>
      </c>
      <c r="D103" s="155">
        <f>D102/D101</f>
        <v>9.624191019298221</v>
      </c>
    </row>
    <row r="104">
      <c r="A104" t="inlineStr">
        <is>
          <t>Gross IRR</t>
        </is>
      </c>
      <c r="B104" s="156">
        <f>B103^(1/B$100)-1</f>
        <v>0.23193426393062455</v>
      </c>
      <c r="C104" s="156">
        <f>C103^(1/C$100)-1</f>
        <v>0.24069041436595517</v>
      </c>
      <c r="D104" s="156">
        <f>D103^(1/D$100)-1</f>
        <v>0.2541122887628453</v>
      </c>
    </row>
    <row r="105">
      <c r="A105" t="inlineStr">
        <is>
          <t>Net/gross allocation factor (holdco)</t>
        </is>
      </c>
      <c r="B105" s="157">
        <f>'Holdco Summary'!F37/'Holdco Summary'!F31</f>
        <v>0.8657221373501299</v>
      </c>
      <c r="C105" s="157">
        <f>'Holdco Summary'!F58/'Holdco Summary'!F52</f>
        <v>0.8419974188682992</v>
      </c>
      <c r="D105" s="157">
        <f>'Holdco Summary'!F79/'Holdco Summary'!F73</f>
        <v>0.8219314324607102</v>
      </c>
    </row>
    <row r="106">
      <c r="A106" t="inlineStr">
        <is>
          <t>Allocated net proceeds to LP ($M)</t>
        </is>
      </c>
      <c r="B106" s="158">
        <f>B102*B105</f>
        <v>958.0337357276842</v>
      </c>
      <c r="C106" s="158">
        <f>C102*C105</f>
        <v>1486.0018675497502</v>
      </c>
      <c r="D106" s="158">
        <f>D102*D105</f>
        <v>3085.065793199243</v>
      </c>
    </row>
    <row r="107">
      <c r="A107" t="inlineStr">
        <is>
          <t>Net MOIC / DPI (=TVPI at exit)</t>
        </is>
      </c>
      <c r="B107" s="155">
        <f>B106/B101</f>
        <v>2.4564967582761135</v>
      </c>
      <c r="C107" s="155">
        <f>C106/C101</f>
        <v>3.810261198845513</v>
      </c>
      <c r="D107" s="155">
        <f>D106/D101</f>
        <v>7.9104251107672905</v>
      </c>
    </row>
    <row r="108">
      <c r="A108" t="inlineStr">
        <is>
          <t>Net IRR</t>
        </is>
      </c>
      <c r="B108" s="156">
        <f>B107^(1/B$100)-1</f>
        <v>0.1969148053826899</v>
      </c>
      <c r="C108" s="156">
        <f>C107^(1/C$100)-1</f>
        <v>0.2105801137388308</v>
      </c>
      <c r="D108" s="156">
        <f>D107^(1/D$100)-1</f>
        <v>0.22975892271249276</v>
      </c>
    </row>
    <row r="109">
      <c r="A109" s="165" t="inlineStr">
        <is>
          <t>Net KS-PME vs SPX</t>
        </is>
      </c>
      <c r="B109" s="166">
        <f>B107/(1+SPX_CAGR)^B$100</f>
        <v>1.5965543435437857</v>
      </c>
      <c r="C109" s="166">
        <f>C107/(1+SPX_CAGR)^C$100</f>
        <v>2.084343357566248</v>
      </c>
      <c r="D109" s="166">
        <f>D107/(1+SPX_CAGR)^D$100</f>
        <v>3.3414490539271298</v>
      </c>
    </row>
    <row r="110">
      <c r="A110" s="165" t="inlineStr">
        <is>
          <t>Net KS-PME vs NDX</t>
        </is>
      </c>
      <c r="B110" s="166">
        <f>B107/(1+NDX_CAGR)^B$100</f>
        <v>1.3332880233047961</v>
      </c>
      <c r="C110" s="166">
        <f>C107/(1+NDX_CAGR)^C$100</f>
        <v>1.6195920780222204</v>
      </c>
      <c r="D110" s="166">
        <f>D107/(1+NDX_CAGR)^D$100</f>
        <v>2.3303190663563593</v>
      </c>
    </row>
    <row r="111">
      <c r="A111" s="165" t="inlineStr">
        <is>
          <t>Net KS-PME vs Defense+Semis basket</t>
        </is>
      </c>
      <c r="B111" s="166">
        <f>B107/(1+Basket_CAGR)^B$100</f>
        <v>1.2213130385505504</v>
      </c>
      <c r="C111" s="166">
        <f>C107/(1+Basket_CAGR)^C$100</f>
        <v>1.4324183164277964</v>
      </c>
      <c r="D111" s="166">
        <f>D107/(1+Basket_CAGR)^D$100</f>
        <v>1.9553361063040409</v>
      </c>
    </row>
    <row r="112">
      <c r="A112" t="inlineStr">
        <is>
          <t>Direct Alpha vs basket (ann.)</t>
        </is>
      </c>
      <c r="B112" s="162">
        <f>B111^(1/B$100)-1</f>
        <v>0.04079548294146962</v>
      </c>
      <c r="C112" s="162">
        <f>C111^(1/C$100)-1</f>
        <v>0.052678359772896366</v>
      </c>
      <c r="D112" s="162">
        <f>D111^(1/D$100)-1</f>
        <v>0.06935558496738503</v>
      </c>
    </row>
    <row r="113">
      <c r="A113" t="inlineStr">
        <is>
          <t>Direct Alpha vs SPX (ann.)</t>
        </is>
      </c>
      <c r="B113" s="162">
        <f>B109^(1/B$100)-1</f>
        <v>0.09808697741531192</v>
      </c>
      <c r="C113" s="162">
        <f>C109^(1/C$100)-1</f>
        <v>0.11062395755856014</v>
      </c>
      <c r="D113" s="162">
        <f>D109^(1/D$100)-1</f>
        <v>0.12821919514907587</v>
      </c>
    </row>
    <row r="114"/>
    <row r="115">
      <c r="A115" s="137" t="inlineStr">
        <is>
          <t>WEAPONS BOOK SLEEVE — 7-YR BY SCENARIO (Gross)</t>
        </is>
      </c>
      <c r="B115" s="137" t="n"/>
      <c r="C115" s="137" t="n"/>
      <c r="D115" s="137" t="n"/>
      <c r="E115" s="137" t="n"/>
      <c r="F115" s="137" t="n"/>
    </row>
    <row r="116">
      <c r="A116" s="148" t="inlineStr">
        <is>
          <t>Metric</t>
        </is>
      </c>
      <c r="B116" s="148" t="inlineStr">
        <is>
          <t>Base</t>
        </is>
      </c>
      <c r="C116" s="148" t="inlineStr">
        <is>
          <t>Bull</t>
        </is>
      </c>
      <c r="D116" s="148" t="inlineStr">
        <is>
          <t>Bear</t>
        </is>
      </c>
      <c r="E116" s="167" t="inlineStr">
        <is>
          <t>TSMC-Shock</t>
        </is>
      </c>
      <c r="F116" s="167" t="inlineStr">
        <is>
          <t>Expected</t>
        </is>
      </c>
    </row>
    <row r="117">
      <c r="A117" t="inlineStr">
        <is>
          <t>Scenario weight</t>
        </is>
      </c>
      <c r="B117" s="159">
        <f>'Defense Supercycle'!B17</f>
        <v>0.45</v>
      </c>
      <c r="C117" s="159">
        <f>'Defense Supercycle'!B18</f>
        <v>0.25</v>
      </c>
      <c r="D117" s="159">
        <f>'Defense Supercycle'!B19</f>
        <v>0.15</v>
      </c>
      <c r="E117" s="168">
        <f>'Defense Supercycle'!B20</f>
        <v>0.15</v>
      </c>
      <c r="F117" s="169">
        <f>SUM(B117:E117)</f>
        <v>1.0</v>
      </c>
    </row>
    <row r="118">
      <c r="A118" t="inlineStr">
        <is>
          <t>Gross proceeds ($M)</t>
        </is>
      </c>
      <c r="B118" s="154">
        <f>'Weapons Sleeve'!C48</f>
        <v>1335.6852599158549</v>
      </c>
      <c r="C118" s="154">
        <f>'Weapons Sleeve'!F48</f>
        <v>2734.307718959475</v>
      </c>
      <c r="D118" s="154">
        <f>'Weapons Sleeve'!I48</f>
        <v>463.7236831894512</v>
      </c>
      <c r="E118" s="170">
        <f>'Weapons Sleeve'!L48</f>
        <v>2737.7292308667043</v>
      </c>
      <c r="F118" s="171">
        <f>SUMPRODUCT(B117:E117,B118:E118)</f>
        <v>1764.8532338104267</v>
      </c>
    </row>
    <row r="119">
      <c r="A119" t="inlineStr">
        <is>
          <t>Gross MOIC</t>
        </is>
      </c>
      <c r="B119" s="160">
        <f>'Weapons Sleeve'!D48</f>
        <v>3.4248339997842434</v>
      </c>
      <c r="C119" s="160">
        <f>'Weapons Sleeve'!G48</f>
        <v>7.011045433229423</v>
      </c>
      <c r="D119" s="160">
        <f>'Weapons Sleeve'!J48</f>
        <v>1.1890350851011569</v>
      </c>
      <c r="E119" s="172">
        <f>'Weapons Sleeve'!M48</f>
        <v>7.019818540683857</v>
      </c>
      <c r="F119" s="173">
        <f>F118/'Weapons Sleeve'!B48</f>
        <v>4.525264702078017</v>
      </c>
    </row>
    <row r="120">
      <c r="A120" t="inlineStr">
        <is>
          <t>Gross IRR</t>
        </is>
      </c>
      <c r="B120" s="159">
        <f>'Weapons Sleeve'!E48</f>
        <v>0.19227675029385383</v>
      </c>
      <c r="C120" s="159">
        <f>'Weapons Sleeve'!H48</f>
        <v>0.3207667028848058</v>
      </c>
      <c r="D120" s="159">
        <f>'Weapons Sleeve'!K48</f>
        <v>0.025043027066785628</v>
      </c>
      <c r="E120" s="168">
        <f>'Weapons Sleeve'!N48</f>
        <v>0.32100267786161396</v>
      </c>
      <c r="F120" s="169">
        <f>F119^(1/$C$100)-1</f>
        <v>0.24069041436595517</v>
      </c>
    </row>
    <row r="121">
      <c r="A121" s="165" t="inlineStr">
        <is>
          <t>Gross KS-PME vs Defense+Semis basket</t>
        </is>
      </c>
      <c r="B121" s="166">
        <f>B119/(1+Basket_CAGR)^$C$100</f>
        <v>1.287521956106854</v>
      </c>
      <c r="C121" s="166">
        <f>C119/(1+Basket_CAGR)^$C$100</f>
        <v>2.635711666934586</v>
      </c>
      <c r="D121" s="166">
        <f>D119/(1+Basket_CAGR)^$C$100</f>
        <v>0.4470023302576314</v>
      </c>
      <c r="E121" s="166">
        <f>E119/(1+Basket_CAGR)^$C$100</f>
        <v>2.6390098029819327</v>
      </c>
      <c r="F121" s="166">
        <f>F119/(1+Basket_CAGR)^$C$100</f>
        <v>1.7012146169676652</v>
      </c>
    </row>
  </sheetData>
  <mergeCells count="2">
    <mergeCell ref="A9:F9"/>
    <mergeCell ref="A60:F60"/>
  </mergeCells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F29"/>
  <sheetViews>
    <sheetView showGridLines="0" tabSelected="0" zoomScale="90" zoomScaleNormal="10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8.6640625" defaultRowHeight="15"/>
  <cols>
    <col width="22" customWidth="1" min="1" max="1"/>
    <col width="12" customWidth="1" min="2" max="4"/>
    <col width="13" customWidth="1" min="5" max="6"/>
    <col width="2" customWidth="1" min="7" max="7"/>
  </cols>
  <sheetData>
    <row r="1" ht="18" customHeight="1">
      <c r="A1" s="9" t="inlineStr">
        <is>
          <t>IQT-MIRROR SLEEVE — SCENARIO SUMMARY</t>
        </is>
      </c>
      <c r="B1" s="177" t="n"/>
      <c r="C1" s="177" t="n"/>
      <c r="D1" s="177" t="n"/>
      <c r="E1" s="177" t="n"/>
      <c r="F1" s="177" t="n"/>
    </row>
    <row r="2" ht="15" customHeight="1">
      <c r="A2" s="180" t="inlineStr">
        <is>
          <t>IQT-mirror sleeve ($250M) net-to-LP across 5/7/10-yr vehicles, four cases + probability-weighted Expected. Holdco-level results are on the IC Summary / Holdco Summary tabs. Green links to Fund Economics.</t>
        </is>
      </c>
      <c r="B2" s="177" t="n"/>
      <c r="C2" s="177" t="n"/>
      <c r="D2" s="177" t="n"/>
      <c r="E2" s="177" t="n"/>
      <c r="F2" s="177" t="n"/>
    </row>
    <row r="3" ht="15" customHeight="1">
      <c r="A3" s="177" t="n"/>
      <c r="B3" s="177" t="n"/>
      <c r="C3" s="177" t="n"/>
      <c r="D3" s="177" t="n"/>
      <c r="E3" s="177" t="n"/>
      <c r="F3" s="177" t="n"/>
    </row>
    <row r="4" ht="15" customHeight="1">
      <c r="A4" s="28" t="inlineStr">
        <is>
          <t>NET IRR TO LP</t>
        </is>
      </c>
      <c r="B4" s="177" t="n"/>
      <c r="C4" s="177" t="n"/>
      <c r="D4" s="177" t="n"/>
      <c r="E4" s="177" t="n"/>
      <c r="F4" s="177" t="n"/>
    </row>
    <row r="5" ht="15" customHeight="1">
      <c r="A5" s="186" t="inlineStr">
        <is>
          <t>Vehicle</t>
        </is>
      </c>
      <c r="B5" s="186" t="inlineStr">
        <is>
          <t>Base</t>
        </is>
      </c>
      <c r="C5" s="186" t="inlineStr">
        <is>
          <t>Bull</t>
        </is>
      </c>
      <c r="D5" s="186" t="inlineStr">
        <is>
          <t>Bear</t>
        </is>
      </c>
      <c r="E5" s="21" t="inlineStr">
        <is>
          <t>TSMC-Shock</t>
        </is>
      </c>
      <c r="F5" s="29" t="inlineStr">
        <is>
          <t>Expected</t>
        </is>
      </c>
    </row>
    <row r="6" ht="15" customHeight="1">
      <c r="A6" s="89" t="str">
        <f>Hold_Short&amp;"-Year Hold"</f>
        <v>5-Year Hold</v>
      </c>
      <c r="B6" s="26">
        <f>'Fund Economics'!B16</f>
        <v>0.1492175692505382</v>
      </c>
      <c r="C6" s="26">
        <f>'Fund Economics'!C16</f>
        <v>0.2529405230598696</v>
      </c>
      <c r="D6" s="26">
        <f>'Fund Economics'!D16</f>
        <v>-0.1653039932407776</v>
      </c>
      <c r="E6" s="72">
        <f>'Fund Economics'!E16</f>
        <v>0.25579574901845725</v>
      </c>
      <c r="F6" s="90">
        <f>'Fund Economics'!F16</f>
        <v>0.1711498177436066</v>
      </c>
    </row>
    <row r="7" ht="15" customHeight="1">
      <c r="A7" s="89" t="str">
        <f>Hold_Mid&amp;"-Year Hold"</f>
        <v>7-Year Hold</v>
      </c>
      <c r="B7" s="26">
        <f>'Fund Economics'!B32</f>
        <v>0.1520129049646377</v>
      </c>
      <c r="C7" s="26">
        <f>'Fund Economics'!C32</f>
        <v>0.258253644559407</v>
      </c>
      <c r="D7" s="26">
        <f>'Fund Economics'!D32</f>
        <v>-0.17499437274931617</v>
      </c>
      <c r="E7" s="72">
        <f>'Fund Economics'!E32</f>
        <v>0.263424289157445</v>
      </c>
      <c r="F7" s="90">
        <f>'Fund Economics'!F32</f>
        <v>0.184415608120029</v>
      </c>
    </row>
    <row r="8" ht="15" customHeight="1">
      <c r="A8" s="89" t="str">
        <f>Hold_Long&amp;"-Year Hold"</f>
        <v>10-Year Hold</v>
      </c>
      <c r="B8" s="26">
        <f>'Fund Economics'!B48</f>
        <v>0.1561840098732863</v>
      </c>
      <c r="C8" s="26">
        <f>'Fund Economics'!C48</f>
        <v>0.2646533524821302</v>
      </c>
      <c r="D8" s="26">
        <f>'Fund Economics'!D48</f>
        <v>-0.20902863853914744</v>
      </c>
      <c r="E8" s="72">
        <f>'Fund Economics'!E48</f>
        <v>0.272929022562435</v>
      </c>
      <c r="F8" s="90">
        <f>'Fund Economics'!F48</f>
        <v>0.20067663957019932</v>
      </c>
    </row>
    <row r="9" ht="15" customHeight="1">
      <c r="A9" s="177" t="n"/>
      <c r="B9" s="177" t="n"/>
      <c r="C9" s="177" t="n"/>
      <c r="D9" s="177" t="n"/>
      <c r="E9" s="177" t="n"/>
      <c r="F9" s="177" t="n"/>
    </row>
    <row r="10" ht="15" customHeight="1">
      <c r="A10" s="177" t="n"/>
      <c r="B10" s="177" t="n"/>
      <c r="C10" s="177" t="n"/>
      <c r="D10" s="177" t="n"/>
      <c r="E10" s="177" t="n"/>
      <c r="F10" s="177" t="n"/>
    </row>
    <row r="11" ht="15" customHeight="1">
      <c r="A11" s="28" t="inlineStr">
        <is>
          <t>NET MOIC TO LP</t>
        </is>
      </c>
      <c r="B11" s="177" t="n"/>
      <c r="C11" s="177" t="n"/>
      <c r="D11" s="177" t="n"/>
      <c r="E11" s="177" t="n"/>
      <c r="F11" s="177" t="n"/>
    </row>
    <row r="12" ht="15" customHeight="1">
      <c r="A12" s="186" t="inlineStr">
        <is>
          <t>Vehicle</t>
        </is>
      </c>
      <c r="B12" s="186" t="inlineStr">
        <is>
          <t>Base</t>
        </is>
      </c>
      <c r="C12" s="186" t="inlineStr">
        <is>
          <t>Bull</t>
        </is>
      </c>
      <c r="D12" s="186" t="inlineStr">
        <is>
          <t>Bear</t>
        </is>
      </c>
      <c r="E12" s="21" t="inlineStr">
        <is>
          <t>TSMC-Shock</t>
        </is>
      </c>
      <c r="F12" s="29" t="inlineStr">
        <is>
          <t>Expected</t>
        </is>
      </c>
    </row>
    <row r="13" ht="15" customHeight="1">
      <c r="A13" s="89" t="str">
        <f>Hold_Short&amp;"-Year Hold"</f>
        <v>5-Year Hold</v>
      </c>
      <c r="B13" s="91">
        <f>'Fund Economics'!B14</f>
        <v>2.004524110576816</v>
      </c>
      <c r="C13" s="91">
        <f>'Fund Economics'!C14</f>
        <v>3.0878221475160164</v>
      </c>
      <c r="D13" s="91">
        <f>'Fund Economics'!D14</f>
        <v>0.40517410275635</v>
      </c>
      <c r="E13" s="92">
        <f>'Fund Economics'!E14</f>
        <v>3.1231658193606857</v>
      </c>
      <c r="F13" s="92">
        <f>'Fund Economics'!F14</f>
        <v>2.2032423749561265</v>
      </c>
    </row>
    <row r="14" ht="15" customHeight="1">
      <c r="A14" s="89" t="str">
        <f>Hold_Mid&amp;"-Year Hold"</f>
        <v>7-Year Hold</v>
      </c>
      <c r="B14" s="91">
        <f>'Fund Economics'!B30</f>
        <v>2.6927833224803277</v>
      </c>
      <c r="C14" s="91">
        <f>'Fund Economics'!C30</f>
        <v>4.993181802860899</v>
      </c>
      <c r="D14" s="91">
        <f>'Fund Economics'!D30</f>
        <v>0.2601347527744316</v>
      </c>
      <c r="E14" s="92">
        <f>'Fund Economics'!E30</f>
        <v>5.138596931630519</v>
      </c>
      <c r="F14" s="92">
        <f>'Fund Economics'!F30</f>
        <v>3.269857698492115</v>
      </c>
    </row>
    <row r="15" ht="15" customHeight="1">
      <c r="A15" s="89" t="str">
        <f>Hold_Long&amp;"-Year Hold"</f>
        <v>10-Year Hold</v>
      </c>
      <c r="B15" s="91">
        <f>'Fund Economics'!B46</f>
        <v>4.268443994529423</v>
      </c>
      <c r="C15" s="91">
        <f>'Fund Economics'!C46</f>
        <v>10.464416004235042</v>
      </c>
      <c r="D15" s="91">
        <f>'Fund Economics'!D46</f>
        <v>0.09585341576521506</v>
      </c>
      <c r="E15" s="92">
        <f>'Fund Economics'!E46</f>
        <v>11.169709659036629</v>
      </c>
      <c r="F15" s="92">
        <f>'Fund Economics'!F46</f>
        <v>6.226738259817277</v>
      </c>
    </row>
    <row r="16" ht="15" customHeight="1">
      <c r="A16" s="177" t="n"/>
      <c r="B16" s="177" t="n"/>
      <c r="C16" s="177" t="n"/>
      <c r="D16" s="177" t="n"/>
      <c r="E16" s="177" t="n"/>
      <c r="F16" s="177" t="n"/>
    </row>
    <row r="17" ht="15" customHeight="1">
      <c r="A17" s="177" t="n"/>
      <c r="B17" s="177" t="n"/>
      <c r="C17" s="177" t="n"/>
      <c r="D17" s="177" t="n"/>
      <c r="E17" s="177" t="n"/>
      <c r="F17" s="177" t="n"/>
    </row>
    <row r="18" ht="15" customHeight="1">
      <c r="A18" s="28" t="inlineStr">
        <is>
          <t>NET PROCEEDS TO LP ($M)</t>
        </is>
      </c>
      <c r="B18" s="177" t="n"/>
      <c r="C18" s="177" t="n"/>
      <c r="D18" s="177" t="n"/>
      <c r="E18" s="177" t="n"/>
      <c r="F18" s="177" t="n"/>
    </row>
    <row r="19" ht="15" customHeight="1">
      <c r="A19" s="186" t="inlineStr">
        <is>
          <t>Vehicle</t>
        </is>
      </c>
      <c r="B19" s="186" t="inlineStr">
        <is>
          <t>Base</t>
        </is>
      </c>
      <c r="C19" s="186" t="inlineStr">
        <is>
          <t>Bull</t>
        </is>
      </c>
      <c r="D19" s="186" t="inlineStr">
        <is>
          <t>Bear</t>
        </is>
      </c>
      <c r="E19" s="21" t="inlineStr">
        <is>
          <t>TSMC-Shock</t>
        </is>
      </c>
      <c r="F19" s="29" t="inlineStr">
        <is>
          <t>Expected</t>
        </is>
      </c>
    </row>
    <row r="20" ht="15" customHeight="1">
      <c r="A20" s="89" t="str">
        <f>Hold_Short&amp;"-Year Hold"</f>
        <v>5-Year Hold</v>
      </c>
      <c r="B20" s="93">
        <f>'Fund Economics'!B12</f>
        <v>501.131027644204</v>
      </c>
      <c r="C20" s="93">
        <f>'Fund Economics'!C12</f>
        <v>771.9555368790041</v>
      </c>
      <c r="D20" s="93">
        <f>'Fund Economics'!D12</f>
        <v>101.2935256890875</v>
      </c>
      <c r="E20" s="94">
        <f>'Fund Economics'!E12</f>
        <v>780.7914548401715</v>
      </c>
      <c r="F20" s="94">
        <f>'Fund Economics'!F12</f>
        <v>550.8105937390317</v>
      </c>
    </row>
    <row r="21" ht="15" customHeight="1">
      <c r="A21" s="89" t="str">
        <f>Hold_Mid&amp;"-Year Hold"</f>
        <v>7-Year Hold</v>
      </c>
      <c r="B21" s="93">
        <f>'Fund Economics'!B28</f>
        <v>673.1958306200819</v>
      </c>
      <c r="C21" s="93">
        <f>'Fund Economics'!C28</f>
        <v>1248.295450715225</v>
      </c>
      <c r="D21" s="93">
        <f>'Fund Economics'!D28</f>
        <v>65.0336881936079</v>
      </c>
      <c r="E21" s="94">
        <f>'Fund Economics'!E28</f>
        <v>1284.6492329076298</v>
      </c>
      <c r="F21" s="94">
        <f>'Fund Economics'!F28</f>
        <v>817.4644246230287</v>
      </c>
    </row>
    <row r="22" ht="15" customHeight="1">
      <c r="A22" s="89" t="str">
        <f>Hold_Long&amp;"-Year Hold"</f>
        <v>10-Year Hold</v>
      </c>
      <c r="B22" s="93">
        <f>'Fund Economics'!B44</f>
        <v>1067.1109986323556</v>
      </c>
      <c r="C22" s="93">
        <f>'Fund Economics'!C44</f>
        <v>2616.104001058761</v>
      </c>
      <c r="D22" s="93">
        <f>'Fund Economics'!D44</f>
        <v>23.963353941303765</v>
      </c>
      <c r="E22" s="94">
        <f>'Fund Economics'!E44</f>
        <v>2792.4274147591573</v>
      </c>
      <c r="F22" s="94">
        <f>'Fund Economics'!F44</f>
        <v>1556.6845649543193</v>
      </c>
    </row>
    <row r="23" ht="15" customHeight="1">
      <c r="A23" s="177" t="n"/>
      <c r="B23" s="177" t="n"/>
      <c r="C23" s="177" t="n"/>
      <c r="D23" s="177" t="n"/>
      <c r="E23" s="177" t="n"/>
      <c r="F23" s="177" t="n"/>
    </row>
    <row r="24" ht="15" customHeight="1">
      <c r="A24" s="177" t="n"/>
      <c r="B24" s="177" t="n"/>
      <c r="C24" s="177" t="n"/>
      <c r="D24" s="177" t="n"/>
      <c r="E24" s="177" t="n"/>
      <c r="F24" s="177" t="n"/>
    </row>
    <row r="25" ht="15" customHeight="1">
      <c r="A25" s="11" t="inlineStr">
        <is>
          <t>READ-THROUGH</t>
        </is>
      </c>
      <c r="B25" s="177" t="n"/>
      <c r="C25" s="177" t="n"/>
      <c r="D25" s="177" t="n"/>
      <c r="E25" s="177" t="n"/>
      <c r="F25" s="177" t="n"/>
    </row>
    <row r="26" ht="27.75" customHeight="1">
      <c r="A26" s="181" t="inlineStr">
        <is>
          <t>• Expected (prob-weighted) is the number to underwrite to; the four scenario columns show the distribution around it.</t>
        </is>
      </c>
    </row>
    <row r="27" ht="40.5" customHeight="1">
      <c r="A27" s="181" t="inlineStr">
        <is>
          <t>• TSMC-Shock is the convexity leg — it lifts Expected returns materially precisely because the book is overweight the US sovereign-chokepoint core (Substrate, EUV Tech, ThinTronics). Dial its probability on the Supercycle tab.</t>
        </is>
      </c>
    </row>
    <row r="28" ht="27.75" customHeight="1">
      <c r="A28" s="181" t="inlineStr">
        <is>
          <t>• Base still clears a mid-teens net IRR; Bear is cushioned by the rev-generating semis names; seed names approach write-off in Bear but are sized small.</t>
        </is>
      </c>
    </row>
    <row r="29" ht="27.75" customHeight="1">
      <c r="A29" s="187" t="str">
        <f>"• Recommended: "&amp;Hold_Mid&amp;"-year vehicle, base sizing, "&amp;TEXT(Assumptions!B7,"$#,##0")&amp;"M reserve steered to Substrate + EUV Tech + EdgeCortix pro-rata."</f>
        <v>• Recommended: 7-year vehicle, base sizing, $25M reserve steered to Substrate + EUV Tech + EdgeCortix pro-rata.</v>
      </c>
    </row>
  </sheetData>
  <mergeCells count="4">
    <mergeCell ref="A26:F26"/>
    <mergeCell ref="A29:F29"/>
    <mergeCell ref="A28:F28"/>
    <mergeCell ref="A27:F27"/>
  </mergeCells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N142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26" customWidth="1" min="9" max="9"/>
    <col width="18" customWidth="1" min="10" max="10"/>
    <col width="22" customWidth="1" min="11" max="11"/>
    <col width="11" customWidth="1" min="12" max="12"/>
    <col width="44" customWidth="1" min="13" max="13"/>
    <col width="12" customWidth="1" min="14" max="14"/>
  </cols>
  <sheetData>
    <row r="1">
      <c r="A1" s="197" t="inlineStr">
        <is>
          <t>FACT SHEET DATA — EVERY FIGURE ON THE EXTERNAL FACT SHEET, LIVE-LINKED</t>
        </is>
      </c>
    </row>
    <row r="2">
      <c r="A2" s="194" t="inlineStr">
        <is>
          <t>Green = link to the model. Blue = classification tags / descriptions used only by the fact sheet. Headline case = mid hold (recommended vehicle), probability-weighted Expected.</t>
        </is>
      </c>
    </row>
    <row r="3"/>
    <row r="4">
      <c r="A4" s="225" t="inlineStr">
        <is>
          <t>A | HOLDCO HEADLINE</t>
        </is>
      </c>
    </row>
    <row r="5">
      <c r="A5" s="200" t="inlineStr">
        <is>
          <t>Fund name</t>
        </is>
      </c>
      <c r="B5" s="242" t="inlineStr">
        <is>
          <t>Leviathan Core Private Equity Holdco</t>
        </is>
      </c>
    </row>
    <row r="6">
      <c r="A6" s="200" t="inlineStr">
        <is>
          <t>Short name</t>
        </is>
      </c>
      <c r="B6" s="242" t="inlineStr">
        <is>
          <t>LPEH</t>
        </is>
      </c>
    </row>
    <row r="7">
      <c r="A7" s="200" t="inlineStr">
        <is>
          <t>Figures as of</t>
        </is>
      </c>
      <c r="B7" s="242" t="inlineStr">
        <is>
          <t>22-Sep-2026</t>
        </is>
      </c>
    </row>
    <row r="8">
      <c r="A8" s="200" t="inlineStr">
        <is>
          <t>Fact sheet edition</t>
        </is>
      </c>
      <c r="B8" s="242" t="inlineStr">
        <is>
          <t>September 2026</t>
        </is>
      </c>
    </row>
    <row r="9">
      <c r="A9" s="200" t="inlineStr">
        <is>
          <t>Holdco committed capital ($M)</t>
        </is>
      </c>
      <c r="B9" s="243">
        <f>Holdco_Size</f>
        <v>840.0</v>
      </c>
    </row>
    <row r="10">
      <c r="A10" s="200" t="inlineStr">
        <is>
          <t>Number of sub-vehicles</t>
        </is>
      </c>
      <c r="B10" s="244">
        <f>COUNTA('Holdco Summary'!A6:A8)</f>
        <v>3</v>
      </c>
    </row>
    <row r="11">
      <c r="A11" s="200" t="inlineStr">
        <is>
          <t>Number of holdings</t>
        </is>
      </c>
      <c r="B11" s="244">
        <f>COUNTA(Assumptions!A18:A26)+COUNTA('Weapons Sleeve'!A12:A20)+COUNTA('Consumer Sleeve'!A12:A20)</f>
        <v>27.0</v>
      </c>
    </row>
    <row r="12">
      <c r="A12" s="200" t="inlineStr">
        <is>
          <t>Headline hold (yrs)</t>
        </is>
      </c>
      <c r="B12" s="244">
        <f>Hold_Mid</f>
        <v>7</v>
      </c>
    </row>
    <row r="13">
      <c r="A13" s="200" t="inlineStr">
        <is>
          <t>Expected net IRR (headline hold)</t>
        </is>
      </c>
      <c r="B13" s="216">
        <f>'Holdco Summary'!F61</f>
        <v>0.19871157976278053</v>
      </c>
    </row>
    <row r="14">
      <c r="A14" s="200" t="inlineStr">
        <is>
          <t>Expected net MOIC (headline hold)</t>
        </is>
      </c>
      <c r="B14" s="245">
        <f>'Holdco Summary'!F59</f>
        <v>3.5563369736756427</v>
      </c>
    </row>
    <row r="15">
      <c r="A15" s="200" t="inlineStr">
        <is>
          <t>Expected net DPI at exit (headline hold)</t>
        </is>
      </c>
      <c r="B15" s="245">
        <f>'Holdco Summary'!F60</f>
        <v>3.5563369736756427</v>
      </c>
    </row>
    <row r="16">
      <c r="A16" s="200" t="inlineStr">
        <is>
          <t>Base-case net IRR (headline hold)</t>
        </is>
      </c>
      <c r="B16" s="216">
        <f>'Holdco Summary'!B61</f>
        <v>0.16509984373594033</v>
      </c>
    </row>
    <row r="17">
      <c r="A17" s="200" t="inlineStr">
        <is>
          <t>Expected gross MOIC (headline hold)</t>
        </is>
      </c>
      <c r="B17" s="245">
        <f>'Holdco Summary'!F52/Holdco_Size</f>
        <v>4.223691063632472</v>
      </c>
    </row>
    <row r="18">
      <c r="A18" s="200" t="inlineStr">
        <is>
          <t>Expected net KS-PME vs S&amp;P 500</t>
        </is>
      </c>
      <c r="B18" s="245">
        <f>'Holdco Summary'!F62</f>
        <v>1.9454381108030232</v>
      </c>
    </row>
    <row r="19">
      <c r="A19" s="200" t="inlineStr">
        <is>
          <t>Expected net KS-PME vs Nasdaq-100</t>
        </is>
      </c>
      <c r="B19" s="245">
        <f>'Holdco Summary'!F63</f>
        <v>1.511658883408775</v>
      </c>
    </row>
    <row r="20">
      <c r="A20" s="200" t="inlineStr">
        <is>
          <t>Expected net KS-PME vs Defense+Semis basket</t>
        </is>
      </c>
      <c r="B20" s="245">
        <f>'Holdco Summary'!F64</f>
        <v>1.3369587948526704</v>
      </c>
    </row>
    <row r="21">
      <c r="A21" s="200" t="inlineStr">
        <is>
          <t>Expected Direct Alpha vs basket (ann.)</t>
        </is>
      </c>
      <c r="B21" s="216">
        <f>'Holdco Summary'!F65</f>
        <v>0.04235789544589608</v>
      </c>
    </row>
    <row r="22">
      <c r="A22" s="200" t="inlineStr">
        <is>
          <t>Scenarios modelled</t>
        </is>
      </c>
      <c r="B22" s="244">
        <f>COUNTA('Defense Supercycle'!A17:A20)</f>
        <v>4</v>
      </c>
    </row>
    <row r="23">
      <c r="A23" s="200" t="inlineStr">
        <is>
          <t>TSMC-Shock probability</t>
        </is>
      </c>
      <c r="B23" s="216">
        <f>P_Shock</f>
        <v>0.15</v>
      </c>
    </row>
    <row r="24"/>
    <row r="25">
      <c r="A25" s="225" t="str">
        <f>"B | SUB-VEHICLE SUMMARY — "&amp;Hold_Mid&amp;"-YEAR HOLD (headline)"</f>
        <v>B | SUB-VEHICLE SUMMARY — 7-YEAR HOLD (headline)</v>
      </c>
    </row>
    <row r="26">
      <c r="A26" s="198" t="inlineStr">
        <is>
          <t>Sub-vehicle</t>
        </is>
      </c>
      <c r="B26" s="198" t="inlineStr">
        <is>
          <t>Committed ($M)</t>
        </is>
      </c>
      <c r="C26" s="198" t="inlineStr">
        <is>
          <t>% of Holdco</t>
        </is>
      </c>
      <c r="D26" s="198" t="inlineStr">
        <is>
          <t>Holdings</t>
        </is>
      </c>
      <c r="E26" s="198" t="inlineStr">
        <is>
          <t>Gross MOIC (Base)</t>
        </is>
      </c>
      <c r="F26" s="198" t="inlineStr">
        <is>
          <t>Gross IRR (Base)</t>
        </is>
      </c>
      <c r="G26" s="198" t="inlineStr">
        <is>
          <t>Net IRR Base</t>
        </is>
      </c>
      <c r="H26" s="198" t="inlineStr">
        <is>
          <t>Net IRR Bull</t>
        </is>
      </c>
      <c r="I26" s="198" t="inlineStr">
        <is>
          <t>Net IRR Bear</t>
        </is>
      </c>
      <c r="J26" s="226" t="inlineStr">
        <is>
          <t>Net IRR Shock</t>
        </is>
      </c>
      <c r="K26" s="227" t="inlineStr">
        <is>
          <t>Net IRR Expected</t>
        </is>
      </c>
      <c r="L26" s="227" t="inlineStr">
        <is>
          <t>Net MOIC Expected</t>
        </is>
      </c>
      <c r="M26" s="227" t="inlineStr">
        <is>
          <t>Net KS-PME vs SPX (Exp.)</t>
        </is>
      </c>
      <c r="N26" s="198" t="inlineStr">
        <is>
          <t>Role</t>
        </is>
      </c>
    </row>
    <row r="27">
      <c r="A27" s="222" t="inlineStr">
        <is>
          <t>Defense (Weapons sleeve)</t>
        </is>
      </c>
      <c r="B27" s="243">
        <f>Wpn_Size</f>
        <v>390</v>
      </c>
      <c r="C27" s="208">
        <f>B27/Holdco_Size</f>
        <v>0.4642857142857143</v>
      </c>
      <c r="D27" s="244">
        <f>COUNTA('Weapons Sleeve'!A12:A20)</f>
        <v>9</v>
      </c>
      <c r="E27" s="245">
        <f>'Sleeve Economics'!H30</f>
        <v>3.4248339997842434</v>
      </c>
      <c r="F27" s="216">
        <f>'Sleeve Economics'!H32</f>
        <v>0.19227675029385383</v>
      </c>
      <c r="G27" s="216">
        <f>'Sleeve Economics'!H33</f>
        <v>0.16670828047176145</v>
      </c>
      <c r="H27" s="216">
        <f>'Sleeve Economics'!I33</f>
        <v>0.28583462112316216</v>
      </c>
      <c r="I27" s="216">
        <f>'Sleeve Economics'!J33</f>
        <v>0.0068621193386140256</v>
      </c>
      <c r="J27" s="215">
        <f>'Sleeve Economics'!K33</f>
        <v>0.28605634376109745</v>
      </c>
      <c r="K27" s="246">
        <f>'Sleeve Economics'!L33</f>
        <v>0.21044262037763972</v>
      </c>
      <c r="L27" s="247">
        <f>'Sleeve Economics'!L31</f>
        <v>3.8072329399079674</v>
      </c>
      <c r="M27" s="247">
        <f>'Sleeve Economics'!L34</f>
        <v>2.0826867962251576</v>
      </c>
      <c r="N27" s="248" t="str">
        <f>'Holdco Summary'!F7</f>
        <v>Cash-generative supercycle core</v>
      </c>
    </row>
    <row r="28">
      <c r="A28" s="222" t="inlineStr">
        <is>
          <t>IQT Semi / AI (IQT-mirror sleeve)</t>
        </is>
      </c>
      <c r="B28" s="243">
        <f>IQT_Size</f>
        <v>250</v>
      </c>
      <c r="C28" s="208">
        <f>B28/Holdco_Size</f>
        <v>0.2976190476190476</v>
      </c>
      <c r="D28" s="244">
        <f>COUNTA(Assumptions!A18:A26)</f>
        <v>9</v>
      </c>
      <c r="E28" s="245">
        <f>'Sleeve Economics'!B30</f>
        <v>3.1125230859055293</v>
      </c>
      <c r="F28" s="216">
        <f>'Sleeve Economics'!B32</f>
        <v>0.17610109541967134</v>
      </c>
      <c r="G28" s="216">
        <f>'Sleeve Economics'!B33</f>
        <v>0.1520129049646377</v>
      </c>
      <c r="H28" s="216">
        <f>'Sleeve Economics'!C33</f>
        <v>0.258253644559407</v>
      </c>
      <c r="I28" s="216">
        <f>'Sleeve Economics'!D33</f>
        <v>-0.17499437274931617</v>
      </c>
      <c r="J28" s="215">
        <f>'Sleeve Economics'!E33</f>
        <v>0.263424289157445</v>
      </c>
      <c r="K28" s="246">
        <f>'Sleeve Economics'!F33</f>
        <v>0.184415608120029</v>
      </c>
      <c r="L28" s="247">
        <f>'Sleeve Economics'!F31</f>
        <v>3.269857698492115</v>
      </c>
      <c r="M28" s="247">
        <f>'Sleeve Economics'!F34</f>
        <v>1.7887241368397413</v>
      </c>
      <c r="N28" s="248" t="str">
        <f>'Holdco Summary'!F6</f>
        <v>Convex optionality / tail hedge</v>
      </c>
    </row>
    <row r="29">
      <c r="A29" s="222" t="inlineStr">
        <is>
          <t>Consumer Discretionary (Consumer / Value sleeve)</t>
        </is>
      </c>
      <c r="B29" s="243">
        <f>Con_Size</f>
        <v>200</v>
      </c>
      <c r="C29" s="208">
        <f>B29/Holdco_Size</f>
        <v>0.23809523809523808</v>
      </c>
      <c r="D29" s="244">
        <f>COUNTA('Consumer Sleeve'!A12:A20)</f>
        <v>9</v>
      </c>
      <c r="E29" s="245">
        <f>'Sleeve Economics'!N30</f>
        <v>3.6667524560944025</v>
      </c>
      <c r="F29" s="216">
        <f>'Sleeve Economics'!N32</f>
        <v>0.20395888457793165</v>
      </c>
      <c r="G29" s="216">
        <f>'Sleeve Economics'!N33</f>
        <v>0.1773732518793214</v>
      </c>
      <c r="H29" s="216">
        <f>'Sleeve Economics'!O33</f>
        <v>0.32942484048459675</v>
      </c>
      <c r="I29" s="216">
        <f>'Sleeve Economics'!P33</f>
        <v>-0.05242135483054222</v>
      </c>
      <c r="J29" s="215">
        <f>'Sleeve Economics'!Q33</f>
        <v>-0.18357768845743994</v>
      </c>
      <c r="K29" s="246">
        <f>'Sleeve Economics'!R33</f>
        <v>0.19029718233676118</v>
      </c>
      <c r="L29" s="247">
        <f>'Sleeve Economics'!R31</f>
        <v>3.3852273328793303</v>
      </c>
      <c r="M29" s="247">
        <f>'Sleeve Economics'!R34</f>
        <v>1.8518352776646012</v>
      </c>
      <c r="N29" s="248" t="str">
        <f>'Holdco Summary'!F8</f>
        <v>Ballast + near-term DPI engine</v>
      </c>
    </row>
    <row r="30">
      <c r="A30" s="249" t="inlineStr">
        <is>
          <t>HOLDCO (cross-collateralised)</t>
        </is>
      </c>
      <c r="B30" s="250">
        <f>Holdco_Size</f>
        <v>840.0</v>
      </c>
      <c r="C30" s="240">
        <f>B30/Holdco_Size</f>
        <v>1.0</v>
      </c>
      <c r="D30" s="251">
        <f>SUM(D27:D29)</f>
        <v>27.0</v>
      </c>
      <c r="E30" s="252">
        <f>'Holdco Summary'!B52/Holdco_Size</f>
        <v>3.3894839554894256</v>
      </c>
      <c r="F30" s="240">
        <f>IF(E30&lt;=0,-1,E30^(1/Hold_Mid)-1)</f>
        <v>0.1905108804836635</v>
      </c>
      <c r="G30" s="253">
        <f>'Holdco Summary'!B61</f>
        <v>0.16509984373594033</v>
      </c>
      <c r="H30" s="253">
        <f>'Holdco Summary'!C61</f>
        <v>0.28959836332037137</v>
      </c>
      <c r="I30" s="253">
        <f>'Holdco Summary'!D61</f>
        <v>-0.04437516540221775</v>
      </c>
      <c r="J30" s="253">
        <f>'Holdco Summary'!E61</f>
        <v>0.23378366545587115</v>
      </c>
      <c r="K30" s="253">
        <f>'Holdco Summary'!F61</f>
        <v>0.19871157976278053</v>
      </c>
      <c r="L30" s="252">
        <f>'Holdco Summary'!F59</f>
        <v>3.5563369736756427</v>
      </c>
      <c r="M30" s="252">
        <f>'Holdco Summary'!F62</f>
        <v>1.9454381108030232</v>
      </c>
      <c r="N30" s="249" t="inlineStr">
        <is>
          <t>Tripartite barbell</t>
        </is>
      </c>
    </row>
    <row r="31"/>
    <row r="32">
      <c r="A32" s="225" t="inlineStr">
        <is>
          <t>C | HOLDCO SCENARIO GRID — NET TO LP</t>
        </is>
      </c>
    </row>
    <row r="33">
      <c r="A33" s="198" t="inlineStr">
        <is>
          <t>Metric / hold</t>
        </is>
      </c>
      <c r="B33" s="198" t="inlineStr">
        <is>
          <t>Base</t>
        </is>
      </c>
      <c r="C33" s="198" t="inlineStr">
        <is>
          <t>Bull</t>
        </is>
      </c>
      <c r="D33" s="198" t="inlineStr">
        <is>
          <t>Bear</t>
        </is>
      </c>
      <c r="E33" s="226" t="inlineStr">
        <is>
          <t>TSMC-Shock</t>
        </is>
      </c>
      <c r="F33" s="227" t="inlineStr">
        <is>
          <t>Expected</t>
        </is>
      </c>
    </row>
    <row r="34">
      <c r="A34" s="200" t="str">
        <f>"Net IRR — "&amp;Hold_Short&amp;"-yr hold"</f>
        <v>Net IRR — 5-yr hold</v>
      </c>
      <c r="B34" s="216">
        <f>'Holdco Summary'!B40</f>
        <v>0.16099973382536192</v>
      </c>
      <c r="C34" s="216">
        <f>'Holdco Summary'!C40</f>
        <v>0.2803238067474392</v>
      </c>
      <c r="D34" s="216">
        <f>'Holdco Summary'!D40</f>
        <v>-0.04735161352187878</v>
      </c>
      <c r="E34" s="215">
        <f>'Holdco Summary'!E40</f>
        <v>0.2140523306613249</v>
      </c>
      <c r="F34" s="246">
        <f>'Holdco Summary'!F40</f>
        <v>0.18357542772384994</v>
      </c>
    </row>
    <row r="35">
      <c r="A35" s="200" t="str">
        <f>"Net IRR — "&amp;Hold_Mid&amp;"-yr hold"</f>
        <v>Net IRR — 7-yr hold</v>
      </c>
      <c r="B35" s="216">
        <f>'Holdco Summary'!B61</f>
        <v>0.16509984373594033</v>
      </c>
      <c r="C35" s="216">
        <f>'Holdco Summary'!C61</f>
        <v>0.28959836332037137</v>
      </c>
      <c r="D35" s="216">
        <f>'Holdco Summary'!D61</f>
        <v>-0.04437516540221775</v>
      </c>
      <c r="E35" s="215">
        <f>'Holdco Summary'!E61</f>
        <v>0.23378366545587115</v>
      </c>
      <c r="F35" s="246">
        <f>'Holdco Summary'!F61</f>
        <v>0.19871157976278053</v>
      </c>
    </row>
    <row r="36">
      <c r="A36" s="200" t="str">
        <f>"Net IRR — "&amp;Hold_Long&amp;"-yr hold"</f>
        <v>Net IRR — 10-yr hold</v>
      </c>
      <c r="B36" s="216">
        <f>'Holdco Summary'!B82</f>
        <v>0.17091165877931425</v>
      </c>
      <c r="C36" s="216">
        <f>'Holdco Summary'!C82</f>
        <v>0.3012918528810544</v>
      </c>
      <c r="D36" s="216">
        <f>'Holdco Summary'!D82</f>
        <v>-0.03972222727774388</v>
      </c>
      <c r="E36" s="215">
        <f>'Holdco Summary'!E82</f>
        <v>0.2566415477041235</v>
      </c>
      <c r="F36" s="246">
        <f>'Holdco Summary'!F82</f>
        <v>0.21881304348201125</v>
      </c>
    </row>
    <row r="37">
      <c r="A37" s="200" t="str">
        <f>"Net MOIC — "&amp;Hold_Short&amp;"-yr hold"</f>
        <v>Net MOIC — 5-yr hold</v>
      </c>
      <c r="B37" s="245">
        <f>'Holdco Summary'!B38</f>
        <v>2.109408058771359</v>
      </c>
      <c r="C37" s="245">
        <f>'Holdco Summary'!C38</f>
        <v>3.440322096832419</v>
      </c>
      <c r="D37" s="245">
        <f>'Holdco Summary'!D38</f>
        <v>0.7846268779351523</v>
      </c>
      <c r="E37" s="254">
        <f>'Holdco Summary'!E38</f>
        <v>2.637467004147133</v>
      </c>
      <c r="F37" s="247">
        <f>'Holdco Summary'!F38</f>
        <v>2.322628232967559</v>
      </c>
    </row>
    <row r="38">
      <c r="A38" s="200" t="str">
        <f>"Net MOIC — "&amp;Hold_Mid&amp;"-yr hold"</f>
        <v>Net MOIC — 7-yr hold</v>
      </c>
      <c r="B38" s="245">
        <f>'Holdco Summary'!B59</f>
        <v>2.914352018147445</v>
      </c>
      <c r="C38" s="245">
        <f>'Holdco Summary'!C59</f>
        <v>5.931729157874702</v>
      </c>
      <c r="D38" s="245">
        <f>'Holdco Summary'!D59</f>
        <v>0.7277999025715617</v>
      </c>
      <c r="E38" s="254">
        <f>'Holdco Summary'!E59</f>
        <v>4.351841937699222</v>
      </c>
      <c r="F38" s="247">
        <f>'Holdco Summary'!F59</f>
        <v>3.5563369736756427</v>
      </c>
    </row>
    <row r="39">
      <c r="A39" s="200" t="str">
        <f>"Net MOIC — "&amp;Hold_Long&amp;"-yr hold"</f>
        <v>Net MOIC — 10-yr hold</v>
      </c>
      <c r="B39" s="245">
        <f>'Holdco Summary'!B80</f>
        <v>4.8444145848547375</v>
      </c>
      <c r="C39" s="245">
        <f>'Holdco Summary'!C80</f>
        <v>13.9234579537196</v>
      </c>
      <c r="D39" s="245">
        <f>'Holdco Summary'!D80</f>
        <v>0.6667588131916131</v>
      </c>
      <c r="E39" s="254">
        <f>'Holdco Summary'!E80</f>
        <v>9.820060078063939</v>
      </c>
      <c r="F39" s="247">
        <f>'Holdco Summary'!F80</f>
        <v>7.233873885302865</v>
      </c>
    </row>
    <row r="40">
      <c r="A40" s="200" t="str">
        <f>"Net proceeds ($M) — "&amp;Hold_Short&amp;"-yr hold"</f>
        <v>Net proceeds ($M) — 5-yr hold</v>
      </c>
      <c r="B40" s="228">
        <f>'Holdco Summary'!B37</f>
        <v>1771.9027693679416</v>
      </c>
      <c r="C40" s="228">
        <f>'Holdco Summary'!C37</f>
        <v>2889.870561339232</v>
      </c>
      <c r="D40" s="228">
        <f>'Holdco Summary'!D37</f>
        <v>659.086577465528</v>
      </c>
      <c r="E40" s="229">
        <f>'Holdco Summary'!E37</f>
        <v>2215.4722834835916</v>
      </c>
      <c r="F40" s="255">
        <f>'Holdco Summary'!F37</f>
        <v>1951.0077156927496</v>
      </c>
    </row>
    <row r="41">
      <c r="A41" s="200" t="str">
        <f>"Net proceeds ($M) — "&amp;Hold_Mid&amp;"-yr hold"</f>
        <v>Net proceeds ($M) — 7-yr hold</v>
      </c>
      <c r="B41" s="228">
        <f>'Holdco Summary'!B58</f>
        <v>2448.0556952438537</v>
      </c>
      <c r="C41" s="228">
        <f>'Holdco Summary'!C58</f>
        <v>4982.6524926147495</v>
      </c>
      <c r="D41" s="228">
        <f>'Holdco Summary'!D58</f>
        <v>611.3519181601118</v>
      </c>
      <c r="E41" s="229">
        <f>'Holdco Summary'!E58</f>
        <v>3655.547227667346</v>
      </c>
      <c r="F41" s="255">
        <f>'Holdco Summary'!F58</f>
        <v>2987.32305788754</v>
      </c>
    </row>
    <row r="42">
      <c r="A42" s="200" t="str">
        <f>"Net proceeds ($M) — "&amp;Hold_Long&amp;"-yr hold"</f>
        <v>Net proceeds ($M) — 10-yr hold</v>
      </c>
      <c r="B42" s="228">
        <f>'Holdco Summary'!B79</f>
        <v>4069.3082512779793</v>
      </c>
      <c r="C42" s="228">
        <f>'Holdco Summary'!C79</f>
        <v>11695.704681124464</v>
      </c>
      <c r="D42" s="228">
        <f>'Holdco Summary'!D79</f>
        <v>560.077403080955</v>
      </c>
      <c r="E42" s="229">
        <f>'Holdco Summary'!E79</f>
        <v>8248.850465573709</v>
      </c>
      <c r="F42" s="255">
        <f>'Holdco Summary'!F79</f>
        <v>6076.454063654406</v>
      </c>
    </row>
    <row r="43">
      <c r="A43" s="200" t="str">
        <f>"Gross MOIC — "&amp;Hold_Short&amp;"-yr hold"</f>
        <v>Gross MOIC — 5-yr hold</v>
      </c>
      <c r="B43" s="245">
        <f>'Holdco Summary'!B31/Holdco_Size</f>
        <v>2.3944280542641985</v>
      </c>
      <c r="C43" s="245">
        <f>'Holdco Summary'!C31/Holdco_Size</f>
        <v>4.058070601840524</v>
      </c>
      <c r="D43" s="245">
        <f>'Holdco Summary'!D31/Holdco_Size</f>
        <v>0.8846268779351524</v>
      </c>
      <c r="E43" s="254">
        <f>'Holdco Summary'!E31/Holdco_Size</f>
        <v>3.054501735983916</v>
      </c>
      <c r="F43" s="247">
        <f>'Holdco Summary'!F31/Holdco_Size</f>
        <v>2.682879566966881</v>
      </c>
    </row>
    <row r="44">
      <c r="A44" s="200" t="str">
        <f>"Gross MOIC — "&amp;Hold_Mid&amp;"-yr hold"</f>
        <v>Gross MOIC — 7-yr hold</v>
      </c>
      <c r="B44" s="245">
        <f>'Holdco Summary'!B52/Holdco_Size</f>
        <v>3.3894839554894256</v>
      </c>
      <c r="C44" s="245">
        <f>'Holdco Summary'!C52/Holdco_Size</f>
        <v>7.161205380148498</v>
      </c>
      <c r="D44" s="245">
        <f>'Holdco Summary'!D52/Holdco_Size</f>
        <v>0.8677999025715617</v>
      </c>
      <c r="E44" s="254">
        <f>'Holdco Summary'!E52/Holdco_Size</f>
        <v>5.186346354929147</v>
      </c>
      <c r="F44" s="247">
        <f>'Holdco Summary'!F52/Holdco_Size</f>
        <v>4.223691063632472</v>
      </c>
    </row>
    <row r="45">
      <c r="A45" s="200" t="str">
        <f>"Gross MOIC — "&amp;Hold_Long&amp;"-yr hold"</f>
        <v>Gross MOIC — 10-yr hold</v>
      </c>
      <c r="B45" s="245">
        <f>'Holdco Summary'!B73/Holdco_Size</f>
        <v>5.7657869817502245</v>
      </c>
      <c r="C45" s="245">
        <f>'Holdco Summary'!C73/Holdco_Size</f>
        <v>17.114591192831302</v>
      </c>
      <c r="D45" s="245">
        <f>'Holdco Summary'!D73/Holdco_Size</f>
        <v>0.8667588131916132</v>
      </c>
      <c r="E45" s="254">
        <f>'Holdco Summary'!E73/Holdco_Size</f>
        <v>11.985343848261726</v>
      </c>
      <c r="F45" s="247">
        <f>'Holdco Summary'!F73/Holdco_Size</f>
        <v>8.801067339213429</v>
      </c>
    </row>
    <row r="46">
      <c r="A46" s="200" t="str">
        <f>"Net KS-PME vs SPX — "&amp;Hold_Short&amp;"-yr hold"</f>
        <v>Net KS-PME vs SPX — 5-yr hold</v>
      </c>
      <c r="B46" s="245">
        <f>'Holdco Summary'!B41</f>
        <v>1.3709705039061708</v>
      </c>
      <c r="C46" s="245">
        <f>'Holdco Summary'!C41</f>
        <v>2.2359733097071244</v>
      </c>
      <c r="D46" s="245">
        <f>'Holdco Summary'!D41</f>
        <v>0.5099536345033361</v>
      </c>
      <c r="E46" s="254">
        <f>'Holdco Summary'!E41</f>
        <v>1.7141725863214896</v>
      </c>
      <c r="F46" s="247">
        <f>'Holdco Summary'!F41</f>
        <v>1.5095489873082817</v>
      </c>
    </row>
    <row r="47">
      <c r="A47" s="200" t="str">
        <f>"Net KS-PME vs SPX — "&amp;Hold_Mid&amp;"-yr hold"</f>
        <v>Net KS-PME vs SPX — 7-yr hold</v>
      </c>
      <c r="B47" s="245">
        <f>'Holdco Summary'!B62</f>
        <v>1.594250355454885</v>
      </c>
      <c r="C47" s="245">
        <f>'Holdco Summary'!C62</f>
        <v>3.244858980493073</v>
      </c>
      <c r="D47" s="245">
        <f>'Holdco Summary'!D62</f>
        <v>0.3981314701002741</v>
      </c>
      <c r="E47" s="254">
        <f>'Holdco Summary'!E62</f>
        <v>2.380606568066772</v>
      </c>
      <c r="F47" s="247">
        <f>'Holdco Summary'!F62</f>
        <v>1.9454381108030232</v>
      </c>
    </row>
    <row r="48">
      <c r="A48" s="200" t="str">
        <f>"Net KS-PME vs SPX — "&amp;Hold_Long&amp;"-yr hold"</f>
        <v>Net KS-PME vs SPX — 10-yr hold</v>
      </c>
      <c r="B48" s="245">
        <f>'Holdco Summary'!B83</f>
        <v>2.0463330737257333</v>
      </c>
      <c r="C48" s="245">
        <f>'Holdco Summary'!C83</f>
        <v>5.881419109008893</v>
      </c>
      <c r="D48" s="245">
        <f>'Holdco Summary'!D83</f>
        <v>0.2816461282850812</v>
      </c>
      <c r="E48" s="254">
        <f>'Holdco Summary'!E83</f>
        <v>4.1480995013391295</v>
      </c>
      <c r="F48" s="247">
        <f>'Holdco Summary'!F83</f>
        <v>3.055666504872435</v>
      </c>
    </row>
    <row r="49">
      <c r="A49" s="200" t="str">
        <f>"Net KS-PME vs NDX — "&amp;Hold_Short&amp;"-yr hold"</f>
        <v>Net KS-PME vs NDX — 5-yr hold</v>
      </c>
      <c r="B49" s="245">
        <f>'Holdco Summary'!B42</f>
        <v>1.1449021829754638</v>
      </c>
      <c r="C49" s="245">
        <f>'Holdco Summary'!C42</f>
        <v>1.8672690010942523</v>
      </c>
      <c r="D49" s="245">
        <f>'Holdco Summary'!D42</f>
        <v>0.4258640340515304</v>
      </c>
      <c r="E49" s="254">
        <f>'Holdco Summary'!E42</f>
        <v>1.431511422371555</v>
      </c>
      <c r="F49" s="247">
        <f>'Holdco Summary'!F42</f>
        <v>1.2606295510759846</v>
      </c>
    </row>
    <row r="50">
      <c r="A50" s="200" t="str">
        <f>"Net KS-PME vs NDX — "&amp;Hold_Mid&amp;"-yr hold"</f>
        <v>Net KS-PME vs NDX — 7-yr hold</v>
      </c>
      <c r="B50" s="245">
        <f>'Holdco Summary'!B63</f>
        <v>1.238776344936621</v>
      </c>
      <c r="C50" s="245">
        <f>'Holdco Summary'!C63</f>
        <v>2.521344614373981</v>
      </c>
      <c r="D50" s="245">
        <f>'Holdco Summary'!D63</f>
        <v>0.3093590951054474</v>
      </c>
      <c r="E50" s="254">
        <f>'Holdco Summary'!E63</f>
        <v>1.8497967355198888</v>
      </c>
      <c r="F50" s="247">
        <f>'Holdco Summary'!F63</f>
        <v>1.511658883408775</v>
      </c>
    </row>
    <row r="51">
      <c r="A51" s="200" t="str">
        <f>"Net KS-PME vs NDX — "&amp;Hold_Long&amp;"-yr hold"</f>
        <v>Net KS-PME vs NDX — 10-yr hold</v>
      </c>
      <c r="B51" s="245">
        <f>'Holdco Summary'!B84</f>
        <v>1.4271080901904671</v>
      </c>
      <c r="C51" s="245">
        <f>'Holdco Summary'!C84</f>
        <v>4.1016884787898205</v>
      </c>
      <c r="D51" s="245">
        <f>'Holdco Summary'!D84</f>
        <v>0.1964193773766532</v>
      </c>
      <c r="E51" s="254">
        <f>'Holdco Summary'!E84</f>
        <v>2.8928752768961665</v>
      </c>
      <c r="F51" s="247">
        <f>'Holdco Summary'!F84</f>
        <v>2.131014958424088</v>
      </c>
    </row>
    <row r="52">
      <c r="A52" s="200" t="str">
        <f>"Net KS-PME vs Defense+Semis basket — "&amp;Hold_Short&amp;"-yr hold"</f>
        <v>Net KS-PME vs Defense+Semis basket — 5-yr hold</v>
      </c>
      <c r="B52" s="245">
        <f>'Holdco Summary'!B43</f>
        <v>1.0487486120718474</v>
      </c>
      <c r="C52" s="245">
        <f>'Holdco Summary'!C43</f>
        <v>1.7104481084777092</v>
      </c>
      <c r="D52" s="245">
        <f>'Holdco Summary'!D43</f>
        <v>0.3900982295990888</v>
      </c>
      <c r="E52" s="254">
        <f>'Holdco Summary'!E43</f>
        <v>1.3112872345788327</v>
      </c>
      <c r="F52" s="247">
        <f>'Holdco Summary'!F43</f>
        <v>1.1547567221784467</v>
      </c>
    </row>
    <row r="53">
      <c r="A53" s="200" t="str">
        <f>"Net KS-PME vs Defense+Semis basket — "&amp;Hold_Mid&amp;"-yr hold"</f>
        <v>Net KS-PME vs Defense+Semis basket — 7-yr hold</v>
      </c>
      <c r="B53" s="245">
        <f>'Holdco Summary'!B64</f>
        <v>1.0956128709962416</v>
      </c>
      <c r="C53" s="245">
        <f>'Holdco Summary'!C64</f>
        <v>2.2299567012369144</v>
      </c>
      <c r="D53" s="245">
        <f>'Holdco Summary'!D64</f>
        <v>0.2736069410290681</v>
      </c>
      <c r="E53" s="254">
        <f>'Holdco Summary'!E64</f>
        <v>1.636018576271821</v>
      </c>
      <c r="F53" s="247">
        <f>'Holdco Summary'!F64</f>
        <v>1.3369587948526704</v>
      </c>
    </row>
    <row r="54">
      <c r="A54" s="200" t="str">
        <f>"Net KS-PME vs Defense+Semis basket — "&amp;Hold_Long&amp;"-yr hold"</f>
        <v>Net KS-PME vs Defense+Semis basket — 10-yr hold</v>
      </c>
      <c r="B54" s="245">
        <f>'Holdco Summary'!B85</f>
        <v>1.197465195489799</v>
      </c>
      <c r="C54" s="245">
        <f>'Holdco Summary'!C85</f>
        <v>3.441665862490335</v>
      </c>
      <c r="D54" s="245">
        <f>'Holdco Summary'!D85</f>
        <v>0.16481258129293294</v>
      </c>
      <c r="E54" s="254">
        <f>'Holdco Summary'!E85</f>
        <v>2.427368664495302</v>
      </c>
      <c r="F54" s="247">
        <f>'Holdco Summary'!F85</f>
        <v>1.7881029904612287</v>
      </c>
    </row>
    <row r="55"/>
    <row r="56">
      <c r="A56" s="225" t="inlineStr">
        <is>
          <t>D | HOLDINGS REGISTER &amp; BREAKDOWNS (tags in blue are fact-sheet classifications)</t>
        </is>
      </c>
    </row>
    <row r="57">
      <c r="A57" s="198" t="inlineStr">
        <is>
          <t>Holding</t>
        </is>
      </c>
      <c r="B57" s="198" t="inlineStr">
        <is>
          <t>Sub-vehicle</t>
        </is>
      </c>
      <c r="C57" s="198" t="inlineStr">
        <is>
          <t>Check ($M)</t>
        </is>
      </c>
      <c r="D57" s="198" t="inlineStr">
        <is>
          <t>% of Holdco</t>
        </is>
      </c>
      <c r="E57" s="198" t="inlineStr">
        <is>
          <t>Entry post ($M)</t>
        </is>
      </c>
      <c r="F57" s="198" t="inlineStr">
        <is>
          <t>Own %</t>
        </is>
      </c>
      <c r="G57" s="198" t="inlineStr">
        <is>
          <t>Base CAGR</t>
        </is>
      </c>
      <c r="H57" s="198" t="inlineStr">
        <is>
          <t>Sector</t>
        </is>
      </c>
      <c r="I57" s="198" t="inlineStr">
        <is>
          <t>Region</t>
        </is>
      </c>
      <c r="J57" s="198" t="inlineStr">
        <is>
          <t>Stage / liquidity</t>
        </is>
      </c>
      <c r="K57" s="198" t="inlineStr">
        <is>
          <t>Rank by check</t>
        </is>
      </c>
      <c r="L57" s="198" t="inlineStr">
        <is>
          <t>Description (fact sheet)</t>
        </is>
      </c>
    </row>
    <row r="58">
      <c r="A58" s="248" t="str">
        <f>Assumptions!A18</f>
        <v>Substrate (anchor)</v>
      </c>
      <c r="B58" s="242" t="inlineStr">
        <is>
          <t>IQT Semi / AI</t>
        </is>
      </c>
      <c r="C58" s="228">
        <f>Assumptions!C18</f>
        <v>80</v>
      </c>
      <c r="D58" s="208">
        <f>C58/Holdco_Size</f>
        <v>0.09523809523809523</v>
      </c>
      <c r="E58" s="243">
        <f>Assumptions!B18</f>
        <v>1050</v>
      </c>
      <c r="F58" s="216">
        <f>Assumptions!D18</f>
        <v>0.0761904761904762</v>
      </c>
      <c r="G58" s="216">
        <f>Assumptions!F18</f>
        <v>0.22</v>
      </c>
      <c r="H58" s="242" t="inlineStr">
        <is>
          <t>Semiconductor Equipment</t>
        </is>
      </c>
      <c r="I58" s="242" t="inlineStr">
        <is>
          <t>North America</t>
        </is>
      </c>
      <c r="J58" s="242" t="inlineStr">
        <is>
          <t>Growth</t>
        </is>
      </c>
      <c r="K58" s="210">
        <f>RANK(C58,$C$58:$C$84)</f>
        <v>1.0</v>
      </c>
      <c r="L58" s="242" t="inlineStr">
        <is>
          <t>Domestic X-ray lithography platform; the sovereign-litho anchor of the sleeve</t>
        </is>
      </c>
    </row>
    <row r="59">
      <c r="A59" s="248" t="str">
        <f>Assumptions!A19</f>
        <v>EUV Tech</v>
      </c>
      <c r="B59" s="242" t="inlineStr">
        <is>
          <t>IQT Semi / AI</t>
        </is>
      </c>
      <c r="C59" s="228">
        <f>Assumptions!C19</f>
        <v>30</v>
      </c>
      <c r="D59" s="208">
        <f>C59/Holdco_Size</f>
        <v>0.03571428571428571</v>
      </c>
      <c r="E59" s="243">
        <f>Assumptions!B19</f>
        <v>180</v>
      </c>
      <c r="F59" s="216">
        <f>Assumptions!D19</f>
        <v>0.16666666666666666</v>
      </c>
      <c r="G59" s="216">
        <f>Assumptions!F19</f>
        <v>0.14</v>
      </c>
      <c r="H59" s="242" t="inlineStr">
        <is>
          <t>Semiconductor Equipment</t>
        </is>
      </c>
      <c r="I59" s="242" t="inlineStr">
        <is>
          <t>North America</t>
        </is>
      </c>
      <c r="J59" s="242" t="inlineStr">
        <is>
          <t>Growth</t>
        </is>
      </c>
      <c r="K59" s="210">
        <f>RANK(C59,$C$58:$C$84)</f>
        <v>15.0</v>
      </c>
      <c r="L59" s="242" t="inlineStr">
        <is>
          <t>At-wavelength EUV metrology; revenue-generating niche leader</t>
        </is>
      </c>
    </row>
    <row r="60">
      <c r="A60" s="248" t="str">
        <f>Assumptions!A20</f>
        <v>ThinTronics</v>
      </c>
      <c r="B60" s="242" t="inlineStr">
        <is>
          <t>IQT Semi / AI</t>
        </is>
      </c>
      <c r="C60" s="228">
        <f>Assumptions!C20</f>
        <v>22.5</v>
      </c>
      <c r="D60" s="208">
        <f>C60/Holdco_Size</f>
        <v>0.026785714285714284</v>
      </c>
      <c r="E60" s="243">
        <f>Assumptions!B20</f>
        <v>120</v>
      </c>
      <c r="F60" s="216">
        <f>Assumptions!D20</f>
        <v>0.1875</v>
      </c>
      <c r="G60" s="216">
        <f>Assumptions!F20</f>
        <v>0.26</v>
      </c>
      <c r="H60" s="242" t="inlineStr">
        <is>
          <t>Advanced Packaging &amp; Materials</t>
        </is>
      </c>
      <c r="I60" s="242" t="inlineStr">
        <is>
          <t>North America</t>
        </is>
      </c>
      <c r="J60" s="242" t="inlineStr">
        <is>
          <t>Growth</t>
        </is>
      </c>
      <c r="K60" s="210">
        <f>RANK(C60,$C$58:$C$84)</f>
        <v>19.0</v>
      </c>
      <c r="L60" s="242" t="inlineStr">
        <is>
          <t>US ABF / substrate materials for advanced packaging; $50M CHIPS LOI</t>
        </is>
      </c>
    </row>
    <row r="61">
      <c r="A61" s="248" t="str">
        <f>Assumptions!A21</f>
        <v>EdgeCortix</v>
      </c>
      <c r="B61" s="242" t="inlineStr">
        <is>
          <t>IQT Semi / AI</t>
        </is>
      </c>
      <c r="C61" s="228">
        <f>Assumptions!C21</f>
        <v>30.5</v>
      </c>
      <c r="D61" s="208">
        <f>C61/Holdco_Size</f>
        <v>0.03630952380952381</v>
      </c>
      <c r="E61" s="243">
        <f>Assumptions!B21</f>
        <v>350</v>
      </c>
      <c r="F61" s="216">
        <f>Assumptions!D21</f>
        <v>0.08714285714285715</v>
      </c>
      <c r="G61" s="216">
        <f>Assumptions!F21</f>
        <v>0.24</v>
      </c>
      <c r="H61" s="242" t="inlineStr">
        <is>
          <t>Edge AI Silicon</t>
        </is>
      </c>
      <c r="I61" s="242" t="inlineStr">
        <is>
          <t>Asia-Pacific</t>
        </is>
      </c>
      <c r="J61" s="242" t="inlineStr">
        <is>
          <t>Growth</t>
        </is>
      </c>
      <c r="K61" s="210">
        <f>RANK(C61,$C$58:$C$84)</f>
        <v>14.0</v>
      </c>
      <c r="L61" s="242" t="inlineStr">
        <is>
          <t>Low-power edge-AI inference accelerators for the tactical edge</t>
        </is>
      </c>
    </row>
    <row r="62">
      <c r="A62" s="248" t="str">
        <f>Assumptions!A22</f>
        <v>Syntiant</v>
      </c>
      <c r="B62" s="242" t="inlineStr">
        <is>
          <t>IQT Semi / AI</t>
        </is>
      </c>
      <c r="C62" s="228">
        <f>Assumptions!C22</f>
        <v>31.5</v>
      </c>
      <c r="D62" s="208">
        <f>C62/Holdco_Size</f>
        <v>0.0375</v>
      </c>
      <c r="E62" s="243">
        <f>Assumptions!B22</f>
        <v>700</v>
      </c>
      <c r="F62" s="216">
        <f>Assumptions!D22</f>
        <v>0.045</v>
      </c>
      <c r="G62" s="216">
        <f>Assumptions!F22</f>
        <v>0.16</v>
      </c>
      <c r="H62" s="242" t="inlineStr">
        <is>
          <t>Edge AI Silicon</t>
        </is>
      </c>
      <c r="I62" s="242" t="inlineStr">
        <is>
          <t>North America</t>
        </is>
      </c>
      <c r="J62" s="242" t="inlineStr">
        <is>
          <t>Pre-IPO</t>
        </is>
      </c>
      <c r="K62" s="210">
        <f>RANK(C62,$C$58:$C$84)</f>
        <v>12.0</v>
      </c>
      <c r="L62" s="242" t="inlineStr">
        <is>
          <t>Ultra-low-power edge AI silicon; S-1 filed (SYTN)</t>
        </is>
      </c>
    </row>
    <row r="63">
      <c r="A63" s="248" t="str">
        <f>Assumptions!A23</f>
        <v>Infleqtion</v>
      </c>
      <c r="B63" s="242" t="inlineStr">
        <is>
          <t>IQT Semi / AI</t>
        </is>
      </c>
      <c r="C63" s="228">
        <f>Assumptions!C23</f>
        <v>25</v>
      </c>
      <c r="D63" s="208">
        <f>C63/Holdco_Size</f>
        <v>0.02976190476190476</v>
      </c>
      <c r="E63" s="243">
        <f>Assumptions!B23</f>
        <v>3000</v>
      </c>
      <c r="F63" s="216">
        <f>Assumptions!D23</f>
        <v>0.008333333333333333</v>
      </c>
      <c r="G63" s="216">
        <f>Assumptions!F23</f>
        <v>0.15</v>
      </c>
      <c r="H63" s="242" t="inlineStr">
        <is>
          <t>Quantum Computing</t>
        </is>
      </c>
      <c r="I63" s="242" t="inlineStr">
        <is>
          <t>North America</t>
        </is>
      </c>
      <c r="J63" s="242" t="inlineStr">
        <is>
          <t>Public / Listed</t>
        </is>
      </c>
      <c r="K63" s="210">
        <f>RANK(C63,$C$58:$C$84)</f>
        <v>17.0</v>
      </c>
      <c r="L63" s="242" t="inlineStr">
        <is>
          <t>Listed quantum sensing and computing platform (NYSE: INFQ)</t>
        </is>
      </c>
    </row>
    <row r="64">
      <c r="A64" s="248" t="str">
        <f>Assumptions!A24</f>
        <v>Diraq</v>
      </c>
      <c r="B64" s="242" t="inlineStr">
        <is>
          <t>IQT Semi / AI</t>
        </is>
      </c>
      <c r="C64" s="228">
        <f>Assumptions!C24</f>
        <v>14</v>
      </c>
      <c r="D64" s="208">
        <f>C64/Holdco_Size</f>
        <v>0.016666666666666666</v>
      </c>
      <c r="E64" s="243">
        <f>Assumptions!B24</f>
        <v>150</v>
      </c>
      <c r="F64" s="216">
        <f>Assumptions!D24</f>
        <v>0.09333333333333334</v>
      </c>
      <c r="G64" s="216">
        <f>Assumptions!F24</f>
        <v>0.3</v>
      </c>
      <c r="H64" s="242" t="inlineStr">
        <is>
          <t>Quantum Computing</t>
        </is>
      </c>
      <c r="I64" s="242" t="inlineStr">
        <is>
          <t>Asia-Pacific</t>
        </is>
      </c>
      <c r="J64" s="242" t="inlineStr">
        <is>
          <t>Growth</t>
        </is>
      </c>
      <c r="K64" s="210">
        <f>RANK(C64,$C$58:$C$84)</f>
        <v>22.0</v>
      </c>
      <c r="L64" s="242" t="inlineStr">
        <is>
          <t>Silicon spin-qubit quantum on existing CMOS foundries</t>
        </is>
      </c>
    </row>
    <row r="65">
      <c r="A65" s="248" t="str">
        <f>Assumptions!A25</f>
        <v>Mueon</v>
      </c>
      <c r="B65" s="242" t="inlineStr">
        <is>
          <t>IQT Semi / AI</t>
        </is>
      </c>
      <c r="C65" s="228">
        <f>Assumptions!C25</f>
        <v>10</v>
      </c>
      <c r="D65" s="208">
        <f>C65/Holdco_Size</f>
        <v>0.011904761904761904</v>
      </c>
      <c r="E65" s="243">
        <f>Assumptions!B25</f>
        <v>65</v>
      </c>
      <c r="F65" s="216">
        <f>Assumptions!D25</f>
        <v>0.15384615384615385</v>
      </c>
      <c r="G65" s="216">
        <f>Assumptions!F25</f>
        <v>0.32</v>
      </c>
      <c r="H65" s="242" t="inlineStr">
        <is>
          <t>Advanced Packaging &amp; Materials</t>
        </is>
      </c>
      <c r="I65" s="242" t="inlineStr">
        <is>
          <t>North America</t>
        </is>
      </c>
      <c r="J65" s="242" t="inlineStr">
        <is>
          <t>Seed &amp; Early</t>
        </is>
      </c>
      <c r="K65" s="210">
        <f>RANK(C65,$C$58:$C$84)</f>
        <v>25.0</v>
      </c>
      <c r="L65" s="242" t="inlineStr">
        <is>
          <t>US advanced packaging / rack-density secure compute (Cubelet)</t>
        </is>
      </c>
    </row>
    <row r="66">
      <c r="A66" s="248" t="str">
        <f>Assumptions!A26</f>
        <v>DefendEye</v>
      </c>
      <c r="B66" s="242" t="inlineStr">
        <is>
          <t>IQT Semi / AI</t>
        </is>
      </c>
      <c r="C66" s="228">
        <f>Assumptions!C26</f>
        <v>6.5</v>
      </c>
      <c r="D66" s="208">
        <f>C66/Holdco_Size</f>
        <v>0.007738095238095238</v>
      </c>
      <c r="E66" s="243">
        <f>Assumptions!B26</f>
        <v>50</v>
      </c>
      <c r="F66" s="216">
        <f>Assumptions!D26</f>
        <v>0.13</v>
      </c>
      <c r="G66" s="216">
        <f>Assumptions!F26</f>
        <v>0.28</v>
      </c>
      <c r="H66" s="242" t="inlineStr">
        <is>
          <t>Autonomy &amp; Unmanned Systems</t>
        </is>
      </c>
      <c r="I66" s="242" t="inlineStr">
        <is>
          <t>North America</t>
        </is>
      </c>
      <c r="J66" s="242" t="inlineStr">
        <is>
          <t>Seed &amp; Early</t>
        </is>
      </c>
      <c r="K66" s="210">
        <f>RANK(C66,$C$58:$C$84)</f>
        <v>27.0</v>
      </c>
      <c r="L66" s="242" t="inlineStr">
        <is>
          <t>Autonomous sensing and small UAS; Blue UAS provenance diligence</t>
        </is>
      </c>
    </row>
    <row r="67">
      <c r="A67" s="248" t="str">
        <f>'Weapons Sleeve'!A12</f>
        <v>Saronic</v>
      </c>
      <c r="B67" s="242" t="inlineStr">
        <is>
          <t>Defense</t>
        </is>
      </c>
      <c r="C67" s="228">
        <f>'Weapons Sleeve'!C12</f>
        <v>70</v>
      </c>
      <c r="D67" s="208">
        <f>C67/Holdco_Size</f>
        <v>0.08333333333333333</v>
      </c>
      <c r="E67" s="243">
        <f>'Weapons Sleeve'!B12</f>
        <v>9250</v>
      </c>
      <c r="F67" s="216">
        <f>'Weapons Sleeve'!D12</f>
        <v>0.0075675675675675675</v>
      </c>
      <c r="G67" s="216">
        <f>'Weapons Sleeve'!F12</f>
        <v>0.26</v>
      </c>
      <c r="H67" s="242" t="inlineStr">
        <is>
          <t>Autonomy &amp; Unmanned Systems</t>
        </is>
      </c>
      <c r="I67" s="242" t="inlineStr">
        <is>
          <t>North America</t>
        </is>
      </c>
      <c r="J67" s="242" t="inlineStr">
        <is>
          <t>Late-stage Private</t>
        </is>
      </c>
      <c r="K67" s="210">
        <f>RANK(C67,$C$58:$C$84)</f>
        <v>2.0</v>
      </c>
      <c r="L67" s="242" t="inlineStr">
        <is>
          <t>Autonomous naval surface vessels; Series D $9.25B</t>
        </is>
      </c>
    </row>
    <row r="68">
      <c r="A68" s="248" t="str">
        <f>'Weapons Sleeve'!A13</f>
        <v>Epirus</v>
      </c>
      <c r="B68" s="242" t="inlineStr">
        <is>
          <t>Defense</t>
        </is>
      </c>
      <c r="C68" s="228">
        <f>'Weapons Sleeve'!C13</f>
        <v>45</v>
      </c>
      <c r="D68" s="208">
        <f>C68/Holdco_Size</f>
        <v>0.05357142857142857</v>
      </c>
      <c r="E68" s="243">
        <f>'Weapons Sleeve'!B13</f>
        <v>1350</v>
      </c>
      <c r="F68" s="216">
        <f>'Weapons Sleeve'!D13</f>
        <v>0.03333333333333333</v>
      </c>
      <c r="G68" s="216">
        <f>'Weapons Sleeve'!F13</f>
        <v>0.24</v>
      </c>
      <c r="H68" s="242" t="inlineStr">
        <is>
          <t>Directed Energy, EW &amp; ISR</t>
        </is>
      </c>
      <c r="I68" s="242" t="inlineStr">
        <is>
          <t>North America</t>
        </is>
      </c>
      <c r="J68" s="242" t="inlineStr">
        <is>
          <t>Growth</t>
        </is>
      </c>
      <c r="K68" s="210">
        <f>RANK(C68,$C$58:$C$84)</f>
        <v>4.0</v>
      </c>
      <c r="L68" s="242" t="inlineStr">
        <is>
          <t>High-power microwave directed-energy counter-drone systems</t>
        </is>
      </c>
    </row>
    <row r="69">
      <c r="A69" s="248" t="str">
        <f>'Weapons Sleeve'!A14</f>
        <v>Israel Aerospace Ind.</v>
      </c>
      <c r="B69" s="242" t="inlineStr">
        <is>
          <t>Defense</t>
        </is>
      </c>
      <c r="C69" s="228">
        <f>'Weapons Sleeve'!C14</f>
        <v>40</v>
      </c>
      <c r="D69" s="208">
        <f>C69/Holdco_Size</f>
        <v>0.047619047619047616</v>
      </c>
      <c r="E69" s="243">
        <f>'Weapons Sleeve'!B14</f>
        <v>16000</v>
      </c>
      <c r="F69" s="216">
        <f>'Weapons Sleeve'!D14</f>
        <v>0.0025</v>
      </c>
      <c r="G69" s="216">
        <f>'Weapons Sleeve'!F14</f>
        <v>0.17</v>
      </c>
      <c r="H69" s="242" t="inlineStr">
        <is>
          <t>Defense Primes &amp; Services</t>
        </is>
      </c>
      <c r="I69" s="242" t="inlineStr">
        <is>
          <t>Israel</t>
        </is>
      </c>
      <c r="J69" s="242" t="inlineStr">
        <is>
          <t>Pre-IPO</t>
        </is>
      </c>
      <c r="K69" s="210">
        <f>RANK(C69,$C$58:$C$84)</f>
        <v>6.0</v>
      </c>
      <c r="L69" s="242" t="inlineStr">
        <is>
          <t>Israeli aerospace and defense prime; IPO attempt H2-26</t>
        </is>
      </c>
    </row>
    <row r="70">
      <c r="A70" s="248" t="str">
        <f>'Weapons Sleeve'!A15</f>
        <v>Elta Systems</v>
      </c>
      <c r="B70" s="242" t="inlineStr">
        <is>
          <t>Defense</t>
        </is>
      </c>
      <c r="C70" s="228">
        <f>'Weapons Sleeve'!C15</f>
        <v>30</v>
      </c>
      <c r="D70" s="208">
        <f>C70/Holdco_Size</f>
        <v>0.03571428571428571</v>
      </c>
      <c r="E70" s="243">
        <f>'Weapons Sleeve'!B15</f>
        <v>3000</v>
      </c>
      <c r="F70" s="216">
        <f>'Weapons Sleeve'!D15</f>
        <v>0.01</v>
      </c>
      <c r="G70" s="216">
        <f>'Weapons Sleeve'!F15</f>
        <v>0.16</v>
      </c>
      <c r="H70" s="242" t="inlineStr">
        <is>
          <t>Directed Energy, EW &amp; ISR</t>
        </is>
      </c>
      <c r="I70" s="242" t="inlineStr">
        <is>
          <t>Israel</t>
        </is>
      </c>
      <c r="J70" s="242" t="inlineStr">
        <is>
          <t>Pre-IPO</t>
        </is>
      </c>
      <c r="K70" s="210">
        <f>RANK(C70,$C$58:$C$84)</f>
        <v>15.0</v>
      </c>
      <c r="L70" s="242" t="inlineStr">
        <is>
          <t>IAI subsidiary: radar, electronic warfare and ISR systems</t>
        </is>
      </c>
    </row>
    <row r="71">
      <c r="A71" s="248" t="str">
        <f>'Weapons Sleeve'!A16</f>
        <v>Heckler &amp; Koch</v>
      </c>
      <c r="B71" s="242" t="inlineStr">
        <is>
          <t>Defense</t>
        </is>
      </c>
      <c r="C71" s="228">
        <f>'Weapons Sleeve'!C16</f>
        <v>35</v>
      </c>
      <c r="D71" s="208">
        <f>C71/Holdco_Size</f>
        <v>0.041666666666666664</v>
      </c>
      <c r="E71" s="243">
        <f>'Weapons Sleeve'!B16</f>
        <v>1800</v>
      </c>
      <c r="F71" s="216">
        <f>'Weapons Sleeve'!D16</f>
        <v>0.019444444444444445</v>
      </c>
      <c r="G71" s="216">
        <f>'Weapons Sleeve'!F16</f>
        <v>0.12</v>
      </c>
      <c r="H71" s="242" t="inlineStr">
        <is>
          <t>Munitions, Energetics &amp; Ordnance</t>
        </is>
      </c>
      <c r="I71" s="242" t="inlineStr">
        <is>
          <t>Europe</t>
        </is>
      </c>
      <c r="J71" s="242" t="inlineStr">
        <is>
          <t>Public / Listed</t>
        </is>
      </c>
      <c r="K71" s="210">
        <f>RANK(C71,$C$58:$C$84)</f>
        <v>10.0</v>
      </c>
      <c r="L71" s="242" t="inlineStr">
        <is>
          <t>Listed small-arms manufacturer; closely held, block access</t>
        </is>
      </c>
    </row>
    <row r="72">
      <c r="A72" s="248" t="str">
        <f>'Weapons Sleeve'!A17</f>
        <v>Helicon Chemical</v>
      </c>
      <c r="B72" s="242" t="inlineStr">
        <is>
          <t>Defense</t>
        </is>
      </c>
      <c r="C72" s="228">
        <f>'Weapons Sleeve'!C17</f>
        <v>40</v>
      </c>
      <c r="D72" s="208">
        <f>C72/Holdco_Size</f>
        <v>0.047619047619047616</v>
      </c>
      <c r="E72" s="243">
        <f>'Weapons Sleeve'!B17</f>
        <v>150</v>
      </c>
      <c r="F72" s="216">
        <f>'Weapons Sleeve'!D17</f>
        <v>0.26666666666666666</v>
      </c>
      <c r="G72" s="216">
        <f>'Weapons Sleeve'!F17</f>
        <v>0.28</v>
      </c>
      <c r="H72" s="242" t="inlineStr">
        <is>
          <t>Munitions, Energetics &amp; Ordnance</t>
        </is>
      </c>
      <c r="I72" s="242" t="inlineStr">
        <is>
          <t>North America</t>
        </is>
      </c>
      <c r="J72" s="242" t="inlineStr">
        <is>
          <t>Growth</t>
        </is>
      </c>
      <c r="K72" s="210">
        <f>RANK(C72,$C$58:$C$84)</f>
        <v>6.0</v>
      </c>
      <c r="L72" s="242" t="inlineStr">
        <is>
          <t>Early-growth energetics and propellant chemistry</t>
        </is>
      </c>
    </row>
    <row r="73">
      <c r="A73" s="248" t="str">
        <f>'Weapons Sleeve'!A18</f>
        <v>The Ellwood Group</v>
      </c>
      <c r="B73" s="242" t="inlineStr">
        <is>
          <t>Defense</t>
        </is>
      </c>
      <c r="C73" s="228">
        <f>'Weapons Sleeve'!C18</f>
        <v>50</v>
      </c>
      <c r="D73" s="208">
        <f>C73/Holdco_Size</f>
        <v>0.05952380952380952</v>
      </c>
      <c r="E73" s="243">
        <f>'Weapons Sleeve'!B18</f>
        <v>1200</v>
      </c>
      <c r="F73" s="216">
        <f>'Weapons Sleeve'!D18</f>
        <v>0.041666666666666664</v>
      </c>
      <c r="G73" s="216">
        <f>'Weapons Sleeve'!F18</f>
        <v>0.13</v>
      </c>
      <c r="H73" s="242" t="inlineStr">
        <is>
          <t>Munitions, Energetics &amp; Ordnance</t>
        </is>
      </c>
      <c r="I73" s="242" t="inlineStr">
        <is>
          <t>North America</t>
        </is>
      </c>
      <c r="J73" s="242" t="inlineStr">
        <is>
          <t>Late-stage Private</t>
        </is>
      </c>
      <c r="K73" s="210">
        <f>RANK(C73,$C$58:$C$84)</f>
        <v>3.0</v>
      </c>
      <c r="L73" s="242" t="inlineStr">
        <is>
          <t>Family-owned forger of missile casings and naval open/closed-die forgings</t>
        </is>
      </c>
    </row>
    <row r="74">
      <c r="A74" s="248" t="str">
        <f>'Weapons Sleeve'!A19</f>
        <v>Superior &amp; Grand Valley</v>
      </c>
      <c r="B74" s="242" t="inlineStr">
        <is>
          <t>Defense</t>
        </is>
      </c>
      <c r="C74" s="228">
        <f>'Weapons Sleeve'!C19</f>
        <v>40</v>
      </c>
      <c r="D74" s="208">
        <f>C74/Holdco_Size</f>
        <v>0.047619047619047616</v>
      </c>
      <c r="E74" s="243">
        <f>'Weapons Sleeve'!B19</f>
        <v>400</v>
      </c>
      <c r="F74" s="216">
        <f>'Weapons Sleeve'!D19</f>
        <v>0.1</v>
      </c>
      <c r="G74" s="216">
        <f>'Weapons Sleeve'!F19</f>
        <v>0.13</v>
      </c>
      <c r="H74" s="242" t="inlineStr">
        <is>
          <t>Munitions, Energetics &amp; Ordnance</t>
        </is>
      </c>
      <c r="I74" s="242" t="inlineStr">
        <is>
          <t>North America</t>
        </is>
      </c>
      <c r="J74" s="242" t="inlineStr">
        <is>
          <t>Late-stage Private</t>
        </is>
      </c>
      <c r="K74" s="210">
        <f>RANK(C74,$C$58:$C$84)</f>
        <v>6.0</v>
      </c>
      <c r="L74" s="242" t="inlineStr">
        <is>
          <t>Private forger for missile-procurement metal forgings; placeholder mark</t>
        </is>
      </c>
    </row>
    <row r="75">
      <c r="A75" s="248" t="str">
        <f>'Weapons Sleeve'!A20</f>
        <v>Applied Research Assoc.</v>
      </c>
      <c r="B75" s="242" t="inlineStr">
        <is>
          <t>Defense</t>
        </is>
      </c>
      <c r="C75" s="228">
        <f>'Weapons Sleeve'!C20</f>
        <v>40</v>
      </c>
      <c r="D75" s="208">
        <f>C75/Holdco_Size</f>
        <v>0.047619047619047616</v>
      </c>
      <c r="E75" s="243">
        <f>'Weapons Sleeve'!B20</f>
        <v>1200</v>
      </c>
      <c r="F75" s="216">
        <f>'Weapons Sleeve'!D20</f>
        <v>0.03333333333333333</v>
      </c>
      <c r="G75" s="216">
        <f>'Weapons Sleeve'!F20</f>
        <v>0.14</v>
      </c>
      <c r="H75" s="242" t="inlineStr">
        <is>
          <t>Defense Primes &amp; Services</t>
        </is>
      </c>
      <c r="I75" s="242" t="inlineStr">
        <is>
          <t>North America</t>
        </is>
      </c>
      <c r="J75" s="242" t="inlineStr">
        <is>
          <t>Late-stage Private</t>
        </is>
      </c>
      <c r="K75" s="210">
        <f>RANK(C75,$C$58:$C$84)</f>
        <v>6.0</v>
      </c>
      <c r="L75" s="242" t="inlineStr">
        <is>
          <t>Employee-owned defense R&amp;D and engineering services</t>
        </is>
      </c>
    </row>
    <row r="76">
      <c r="A76" s="248" t="str">
        <f>'Consumer Sleeve'!A12</f>
        <v>Quince</v>
      </c>
      <c r="B76" s="242" t="inlineStr">
        <is>
          <t>Consumer Discretionary</t>
        </is>
      </c>
      <c r="C76" s="228">
        <f>'Consumer Sleeve'!C12</f>
        <v>35</v>
      </c>
      <c r="D76" s="208">
        <f>C76/Holdco_Size</f>
        <v>0.041666666666666664</v>
      </c>
      <c r="E76" s="243">
        <f>'Consumer Sleeve'!B12</f>
        <v>10100</v>
      </c>
      <c r="F76" s="216">
        <f>'Consumer Sleeve'!D12</f>
        <v>0.0034653465346534654</v>
      </c>
      <c r="G76" s="216">
        <f>'Consumer Sleeve'!F12</f>
        <v>0.28</v>
      </c>
      <c r="H76" s="242" t="inlineStr">
        <is>
          <t>Consumer DTC &amp; Wellness</t>
        </is>
      </c>
      <c r="I76" s="242" t="inlineStr">
        <is>
          <t>North America</t>
        </is>
      </c>
      <c r="J76" s="242" t="inlineStr">
        <is>
          <t>Late-stage Private</t>
        </is>
      </c>
      <c r="K76" s="210">
        <f>RANK(C76,$C$58:$C$84)</f>
        <v>10.0</v>
      </c>
      <c r="L76" s="242" t="inlineStr">
        <is>
          <t>Manufacturer-to-consumer apparel and home essentials; &gt;$1B ARR</t>
        </is>
      </c>
    </row>
    <row r="77">
      <c r="A77" s="248" t="str">
        <f>'Consumer Sleeve'!A13</f>
        <v>Whoop</v>
      </c>
      <c r="B77" s="242" t="inlineStr">
        <is>
          <t>Consumer Discretionary</t>
        </is>
      </c>
      <c r="C77" s="228">
        <f>'Consumer Sleeve'!C13</f>
        <v>31.5</v>
      </c>
      <c r="D77" s="208">
        <f>C77/Holdco_Size</f>
        <v>0.0375</v>
      </c>
      <c r="E77" s="243">
        <f>'Consumer Sleeve'!B13</f>
        <v>10100</v>
      </c>
      <c r="F77" s="216">
        <f>'Consumer Sleeve'!D13</f>
        <v>0.003118811881188119</v>
      </c>
      <c r="G77" s="216">
        <f>'Consumer Sleeve'!F13</f>
        <v>0.27</v>
      </c>
      <c r="H77" s="242" t="inlineStr">
        <is>
          <t>Consumer DTC &amp; Wellness</t>
        </is>
      </c>
      <c r="I77" s="242" t="inlineStr">
        <is>
          <t>North America</t>
        </is>
      </c>
      <c r="J77" s="242" t="inlineStr">
        <is>
          <t>Pre-IPO</t>
        </is>
      </c>
      <c r="K77" s="210">
        <f>RANK(C77,$C$58:$C$84)</f>
        <v>12.0</v>
      </c>
      <c r="L77" s="242" t="inlineStr">
        <is>
          <t>Wearable health platform; IPO-track, medical-grade expansion</t>
        </is>
      </c>
    </row>
    <row r="78">
      <c r="A78" s="248" t="str">
        <f>'Consumer Sleeve'!A14</f>
        <v>The Farmer's Dog</v>
      </c>
      <c r="B78" s="242" t="inlineStr">
        <is>
          <t>Consumer Discretionary</t>
        </is>
      </c>
      <c r="C78" s="228">
        <f>'Consumer Sleeve'!C14</f>
        <v>24.5</v>
      </c>
      <c r="D78" s="208">
        <f>C78/Holdco_Size</f>
        <v>0.029166666666666667</v>
      </c>
      <c r="E78" s="243">
        <f>'Consumer Sleeve'!B14</f>
        <v>3760</v>
      </c>
      <c r="F78" s="216">
        <f>'Consumer Sleeve'!D14</f>
        <v>0.0065159574468085105</v>
      </c>
      <c r="G78" s="216">
        <f>'Consumer Sleeve'!F14</f>
        <v>0.22</v>
      </c>
      <c r="H78" s="242" t="inlineStr">
        <is>
          <t>Consumer DTC &amp; Wellness</t>
        </is>
      </c>
      <c r="I78" s="242" t="inlineStr">
        <is>
          <t>North America</t>
        </is>
      </c>
      <c r="J78" s="242" t="inlineStr">
        <is>
          <t>Late-stage Private</t>
        </is>
      </c>
      <c r="K78" s="210">
        <f>RANK(C78,$C$58:$C$84)</f>
        <v>18.0</v>
      </c>
      <c r="L78" s="242" t="inlineStr">
        <is>
          <t>Fresh pet-food subscription; Walmart.com omni-channel launch</t>
        </is>
      </c>
    </row>
    <row r="79">
      <c r="A79" s="248" t="str">
        <f>'Consumer Sleeve'!A15</f>
        <v>Made In Cookware</v>
      </c>
      <c r="B79" s="242" t="inlineStr">
        <is>
          <t>Consumer Discretionary</t>
        </is>
      </c>
      <c r="C79" s="228">
        <f>'Consumer Sleeve'!C15</f>
        <v>17.5</v>
      </c>
      <c r="D79" s="208">
        <f>C79/Holdco_Size</f>
        <v>0.020833333333333332</v>
      </c>
      <c r="E79" s="243">
        <f>'Consumer Sleeve'!B15</f>
        <v>280</v>
      </c>
      <c r="F79" s="216">
        <f>'Consumer Sleeve'!D15</f>
        <v>0.0625</v>
      </c>
      <c r="G79" s="216">
        <f>'Consumer Sleeve'!F15</f>
        <v>0.14</v>
      </c>
      <c r="H79" s="242" t="inlineStr">
        <is>
          <t>Consumer DTC &amp; Wellness</t>
        </is>
      </c>
      <c r="I79" s="242" t="inlineStr">
        <is>
          <t>North America</t>
        </is>
      </c>
      <c r="J79" s="242" t="inlineStr">
        <is>
          <t>Growth</t>
        </is>
      </c>
      <c r="K79" s="210">
        <f>RANK(C79,$C$58:$C$84)</f>
        <v>20.0</v>
      </c>
      <c r="L79" s="242" t="inlineStr">
        <is>
          <t>Direct-to-consumer premium cookware with wholesale placements</t>
        </is>
      </c>
    </row>
    <row r="80">
      <c r="A80" s="248" t="str">
        <f>'Consumer Sleeve'!A16</f>
        <v>Thrive Market</v>
      </c>
      <c r="B80" s="242" t="inlineStr">
        <is>
          <t>Consumer Discretionary</t>
        </is>
      </c>
      <c r="C80" s="228">
        <f>'Consumer Sleeve'!C16</f>
        <v>14</v>
      </c>
      <c r="D80" s="208">
        <f>C80/Holdco_Size</f>
        <v>0.016666666666666666</v>
      </c>
      <c r="E80" s="243">
        <f>'Consumer Sleeve'!B16</f>
        <v>945</v>
      </c>
      <c r="F80" s="216">
        <f>'Consumer Sleeve'!D16</f>
        <v>0.014814814814814815</v>
      </c>
      <c r="G80" s="216">
        <f>'Consumer Sleeve'!F16</f>
        <v>0.07</v>
      </c>
      <c r="H80" s="242" t="inlineStr">
        <is>
          <t>Consumer DTC &amp; Wellness</t>
        </is>
      </c>
      <c r="I80" s="242" t="inlineStr">
        <is>
          <t>North America</t>
        </is>
      </c>
      <c r="J80" s="242" t="inlineStr">
        <is>
          <t>Pre-IPO</t>
        </is>
      </c>
      <c r="K80" s="210">
        <f>RANK(C80,$C$58:$C$84)</f>
        <v>22.0</v>
      </c>
      <c r="L80" s="242" t="inlineStr">
        <is>
          <t>Membership-based online natural grocery; IPO candidate</t>
        </is>
      </c>
    </row>
    <row r="81">
      <c r="A81" s="248" t="str">
        <f>'Consumer Sleeve'!A17</f>
        <v>Plunge</v>
      </c>
      <c r="B81" s="242" t="inlineStr">
        <is>
          <t>Consumer Discretionary</t>
        </is>
      </c>
      <c r="C81" s="228">
        <f>'Consumer Sleeve'!C17</f>
        <v>7</v>
      </c>
      <c r="D81" s="208">
        <f>C81/Holdco_Size</f>
        <v>0.008333333333333333</v>
      </c>
      <c r="E81" s="243">
        <f>'Consumer Sleeve'!B17</f>
        <v>110</v>
      </c>
      <c r="F81" s="216">
        <f>'Consumer Sleeve'!D17</f>
        <v>0.06363636363636363</v>
      </c>
      <c r="G81" s="216">
        <f>'Consumer Sleeve'!F17</f>
        <v>0.2</v>
      </c>
      <c r="H81" s="242" t="inlineStr">
        <is>
          <t>Consumer DTC &amp; Wellness</t>
        </is>
      </c>
      <c r="I81" s="242" t="inlineStr">
        <is>
          <t>North America</t>
        </is>
      </c>
      <c r="J81" s="242" t="inlineStr">
        <is>
          <t>Seed &amp; Early</t>
        </is>
      </c>
      <c r="K81" s="210">
        <f>RANK(C81,$C$58:$C$84)</f>
        <v>26.0</v>
      </c>
      <c r="L81" s="242" t="inlineStr">
        <is>
          <t>Cold-plunge and sauna wellness hardware</t>
        </is>
      </c>
    </row>
    <row r="82">
      <c r="A82" s="248" t="str">
        <f>'Consumer Sleeve'!A18</f>
        <v>Polymarket</v>
      </c>
      <c r="B82" s="242" t="inlineStr">
        <is>
          <t>Consumer Discretionary</t>
        </is>
      </c>
      <c r="C82" s="228">
        <f>'Consumer Sleeve'!C18</f>
        <v>10.5</v>
      </c>
      <c r="D82" s="208">
        <f>C82/Holdco_Size</f>
        <v>0.0125</v>
      </c>
      <c r="E82" s="243">
        <f>'Consumer Sleeve'!B18</f>
        <v>18000</v>
      </c>
      <c r="F82" s="216">
        <f>'Consumer Sleeve'!D18</f>
        <v>0.0005833333333333334</v>
      </c>
      <c r="G82" s="216">
        <f>'Consumer Sleeve'!F18</f>
        <v>0.25</v>
      </c>
      <c r="H82" s="242" t="inlineStr">
        <is>
          <t>Marketplaces, Payments &amp; Fintech</t>
        </is>
      </c>
      <c r="I82" s="242" t="inlineStr">
        <is>
          <t>North America</t>
        </is>
      </c>
      <c r="J82" s="242" t="inlineStr">
        <is>
          <t>Late-stage Private</t>
        </is>
      </c>
      <c r="K82" s="210">
        <f>RANK(C82,$C$58:$C$84)</f>
        <v>24.0</v>
      </c>
      <c r="L82" s="242" t="inlineStr">
        <is>
          <t>Prediction-market exchange; ICE-backed, US regulated expansion</t>
        </is>
      </c>
    </row>
    <row r="83">
      <c r="A83" s="248" t="str">
        <f>'Consumer Sleeve'!A19</f>
        <v>Goat Group</v>
      </c>
      <c r="B83" s="242" t="inlineStr">
        <is>
          <t>Consumer Discretionary</t>
        </is>
      </c>
      <c r="C83" s="228">
        <f>'Consumer Sleeve'!C19</f>
        <v>15</v>
      </c>
      <c r="D83" s="208">
        <f>C83/Holdco_Size</f>
        <v>0.017857142857142856</v>
      </c>
      <c r="E83" s="243">
        <f>'Consumer Sleeve'!B19</f>
        <v>3730</v>
      </c>
      <c r="F83" s="216">
        <f>'Consumer Sleeve'!D19</f>
        <v>0.004021447721179625</v>
      </c>
      <c r="G83" s="216">
        <f>'Consumer Sleeve'!F19</f>
        <v>0.15</v>
      </c>
      <c r="H83" s="242" t="inlineStr">
        <is>
          <t>Marketplaces, Payments &amp; Fintech</t>
        </is>
      </c>
      <c r="I83" s="242" t="inlineStr">
        <is>
          <t>North America</t>
        </is>
      </c>
      <c r="J83" s="242" t="inlineStr">
        <is>
          <t>Late-stage Private</t>
        </is>
      </c>
      <c r="K83" s="210">
        <f>RANK(C83,$C$58:$C$84)</f>
        <v>21.0</v>
      </c>
      <c r="L83" s="242" t="inlineStr">
        <is>
          <t>Sneaker and apparel resale marketplace</t>
        </is>
      </c>
    </row>
    <row r="84">
      <c r="A84" s="248" t="str">
        <f>'Consumer Sleeve'!A20</f>
        <v>Stripe</v>
      </c>
      <c r="B84" s="242" t="inlineStr">
        <is>
          <t>Consumer Discretionary</t>
        </is>
      </c>
      <c r="C84" s="228">
        <f>'Consumer Sleeve'!C20</f>
        <v>45</v>
      </c>
      <c r="D84" s="208">
        <f>C84/Holdco_Size</f>
        <v>0.05357142857142857</v>
      </c>
      <c r="E84" s="243">
        <f>'Consumer Sleeve'!B20</f>
        <v>159000</v>
      </c>
      <c r="F84" s="216">
        <f>'Consumer Sleeve'!D20</f>
        <v>0.0002830188679245283</v>
      </c>
      <c r="G84" s="216">
        <f>'Consumer Sleeve'!F20</f>
        <v>0.18</v>
      </c>
      <c r="H84" s="242" t="inlineStr">
        <is>
          <t>Marketplaces, Payments &amp; Fintech</t>
        </is>
      </c>
      <c r="I84" s="242" t="inlineStr">
        <is>
          <t>North America</t>
        </is>
      </c>
      <c r="J84" s="242" t="inlineStr">
        <is>
          <t>Late-stage Private</t>
        </is>
      </c>
      <c r="K84" s="210">
        <f>RANK(C84,$C$58:$C$84)</f>
        <v>4.0</v>
      </c>
      <c r="L84" s="242" t="inlineStr">
        <is>
          <t>Global payments infrastructure; $159B employee tender</t>
        </is>
      </c>
    </row>
    <row r="85">
      <c r="A85" s="249" t="inlineStr">
        <is>
          <t>TOTAL</t>
        </is>
      </c>
      <c r="C85" s="233">
        <f>SUM(C58:C84)</f>
        <v>840.0</v>
      </c>
      <c r="D85" s="240">
        <f>SUM(D58:D84)</f>
        <v>1.0</v>
      </c>
    </row>
    <row r="86"/>
    <row r="87">
      <c r="A87" s="203" t="inlineStr">
        <is>
          <t>SUB-VEHICLE BREAKDOWN (% of committed capital)</t>
        </is>
      </c>
    </row>
    <row r="88">
      <c r="A88" s="198" t="inlineStr">
        <is>
          <t>Sub-vehicle</t>
        </is>
      </c>
      <c r="B88" s="198" t="inlineStr">
        <is>
          <t>Committed ($M)</t>
        </is>
      </c>
      <c r="C88" s="198" t="inlineStr">
        <is>
          <t>% of Holdco</t>
        </is>
      </c>
      <c r="D88" s="198" t="inlineStr">
        <is>
          <t># Holdings</t>
        </is>
      </c>
    </row>
    <row r="89">
      <c r="A89" s="242" t="inlineStr">
        <is>
          <t>Defense</t>
        </is>
      </c>
      <c r="B89" s="206">
        <f>SUMIF($B$58:$B$84,A89,$C$58:$C$84)</f>
        <v>390.0</v>
      </c>
      <c r="C89" s="208">
        <f>B89/Holdco_Size</f>
        <v>0.4642857142857143</v>
      </c>
      <c r="D89" s="210">
        <f>COUNTIF($B$58:$B$84,A89)</f>
        <v>9</v>
      </c>
    </row>
    <row r="90">
      <c r="A90" s="242" t="inlineStr">
        <is>
          <t>IQT Semi / AI</t>
        </is>
      </c>
      <c r="B90" s="206">
        <f>SUMIF($B$58:$B$84,A90,$C$58:$C$84)</f>
        <v>250.0</v>
      </c>
      <c r="C90" s="208">
        <f>B90/Holdco_Size</f>
        <v>0.2976190476190476</v>
      </c>
      <c r="D90" s="210">
        <f>COUNTIF($B$58:$B$84,A90)</f>
        <v>9</v>
      </c>
    </row>
    <row r="91">
      <c r="A91" s="242" t="inlineStr">
        <is>
          <t>Consumer Discretionary</t>
        </is>
      </c>
      <c r="B91" s="206">
        <f>SUMIF($B$58:$B$84,A91,$C$58:$C$84)</f>
        <v>200.0</v>
      </c>
      <c r="C91" s="208">
        <f>B91/Holdco_Size</f>
        <v>0.23809523809523808</v>
      </c>
      <c r="D91" s="210">
        <f>COUNTIF($B$58:$B$84,A91)</f>
        <v>9</v>
      </c>
    </row>
    <row r="92">
      <c r="A92" s="249" t="inlineStr">
        <is>
          <t>Total</t>
        </is>
      </c>
      <c r="B92" s="233">
        <f>SUM(B89:B91)</f>
        <v>840.0</v>
      </c>
      <c r="C92" s="240">
        <f>SUM(C89:C91)</f>
        <v>1.0</v>
      </c>
      <c r="D92" s="251">
        <f>SUM(D89:D91)</f>
        <v>27.0</v>
      </c>
    </row>
    <row r="93"/>
    <row r="94">
      <c r="A94" s="203" t="inlineStr">
        <is>
          <t>SECTOR BREAKDOWN (% of committed capital)</t>
        </is>
      </c>
    </row>
    <row r="95">
      <c r="A95" s="198" t="inlineStr">
        <is>
          <t>Sector</t>
        </is>
      </c>
      <c r="B95" s="198" t="inlineStr">
        <is>
          <t>Committed ($M)</t>
        </is>
      </c>
      <c r="C95" s="198" t="inlineStr">
        <is>
          <t>% of Holdco</t>
        </is>
      </c>
      <c r="D95" s="198" t="inlineStr">
        <is>
          <t># Holdings</t>
        </is>
      </c>
    </row>
    <row r="96">
      <c r="A96" s="242" t="inlineStr">
        <is>
          <t>Semiconductor Equipment</t>
        </is>
      </c>
      <c r="B96" s="206">
        <f>SUMIF($H$58:$H$84,A96,$C$58:$C$84)</f>
        <v>110.0</v>
      </c>
      <c r="C96" s="208">
        <f>B96/Holdco_Size</f>
        <v>0.13095238095238096</v>
      </c>
      <c r="D96" s="210">
        <f>COUNTIF($H$58:$H$84,A96)</f>
        <v>2</v>
      </c>
    </row>
    <row r="97">
      <c r="A97" s="242" t="inlineStr">
        <is>
          <t>Advanced Packaging &amp; Materials</t>
        </is>
      </c>
      <c r="B97" s="206">
        <f>SUMIF($H$58:$H$84,A97,$C$58:$C$84)</f>
        <v>32.5</v>
      </c>
      <c r="C97" s="208">
        <f>B97/Holdco_Size</f>
        <v>0.03869047619047619</v>
      </c>
      <c r="D97" s="210">
        <f>COUNTIF($H$58:$H$84,A97)</f>
        <v>2</v>
      </c>
    </row>
    <row r="98">
      <c r="A98" s="242" t="inlineStr">
        <is>
          <t>Edge AI Silicon</t>
        </is>
      </c>
      <c r="B98" s="206">
        <f>SUMIF($H$58:$H$84,A98,$C$58:$C$84)</f>
        <v>62.0</v>
      </c>
      <c r="C98" s="208">
        <f>B98/Holdco_Size</f>
        <v>0.07380952380952381</v>
      </c>
      <c r="D98" s="210">
        <f>COUNTIF($H$58:$H$84,A98)</f>
        <v>2</v>
      </c>
    </row>
    <row r="99">
      <c r="A99" s="242" t="inlineStr">
        <is>
          <t>Quantum Computing</t>
        </is>
      </c>
      <c r="B99" s="206">
        <f>SUMIF($H$58:$H$84,A99,$C$58:$C$84)</f>
        <v>39.0</v>
      </c>
      <c r="C99" s="208">
        <f>B99/Holdco_Size</f>
        <v>0.04642857142857143</v>
      </c>
      <c r="D99" s="210">
        <f>COUNTIF($H$58:$H$84,A99)</f>
        <v>2</v>
      </c>
    </row>
    <row r="100">
      <c r="A100" s="242" t="inlineStr">
        <is>
          <t>Autonomy &amp; Unmanned Systems</t>
        </is>
      </c>
      <c r="B100" s="206">
        <f>SUMIF($H$58:$H$84,A100,$C$58:$C$84)</f>
        <v>76.5</v>
      </c>
      <c r="C100" s="208">
        <f>B100/Holdco_Size</f>
        <v>0.09107142857142857</v>
      </c>
      <c r="D100" s="210">
        <f>COUNTIF($H$58:$H$84,A100)</f>
        <v>2</v>
      </c>
    </row>
    <row r="101">
      <c r="A101" s="242" t="inlineStr">
        <is>
          <t>Directed Energy, EW &amp; ISR</t>
        </is>
      </c>
      <c r="B101" s="206">
        <f>SUMIF($H$58:$H$84,A101,$C$58:$C$84)</f>
        <v>75.0</v>
      </c>
      <c r="C101" s="208">
        <f>B101/Holdco_Size</f>
        <v>0.08928571428571429</v>
      </c>
      <c r="D101" s="210">
        <f>COUNTIF($H$58:$H$84,A101)</f>
        <v>2</v>
      </c>
    </row>
    <row r="102">
      <c r="A102" s="242" t="inlineStr">
        <is>
          <t>Munitions, Energetics &amp; Ordnance</t>
        </is>
      </c>
      <c r="B102" s="206">
        <f>SUMIF($H$58:$H$84,A102,$C$58:$C$84)</f>
        <v>165.0</v>
      </c>
      <c r="C102" s="208">
        <f>B102/Holdco_Size</f>
        <v>0.19642857142857142</v>
      </c>
      <c r="D102" s="210">
        <f>COUNTIF($H$58:$H$84,A102)</f>
        <v>4</v>
      </c>
    </row>
    <row r="103">
      <c r="A103" s="242" t="inlineStr">
        <is>
          <t>Defense Primes &amp; Services</t>
        </is>
      </c>
      <c r="B103" s="206">
        <f>SUMIF($H$58:$H$84,A103,$C$58:$C$84)</f>
        <v>80.0</v>
      </c>
      <c r="C103" s="208">
        <f>B103/Holdco_Size</f>
        <v>0.09523809523809523</v>
      </c>
      <c r="D103" s="210">
        <f>COUNTIF($H$58:$H$84,A103)</f>
        <v>2</v>
      </c>
    </row>
    <row r="104">
      <c r="A104" s="242" t="inlineStr">
        <is>
          <t>Consumer DTC &amp; Wellness</t>
        </is>
      </c>
      <c r="B104" s="206">
        <f>SUMIF($H$58:$H$84,A104,$C$58:$C$84)</f>
        <v>129.5</v>
      </c>
      <c r="C104" s="208">
        <f>B104/Holdco_Size</f>
        <v>0.15416666666666667</v>
      </c>
      <c r="D104" s="210">
        <f>COUNTIF($H$58:$H$84,A104)</f>
        <v>6</v>
      </c>
    </row>
    <row r="105">
      <c r="A105" s="242" t="inlineStr">
        <is>
          <t>Marketplaces, Payments &amp; Fintech</t>
        </is>
      </c>
      <c r="B105" s="206">
        <f>SUMIF($H$58:$H$84,A105,$C$58:$C$84)</f>
        <v>70.5</v>
      </c>
      <c r="C105" s="208">
        <f>B105/Holdco_Size</f>
        <v>0.08392857142857142</v>
      </c>
      <c r="D105" s="210">
        <f>COUNTIF($H$58:$H$84,A105)</f>
        <v>3</v>
      </c>
    </row>
    <row r="106">
      <c r="A106" s="249" t="inlineStr">
        <is>
          <t>Total</t>
        </is>
      </c>
      <c r="B106" s="233">
        <f>SUM(B96:B105)</f>
        <v>840.0</v>
      </c>
      <c r="C106" s="240">
        <f>SUM(C96:C105)</f>
        <v>1.0</v>
      </c>
      <c r="D106" s="251">
        <f>SUM(D96:D105)</f>
        <v>27.0</v>
      </c>
    </row>
    <row r="107"/>
    <row r="108">
      <c r="A108" s="203" t="inlineStr">
        <is>
          <t>REGION BREAKDOWN (% of committed capital)</t>
        </is>
      </c>
    </row>
    <row r="109">
      <c r="A109" s="198" t="inlineStr">
        <is>
          <t>Region</t>
        </is>
      </c>
      <c r="B109" s="198" t="inlineStr">
        <is>
          <t>Committed ($M)</t>
        </is>
      </c>
      <c r="C109" s="198" t="inlineStr">
        <is>
          <t>% of Holdco</t>
        </is>
      </c>
      <c r="D109" s="198" t="inlineStr">
        <is>
          <t># Holdings</t>
        </is>
      </c>
    </row>
    <row r="110">
      <c r="A110" s="242" t="inlineStr">
        <is>
          <t>North America</t>
        </is>
      </c>
      <c r="B110" s="206">
        <f>SUMIF($I$58:$I$84,A110,$C$58:$C$84)</f>
        <v>690.5</v>
      </c>
      <c r="C110" s="208">
        <f>B110/Holdco_Size</f>
        <v>0.8220238095238095</v>
      </c>
      <c r="D110" s="210">
        <f>COUNTIF($I$58:$I$84,A110)</f>
        <v>22</v>
      </c>
    </row>
    <row r="111">
      <c r="A111" s="242" t="inlineStr">
        <is>
          <t>Israel</t>
        </is>
      </c>
      <c r="B111" s="206">
        <f>SUMIF($I$58:$I$84,A111,$C$58:$C$84)</f>
        <v>70.0</v>
      </c>
      <c r="C111" s="208">
        <f>B111/Holdco_Size</f>
        <v>0.08333333333333333</v>
      </c>
      <c r="D111" s="210">
        <f>COUNTIF($I$58:$I$84,A111)</f>
        <v>2</v>
      </c>
    </row>
    <row r="112">
      <c r="A112" s="242" t="inlineStr">
        <is>
          <t>Europe</t>
        </is>
      </c>
      <c r="B112" s="206">
        <f>SUMIF($I$58:$I$84,A112,$C$58:$C$84)</f>
        <v>35.0</v>
      </c>
      <c r="C112" s="208">
        <f>B112/Holdco_Size</f>
        <v>0.041666666666666664</v>
      </c>
      <c r="D112" s="210">
        <f>COUNTIF($I$58:$I$84,A112)</f>
        <v>1</v>
      </c>
    </row>
    <row r="113">
      <c r="A113" s="242" t="inlineStr">
        <is>
          <t>Asia-Pacific</t>
        </is>
      </c>
      <c r="B113" s="206">
        <f>SUMIF($I$58:$I$84,A113,$C$58:$C$84)</f>
        <v>44.5</v>
      </c>
      <c r="C113" s="208">
        <f>B113/Holdco_Size</f>
        <v>0.052976190476190475</v>
      </c>
      <c r="D113" s="210">
        <f>COUNTIF($I$58:$I$84,A113)</f>
        <v>2</v>
      </c>
    </row>
    <row r="114">
      <c r="A114" s="249" t="inlineStr">
        <is>
          <t>Total</t>
        </is>
      </c>
      <c r="B114" s="233">
        <f>SUM(B110:B113)</f>
        <v>840.0</v>
      </c>
      <c r="C114" s="240">
        <f>SUM(C110:C113)</f>
        <v>1.0</v>
      </c>
      <c r="D114" s="251">
        <f>SUM(D110:D113)</f>
        <v>27.0</v>
      </c>
    </row>
    <row r="115"/>
    <row r="116">
      <c r="A116" s="203" t="inlineStr">
        <is>
          <t>STAGE / LIQUIDITY BREAKDOWN (% of committed capital)</t>
        </is>
      </c>
    </row>
    <row r="117">
      <c r="A117" s="198" t="inlineStr">
        <is>
          <t>Stage / liquidity</t>
        </is>
      </c>
      <c r="B117" s="198" t="inlineStr">
        <is>
          <t>Committed ($M)</t>
        </is>
      </c>
      <c r="C117" s="198" t="inlineStr">
        <is>
          <t>% of Holdco</t>
        </is>
      </c>
      <c r="D117" s="198" t="inlineStr">
        <is>
          <t># Holdings</t>
        </is>
      </c>
    </row>
    <row r="118">
      <c r="A118" s="242" t="inlineStr">
        <is>
          <t>Public / Listed</t>
        </is>
      </c>
      <c r="B118" s="206">
        <f>SUMIF($J$58:$J$84,A118,$C$58:$C$84)</f>
        <v>60.0</v>
      </c>
      <c r="C118" s="208">
        <f>B118/Holdco_Size</f>
        <v>0.07142857142857142</v>
      </c>
      <c r="D118" s="210">
        <f>COUNTIF($J$58:$J$84,A118)</f>
        <v>2</v>
      </c>
    </row>
    <row r="119">
      <c r="A119" s="242" t="inlineStr">
        <is>
          <t>Pre-IPO</t>
        </is>
      </c>
      <c r="B119" s="206">
        <f>SUMIF($J$58:$J$84,A119,$C$58:$C$84)</f>
        <v>147.0</v>
      </c>
      <c r="C119" s="208">
        <f>B119/Holdco_Size</f>
        <v>0.175</v>
      </c>
      <c r="D119" s="210">
        <f>COUNTIF($J$58:$J$84,A119)</f>
        <v>5</v>
      </c>
    </row>
    <row r="120">
      <c r="A120" s="242" t="inlineStr">
        <is>
          <t>Late-stage Private</t>
        </is>
      </c>
      <c r="B120" s="206">
        <f>SUMIF($J$58:$J$84,A120,$C$58:$C$84)</f>
        <v>330.0</v>
      </c>
      <c r="C120" s="208">
        <f>B120/Holdco_Size</f>
        <v>0.39285714285714285</v>
      </c>
      <c r="D120" s="210">
        <f>COUNTIF($J$58:$J$84,A120)</f>
        <v>9</v>
      </c>
    </row>
    <row r="121">
      <c r="A121" s="242" t="inlineStr">
        <is>
          <t>Growth</t>
        </is>
      </c>
      <c r="B121" s="206">
        <f>SUMIF($J$58:$J$84,A121,$C$58:$C$84)</f>
        <v>279.5</v>
      </c>
      <c r="C121" s="208">
        <f>B121/Holdco_Size</f>
        <v>0.3327380952380952</v>
      </c>
      <c r="D121" s="210">
        <f>COUNTIF($J$58:$J$84,A121)</f>
        <v>8</v>
      </c>
    </row>
    <row r="122">
      <c r="A122" s="242" t="inlineStr">
        <is>
          <t>Seed &amp; Early</t>
        </is>
      </c>
      <c r="B122" s="206">
        <f>SUMIF($J$58:$J$84,A122,$C$58:$C$84)</f>
        <v>23.5</v>
      </c>
      <c r="C122" s="208">
        <f>B122/Holdco_Size</f>
        <v>0.027976190476190477</v>
      </c>
      <c r="D122" s="210">
        <f>COUNTIF($J$58:$J$84,A122)</f>
        <v>3</v>
      </c>
    </row>
    <row r="123">
      <c r="A123" s="249" t="inlineStr">
        <is>
          <t>Total</t>
        </is>
      </c>
      <c r="B123" s="233">
        <f>SUM(B118:B122)</f>
        <v>840.0</v>
      </c>
      <c r="C123" s="240">
        <f>SUM(C118:C122)</f>
        <v>0.9999999999999999</v>
      </c>
      <c r="D123" s="251">
        <f>SUM(D118:D122)</f>
        <v>27.0</v>
      </c>
    </row>
    <row r="124"/>
    <row r="125">
      <c r="A125" s="225" t="inlineStr">
        <is>
          <t>E | KEY TERMS (links)</t>
        </is>
      </c>
    </row>
    <row r="126">
      <c r="A126" s="200" t="inlineStr">
        <is>
          <t>Management fee (% committed / yr)</t>
        </is>
      </c>
      <c r="B126" s="256">
        <f>Mgmt_Fee</f>
        <v>0.02</v>
      </c>
    </row>
    <row r="127">
      <c r="A127" s="200" t="inlineStr">
        <is>
          <t>Carried interest</t>
        </is>
      </c>
      <c r="B127" s="256">
        <f>Carry</f>
        <v>0.2</v>
      </c>
    </row>
    <row r="128">
      <c r="A128" s="200" t="inlineStr">
        <is>
          <t>Preferred return (compounded)</t>
        </is>
      </c>
      <c r="B128" s="256">
        <f>Pref</f>
        <v>0.08</v>
      </c>
    </row>
    <row r="129">
      <c r="A129" s="200" t="inlineStr">
        <is>
          <t>Waterfall</t>
        </is>
      </c>
      <c r="B129" s="242" t="inlineStr">
        <is>
          <t>Whole-fund European, no GP catch-up</t>
        </is>
      </c>
    </row>
    <row r="130">
      <c r="A130" s="200" t="inlineStr">
        <is>
          <t>Hold periods modelled (yrs)</t>
        </is>
      </c>
      <c r="B130" s="248" t="str">
        <f>Hold_Short&amp;" / "&amp;Hold_Mid&amp;" / "&amp;Hold_Long</f>
        <v>5 / 7 / 10</v>
      </c>
    </row>
    <row r="131">
      <c r="A131" s="200" t="inlineStr">
        <is>
          <t>IQT retention @ short / mid / long</t>
        </is>
      </c>
      <c r="B131" s="248" t="str">
        <f>TEXT(Ret_IQT_Short,"0%")&amp;" / "&amp;TEXT(Ret_IQT_Mid,"0%")&amp;" / "&amp;TEXT(Ret_IQT_Long,"0%")</f>
        <v>85% / 78% / 68%</v>
      </c>
    </row>
    <row r="132">
      <c r="A132" s="200" t="inlineStr">
        <is>
          <t>Weapons retention @ short / mid / long</t>
        </is>
      </c>
      <c r="B132" s="248" t="str">
        <f>TEXT(Ret_Wpn_Short,"0%")&amp;" / "&amp;TEXT(Ret_Wpn_Mid,"0%")&amp;" / "&amp;TEXT(Ret_Wpn_Long,"0%")</f>
        <v>92% / 88% / 82%</v>
      </c>
    </row>
    <row r="133">
      <c r="A133" s="200" t="inlineStr">
        <is>
          <t>Consumer retention @ short / mid / long</t>
        </is>
      </c>
      <c r="B133" s="248" t="str">
        <f>TEXT(Ret_Con_Short,"0%")&amp;" / "&amp;TEXT(Ret_Con_Mid,"0%")&amp;" / "&amp;TEXT(Ret_Con_Long,"0%")</f>
        <v>90% / 84% / 75%</v>
      </c>
    </row>
    <row r="134">
      <c r="A134" s="200" t="inlineStr">
        <is>
          <t>Scenario weights Base / Bull / Bear / Shock</t>
        </is>
      </c>
      <c r="B134" s="248" t="str">
        <f>TEXT(P_Base,"0%")&amp;" / "&amp;TEXT(P_Bull,"0%")&amp;" / "&amp;TEXT(P_Bear,"0%")&amp;" / "&amp;TEXT(P_Shock,"0%")</f>
        <v>45% / 25% / 15% / 15%</v>
      </c>
    </row>
    <row r="135">
      <c r="A135" s="200" t="inlineStr">
        <is>
          <t>S&amp;P 500 benchmark CAGR</t>
        </is>
      </c>
      <c r="B135" s="256">
        <f>SPX_CAGR</f>
        <v>0.09</v>
      </c>
    </row>
    <row r="136">
      <c r="A136" s="200" t="inlineStr">
        <is>
          <t>Nasdaq-100 benchmark CAGR</t>
        </is>
      </c>
      <c r="B136" s="256">
        <f>NDX_CAGR</f>
        <v>0.13</v>
      </c>
    </row>
    <row r="137">
      <c r="A137" s="200" t="inlineStr">
        <is>
          <t>Defense+Semis basket CAGR (fwd)</t>
        </is>
      </c>
      <c r="B137" s="256">
        <f>Basket_CAGR</f>
        <v>0.15</v>
      </c>
    </row>
    <row r="138">
      <c r="A138" s="200" t="inlineStr">
        <is>
          <t>IQT follow-on reserve ($M)</t>
        </is>
      </c>
      <c r="B138" s="257">
        <f>Assumptions!B7</f>
        <v>25</v>
      </c>
    </row>
    <row r="139">
      <c r="A139" s="200" t="inlineStr">
        <is>
          <t>Consumer cohort weights prime / entering / boomer</t>
        </is>
      </c>
      <c r="B139" s="248" t="str">
        <f>TEXT('Consumer Sleeve'!T5,"0%")&amp;" / "&amp;TEXT('Consumer Sleeve'!T6,"0%")&amp;" / "&amp;TEXT('Consumer Sleeve'!T7,"0%")</f>
        <v>50% / 30% / 20%</v>
      </c>
    </row>
    <row r="140">
      <c r="A140" s="200" t="inlineStr">
        <is>
          <t>Consumer cohort uplift per point Base / Bull / Bear / Shock</t>
        </is>
      </c>
      <c r="B140" s="248" t="str">
        <f>TEXT('Consumer Sleeve'!Q5,"0.0%")&amp;" / "&amp;TEXT('Consumer Sleeve'!Q6,"0.0%")&amp;" / "&amp;TEXT('Consumer Sleeve'!Q7,"0.0%")&amp;" / "&amp;TEXT('Consumer Sleeve'!Q8,"0.0%")</f>
        <v>0.5% / 0.8% / 0.4% / 0.3%</v>
      </c>
    </row>
    <row r="141">
      <c r="A141" s="200" t="inlineStr">
        <is>
          <t>Consumer avg cohort exposure score</t>
        </is>
      </c>
      <c r="B141" s="258">
        <f>AVERAGE('Consumer Sleeve'!S12:S20)</f>
        <v>3.4111111111111114</v>
      </c>
    </row>
    <row r="142">
      <c r="A142" s="200" t="inlineStr">
        <is>
          <t>Weapons avg munitions/FMS exposure score</t>
        </is>
      </c>
      <c r="B142" s="258">
        <f>AVERAGE('Weapons Sleeve'!R12:R20)</f>
        <v>3.5555555555555554</v>
      </c>
    </row>
  </sheetData>
  <printOptions horizontalCentered="1"/>
  <pageMargins left="0.75" right="0.75" top="1" bottom="1" header="0.5" footer="0.5"/>
  <pageSetup orientation="landscape" paperSize="1" fitToHeight="0" fitToWidth="1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2026-09-22T13:41:58Z</dcterms:created>
  <dcterms:modified xsi:type="dcterms:W3CDTF">2026-10-02T05:56:15Z</dcterms:modified>
  <cp:lastModifiedBy>Donald Ritts</cp:lastModifiedBy>
  <cp:revision>0</cp:revision>
</cp:coreProperties>
</file>