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onald_ritts/Downloads/"/>
    </mc:Choice>
  </mc:AlternateContent>
  <xr:revisionPtr revIDLastSave="0" documentId="8_{E3F319B8-D37C-8040-86BF-6236BA63D80D}" xr6:coauthVersionLast="47" xr6:coauthVersionMax="47" xr10:uidLastSave="{00000000-0000-0000-0000-000000000000}"/>
  <bookViews>
    <workbookView xWindow="4420" yWindow="660" windowWidth="21400" windowHeight="18040" tabRatio="500" firstSheet="4" activeTab="10" xr2:uid="{00000000-000D-0000-FFFF-FFFF00000000}"/>
  </bookViews>
  <sheets>
    <sheet name="Read Me" sheetId="1" r:id="rId1"/>
    <sheet name="Holdco Summary" sheetId="2" r:id="rId2"/>
    <sheet name="Macro Overlay" sheetId="3" r:id="rId3"/>
    <sheet name="Assumptions" sheetId="4" r:id="rId4"/>
    <sheet name="Defense Supercycle" sheetId="5" r:id="rId5"/>
    <sheet name="Allocation" sheetId="6" r:id="rId6"/>
    <sheet name="Portfolio Returns" sheetId="7" r:id="rId7"/>
    <sheet name="Fund Economics" sheetId="8" r:id="rId8"/>
    <sheet name="IQT Clusters" sheetId="9" r:id="rId9"/>
    <sheet name="Weapons Sleeve" sheetId="10" r:id="rId10"/>
    <sheet name="Consumer Sleeve" sheetId="11" r:id="rId11"/>
    <sheet name="PME, DPI &amp; Sensitivity" sheetId="12" r:id="rId12"/>
    <sheet name="Scenario Summary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9" i="13" l="1"/>
  <c r="F52" i="12"/>
  <c r="E52" i="12"/>
  <c r="D52" i="12"/>
  <c r="C52" i="12"/>
  <c r="B52" i="12"/>
  <c r="F49" i="12"/>
  <c r="E49" i="12"/>
  <c r="D49" i="12"/>
  <c r="C49" i="12"/>
  <c r="B49" i="12"/>
  <c r="F36" i="12"/>
  <c r="E36" i="12"/>
  <c r="D36" i="12"/>
  <c r="C36" i="12"/>
  <c r="B36" i="12"/>
  <c r="F33" i="12"/>
  <c r="E33" i="12"/>
  <c r="D33" i="12"/>
  <c r="C33" i="12"/>
  <c r="B33" i="12"/>
  <c r="F20" i="12"/>
  <c r="E20" i="12"/>
  <c r="D20" i="12"/>
  <c r="C20" i="12"/>
  <c r="B20" i="12"/>
  <c r="F17" i="12"/>
  <c r="E17" i="12"/>
  <c r="D17" i="12"/>
  <c r="C17" i="12"/>
  <c r="B17" i="12"/>
  <c r="B62" i="11"/>
  <c r="L61" i="11"/>
  <c r="I61" i="11"/>
  <c r="B61" i="11"/>
  <c r="A61" i="11"/>
  <c r="B60" i="11"/>
  <c r="A60" i="11"/>
  <c r="B59" i="11"/>
  <c r="A59" i="11"/>
  <c r="B58" i="11"/>
  <c r="A58" i="11"/>
  <c r="B57" i="11"/>
  <c r="A57" i="11"/>
  <c r="B56" i="11"/>
  <c r="A56" i="11"/>
  <c r="B55" i="11"/>
  <c r="A55" i="11"/>
  <c r="B54" i="11"/>
  <c r="A54" i="11"/>
  <c r="B53" i="11"/>
  <c r="A53" i="11"/>
  <c r="B47" i="11"/>
  <c r="A47" i="11"/>
  <c r="B46" i="11"/>
  <c r="A46" i="11"/>
  <c r="L45" i="11"/>
  <c r="B45" i="11"/>
  <c r="A45" i="11"/>
  <c r="B44" i="11"/>
  <c r="A44" i="11"/>
  <c r="B43" i="11"/>
  <c r="A43" i="11"/>
  <c r="B42" i="11"/>
  <c r="A42" i="11"/>
  <c r="B41" i="11"/>
  <c r="A41" i="11"/>
  <c r="B40" i="11"/>
  <c r="A40" i="11"/>
  <c r="B39" i="11"/>
  <c r="A39" i="11"/>
  <c r="B33" i="11"/>
  <c r="A33" i="11"/>
  <c r="B32" i="11"/>
  <c r="A32" i="11"/>
  <c r="B31" i="11"/>
  <c r="A31" i="11"/>
  <c r="B30" i="11"/>
  <c r="A30" i="11"/>
  <c r="B29" i="11"/>
  <c r="A29" i="11"/>
  <c r="B28" i="11"/>
  <c r="A28" i="11"/>
  <c r="B27" i="11"/>
  <c r="A27" i="11"/>
  <c r="B26" i="11"/>
  <c r="A26" i="11"/>
  <c r="B25" i="11"/>
  <c r="A25" i="11"/>
  <c r="C21" i="11"/>
  <c r="D20" i="11"/>
  <c r="D19" i="11"/>
  <c r="D18" i="11"/>
  <c r="D17" i="11"/>
  <c r="D16" i="11"/>
  <c r="D15" i="11"/>
  <c r="D14" i="11"/>
  <c r="D13" i="11"/>
  <c r="D12" i="11"/>
  <c r="B5" i="11"/>
  <c r="B53" i="10"/>
  <c r="A53" i="10"/>
  <c r="B52" i="10"/>
  <c r="A52" i="10"/>
  <c r="B51" i="10"/>
  <c r="A51" i="10"/>
  <c r="B50" i="10"/>
  <c r="A50" i="10"/>
  <c r="B49" i="10"/>
  <c r="A49" i="10"/>
  <c r="B48" i="10"/>
  <c r="A48" i="10"/>
  <c r="B47" i="10"/>
  <c r="A47" i="10"/>
  <c r="B41" i="10"/>
  <c r="A41" i="10"/>
  <c r="B40" i="10"/>
  <c r="A40" i="10"/>
  <c r="B39" i="10"/>
  <c r="A39" i="10"/>
  <c r="B38" i="10"/>
  <c r="A38" i="10"/>
  <c r="B37" i="10"/>
  <c r="A37" i="10"/>
  <c r="B36" i="10"/>
  <c r="A36" i="10"/>
  <c r="B35" i="10"/>
  <c r="A35" i="10"/>
  <c r="B29" i="10"/>
  <c r="A29" i="10"/>
  <c r="B28" i="10"/>
  <c r="A28" i="10"/>
  <c r="L27" i="10"/>
  <c r="B27" i="10"/>
  <c r="A27" i="10"/>
  <c r="B26" i="10"/>
  <c r="A26" i="10"/>
  <c r="B25" i="10"/>
  <c r="A25" i="10"/>
  <c r="F24" i="10"/>
  <c r="B24" i="10"/>
  <c r="A24" i="10"/>
  <c r="B23" i="10"/>
  <c r="A23" i="10"/>
  <c r="C19" i="10"/>
  <c r="D18" i="10"/>
  <c r="D17" i="10"/>
  <c r="D16" i="10"/>
  <c r="D15" i="10"/>
  <c r="D14" i="10"/>
  <c r="D13" i="10"/>
  <c r="D12" i="10"/>
  <c r="B5" i="10"/>
  <c r="B33" i="9"/>
  <c r="B32" i="9"/>
  <c r="B31" i="9"/>
  <c r="B30" i="9"/>
  <c r="B25" i="9"/>
  <c r="B24" i="9"/>
  <c r="B23" i="9"/>
  <c r="B22" i="9"/>
  <c r="G17" i="9"/>
  <c r="E17" i="9"/>
  <c r="C17" i="9"/>
  <c r="B17" i="9"/>
  <c r="B16" i="9"/>
  <c r="B15" i="9"/>
  <c r="B14" i="9"/>
  <c r="C9" i="9"/>
  <c r="C8" i="9"/>
  <c r="C7" i="9"/>
  <c r="C6" i="9"/>
  <c r="I42" i="7"/>
  <c r="F42" i="7"/>
  <c r="D42" i="7"/>
  <c r="C42" i="7"/>
  <c r="B42" i="7"/>
  <c r="A42" i="7"/>
  <c r="I41" i="7"/>
  <c r="F41" i="7"/>
  <c r="C41" i="7"/>
  <c r="B41" i="7"/>
  <c r="A41" i="7"/>
  <c r="I40" i="7"/>
  <c r="F40" i="7"/>
  <c r="C40" i="7"/>
  <c r="B40" i="7"/>
  <c r="A40" i="7"/>
  <c r="I39" i="7"/>
  <c r="F39" i="7"/>
  <c r="C39" i="7"/>
  <c r="B39" i="7"/>
  <c r="A39" i="7"/>
  <c r="I38" i="7"/>
  <c r="F38" i="7"/>
  <c r="C38" i="7"/>
  <c r="B38" i="7"/>
  <c r="A38" i="7"/>
  <c r="I37" i="7"/>
  <c r="F37" i="7"/>
  <c r="C37" i="7"/>
  <c r="B37" i="7"/>
  <c r="A37" i="7"/>
  <c r="I36" i="7"/>
  <c r="F36" i="7"/>
  <c r="C36" i="7"/>
  <c r="B36" i="7"/>
  <c r="A36" i="7"/>
  <c r="I35" i="7"/>
  <c r="F35" i="7"/>
  <c r="C35" i="7"/>
  <c r="B35" i="7"/>
  <c r="A35" i="7"/>
  <c r="I34" i="7"/>
  <c r="F34" i="7"/>
  <c r="C34" i="7"/>
  <c r="B34" i="7"/>
  <c r="A34" i="7"/>
  <c r="I28" i="7"/>
  <c r="F28" i="7"/>
  <c r="C28" i="7"/>
  <c r="B28" i="7"/>
  <c r="A28" i="7"/>
  <c r="I27" i="7"/>
  <c r="F27" i="7"/>
  <c r="C27" i="7"/>
  <c r="B27" i="7"/>
  <c r="A27" i="7"/>
  <c r="I26" i="7"/>
  <c r="F26" i="7"/>
  <c r="C26" i="7"/>
  <c r="B26" i="7"/>
  <c r="A26" i="7"/>
  <c r="I25" i="7"/>
  <c r="F25" i="7"/>
  <c r="C25" i="7"/>
  <c r="B25" i="7"/>
  <c r="A25" i="7"/>
  <c r="I24" i="7"/>
  <c r="F24" i="7"/>
  <c r="C24" i="7"/>
  <c r="B24" i="7"/>
  <c r="A24" i="7"/>
  <c r="I23" i="7"/>
  <c r="F23" i="7"/>
  <c r="C23" i="7"/>
  <c r="B23" i="7"/>
  <c r="A23" i="7"/>
  <c r="I22" i="7"/>
  <c r="F22" i="7"/>
  <c r="C22" i="7"/>
  <c r="B22" i="7"/>
  <c r="A22" i="7"/>
  <c r="I21" i="7"/>
  <c r="F21" i="7"/>
  <c r="C21" i="7"/>
  <c r="B21" i="7"/>
  <c r="A21" i="7"/>
  <c r="I20" i="7"/>
  <c r="F20" i="7"/>
  <c r="C20" i="7"/>
  <c r="B20" i="7"/>
  <c r="A20" i="7"/>
  <c r="I14" i="7"/>
  <c r="F14" i="7"/>
  <c r="C14" i="7"/>
  <c r="B14" i="7"/>
  <c r="A14" i="7"/>
  <c r="I13" i="7"/>
  <c r="F13" i="7"/>
  <c r="C13" i="7"/>
  <c r="B13" i="7"/>
  <c r="A13" i="7"/>
  <c r="I12" i="7"/>
  <c r="F12" i="7"/>
  <c r="C12" i="7"/>
  <c r="B12" i="7"/>
  <c r="A12" i="7"/>
  <c r="I11" i="7"/>
  <c r="F11" i="7"/>
  <c r="C11" i="7"/>
  <c r="B11" i="7"/>
  <c r="A11" i="7"/>
  <c r="I10" i="7"/>
  <c r="F10" i="7"/>
  <c r="C10" i="7"/>
  <c r="B10" i="7"/>
  <c r="A10" i="7"/>
  <c r="I9" i="7"/>
  <c r="F9" i="7"/>
  <c r="C9" i="7"/>
  <c r="B9" i="7"/>
  <c r="A9" i="7"/>
  <c r="I8" i="7"/>
  <c r="F8" i="7"/>
  <c r="C8" i="7"/>
  <c r="B8" i="7"/>
  <c r="A8" i="7"/>
  <c r="I7" i="7"/>
  <c r="F7" i="7"/>
  <c r="C7" i="7"/>
  <c r="B7" i="7"/>
  <c r="A7" i="7"/>
  <c r="I6" i="7"/>
  <c r="F6" i="7"/>
  <c r="C6" i="7"/>
  <c r="B6" i="7"/>
  <c r="A6" i="7"/>
  <c r="F13" i="6"/>
  <c r="B13" i="6"/>
  <c r="A13" i="6"/>
  <c r="F12" i="6"/>
  <c r="B12" i="6"/>
  <c r="A12" i="6"/>
  <c r="F11" i="6"/>
  <c r="B11" i="6"/>
  <c r="A11" i="6"/>
  <c r="F10" i="6"/>
  <c r="B10" i="6"/>
  <c r="A10" i="6"/>
  <c r="F9" i="6"/>
  <c r="B9" i="6"/>
  <c r="A9" i="6"/>
  <c r="F8" i="6"/>
  <c r="B8" i="6"/>
  <c r="A8" i="6"/>
  <c r="F7" i="6"/>
  <c r="B7" i="6"/>
  <c r="A7" i="6"/>
  <c r="F6" i="6"/>
  <c r="B6" i="6"/>
  <c r="A6" i="6"/>
  <c r="F5" i="6"/>
  <c r="B5" i="6"/>
  <c r="A5" i="6"/>
  <c r="G32" i="5"/>
  <c r="G31" i="5"/>
  <c r="G30" i="5"/>
  <c r="G29" i="5"/>
  <c r="G28" i="5"/>
  <c r="G27" i="5"/>
  <c r="G26" i="5"/>
  <c r="G25" i="5"/>
  <c r="G24" i="5"/>
  <c r="B21" i="5"/>
  <c r="B10" i="5"/>
  <c r="C27" i="4"/>
  <c r="D26" i="4"/>
  <c r="D25" i="4"/>
  <c r="D24" i="4"/>
  <c r="D23" i="4"/>
  <c r="D22" i="4"/>
  <c r="D21" i="4"/>
  <c r="D20" i="4"/>
  <c r="D19" i="4"/>
  <c r="D18" i="4"/>
  <c r="B5" i="4"/>
  <c r="B22" i="2"/>
  <c r="B21" i="2"/>
  <c r="B9" i="2"/>
  <c r="L30" i="11" l="1"/>
  <c r="C30" i="11"/>
  <c r="L29" i="11"/>
  <c r="F28" i="11"/>
  <c r="C25" i="11"/>
  <c r="L52" i="10"/>
  <c r="L51" i="10"/>
  <c r="C51" i="10"/>
  <c r="L50" i="10"/>
  <c r="I50" i="10"/>
  <c r="C50" i="10"/>
  <c r="L49" i="10"/>
  <c r="I49" i="10"/>
  <c r="I47" i="10"/>
  <c r="C47" i="10"/>
  <c r="L40" i="10"/>
  <c r="C40" i="10"/>
  <c r="L39" i="10"/>
  <c r="I37" i="10"/>
  <c r="F29" i="10"/>
  <c r="F28" i="10"/>
  <c r="I27" i="10"/>
  <c r="L25" i="10"/>
  <c r="I25" i="10"/>
  <c r="C25" i="10"/>
  <c r="C23" i="10"/>
  <c r="G32" i="9"/>
  <c r="H32" i="9" s="1"/>
  <c r="E31" i="9"/>
  <c r="F31" i="9" s="1"/>
  <c r="E30" i="9"/>
  <c r="C25" i="9"/>
  <c r="D25" i="9" s="1"/>
  <c r="B18" i="9"/>
  <c r="D9" i="9"/>
  <c r="E8" i="9"/>
  <c r="E7" i="9"/>
  <c r="D7" i="9"/>
  <c r="I43" i="7"/>
  <c r="B43" i="7"/>
  <c r="H39" i="7"/>
  <c r="J34" i="7"/>
  <c r="F29" i="7"/>
  <c r="G27" i="7"/>
  <c r="K26" i="7"/>
  <c r="E26" i="7"/>
  <c r="K25" i="7"/>
  <c r="D24" i="7"/>
  <c r="J23" i="7"/>
  <c r="E23" i="7"/>
  <c r="H22" i="7"/>
  <c r="G21" i="7"/>
  <c r="F61" i="11"/>
  <c r="C61" i="11"/>
  <c r="L60" i="11"/>
  <c r="I60" i="11"/>
  <c r="F60" i="11"/>
  <c r="C60" i="11"/>
  <c r="L59" i="11"/>
  <c r="I59" i="11"/>
  <c r="F59" i="11"/>
  <c r="C59" i="11"/>
  <c r="L58" i="11"/>
  <c r="I58" i="11"/>
  <c r="F58" i="11"/>
  <c r="C58" i="11"/>
  <c r="L57" i="11"/>
  <c r="I57" i="11"/>
  <c r="F57" i="11"/>
  <c r="C57" i="11"/>
  <c r="L56" i="11"/>
  <c r="I56" i="11"/>
  <c r="F56" i="11"/>
  <c r="C56" i="11"/>
  <c r="L55" i="11"/>
  <c r="I55" i="11"/>
  <c r="F55" i="11"/>
  <c r="C55" i="11"/>
  <c r="L54" i="11"/>
  <c r="I54" i="11"/>
  <c r="F54" i="11"/>
  <c r="C54" i="11"/>
  <c r="L53" i="11"/>
  <c r="I53" i="11"/>
  <c r="F53" i="11"/>
  <c r="C53" i="11"/>
  <c r="B48" i="11"/>
  <c r="L47" i="11"/>
  <c r="I47" i="11"/>
  <c r="C47" i="11"/>
  <c r="F46" i="11"/>
  <c r="I45" i="11"/>
  <c r="F45" i="11"/>
  <c r="C45" i="11"/>
  <c r="C44" i="11"/>
  <c r="L43" i="11"/>
  <c r="C43" i="11"/>
  <c r="F42" i="11"/>
  <c r="C42" i="11"/>
  <c r="F41" i="11"/>
  <c r="L40" i="11"/>
  <c r="I40" i="11"/>
  <c r="C40" i="11"/>
  <c r="L39" i="11"/>
  <c r="C39" i="11"/>
  <c r="B34" i="11"/>
  <c r="L32" i="11"/>
  <c r="C32" i="11"/>
  <c r="I30" i="11"/>
  <c r="C29" i="11"/>
  <c r="L27" i="11"/>
  <c r="L25" i="11"/>
  <c r="I25" i="11"/>
  <c r="B54" i="10"/>
  <c r="F53" i="10"/>
  <c r="C52" i="10"/>
  <c r="C49" i="10"/>
  <c r="L48" i="10"/>
  <c r="F48" i="10"/>
  <c r="C48" i="10"/>
  <c r="L47" i="10"/>
  <c r="L41" i="10"/>
  <c r="I41" i="10"/>
  <c r="F41" i="10"/>
  <c r="I39" i="10"/>
  <c r="L38" i="10"/>
  <c r="I38" i="10"/>
  <c r="L35" i="10"/>
  <c r="B30" i="10"/>
  <c r="I29" i="10"/>
  <c r="F27" i="10"/>
  <c r="C27" i="10"/>
  <c r="F26" i="10"/>
  <c r="C24" i="10"/>
  <c r="L23" i="10"/>
  <c r="C32" i="9"/>
  <c r="D32" i="9" s="1"/>
  <c r="C31" i="9"/>
  <c r="D31" i="9" s="1"/>
  <c r="E16" i="9"/>
  <c r="F16" i="9" s="1"/>
  <c r="F8" i="9"/>
  <c r="C43" i="7"/>
  <c r="K41" i="7"/>
  <c r="J38" i="7"/>
  <c r="C29" i="7"/>
  <c r="H28" i="7"/>
  <c r="D27" i="7"/>
  <c r="K22" i="7"/>
  <c r="K20" i="7"/>
  <c r="C33" i="9"/>
  <c r="D33" i="9" s="1"/>
  <c r="E32" i="9"/>
  <c r="F32" i="9" s="1"/>
  <c r="G31" i="9"/>
  <c r="H31" i="9" s="1"/>
  <c r="D17" i="9"/>
  <c r="G16" i="9"/>
  <c r="H16" i="9" s="1"/>
  <c r="C15" i="9"/>
  <c r="D15" i="9" s="1"/>
  <c r="C10" i="9"/>
  <c r="F7" i="9"/>
  <c r="F6" i="9"/>
  <c r="B43" i="8"/>
  <c r="C40" i="8"/>
  <c r="E27" i="8"/>
  <c r="C27" i="8"/>
  <c r="E24" i="8"/>
  <c r="B24" i="8"/>
  <c r="E23" i="8"/>
  <c r="B23" i="8"/>
  <c r="D11" i="8"/>
  <c r="D8" i="8"/>
  <c r="B8" i="8"/>
  <c r="D7" i="8"/>
  <c r="B7" i="8"/>
  <c r="F43" i="7"/>
  <c r="E41" i="7"/>
  <c r="G40" i="7"/>
  <c r="K39" i="7"/>
  <c r="G39" i="7"/>
  <c r="D39" i="7"/>
  <c r="K38" i="7"/>
  <c r="G38" i="7"/>
  <c r="D38" i="7"/>
  <c r="K37" i="7"/>
  <c r="E37" i="7"/>
  <c r="J28" i="7"/>
  <c r="K27" i="7"/>
  <c r="G26" i="7"/>
  <c r="G25" i="7"/>
  <c r="D25" i="7"/>
  <c r="D22" i="7"/>
  <c r="J21" i="7"/>
  <c r="H21" i="7"/>
  <c r="E24" i="9"/>
  <c r="F24" i="9" s="1"/>
  <c r="C24" i="9"/>
  <c r="D24" i="9" s="1"/>
  <c r="G23" i="9"/>
  <c r="H23" i="9" s="1"/>
  <c r="E23" i="9"/>
  <c r="F23" i="9" s="1"/>
  <c r="C23" i="9"/>
  <c r="D23" i="9" s="1"/>
  <c r="G22" i="9"/>
  <c r="E22" i="9"/>
  <c r="C22" i="9"/>
  <c r="G15" i="9"/>
  <c r="H15" i="9" s="1"/>
  <c r="C14" i="9"/>
  <c r="F9" i="9"/>
  <c r="E43" i="8"/>
  <c r="E39" i="8"/>
  <c r="C24" i="8"/>
  <c r="D23" i="8"/>
  <c r="C11" i="8"/>
  <c r="C8" i="8"/>
  <c r="E7" i="8"/>
  <c r="J42" i="7"/>
  <c r="G42" i="7"/>
  <c r="G41" i="7"/>
  <c r="D41" i="7"/>
  <c r="J40" i="7"/>
  <c r="H40" i="7"/>
  <c r="J39" i="7"/>
  <c r="E39" i="7"/>
  <c r="G37" i="7"/>
  <c r="D37" i="7"/>
  <c r="H35" i="7"/>
  <c r="E35" i="7"/>
  <c r="K34" i="7"/>
  <c r="H34" i="7"/>
  <c r="G34" i="7"/>
  <c r="B29" i="7"/>
  <c r="K28" i="7"/>
  <c r="J27" i="7"/>
  <c r="H27" i="7"/>
  <c r="J22" i="7"/>
  <c r="D21" i="7"/>
  <c r="G20" i="7"/>
  <c r="E20" i="7"/>
  <c r="D20" i="7"/>
  <c r="I15" i="7"/>
  <c r="F15" i="7"/>
  <c r="C15" i="7"/>
  <c r="B15" i="7"/>
  <c r="K14" i="7"/>
  <c r="J14" i="7"/>
  <c r="H14" i="7"/>
  <c r="G14" i="7"/>
  <c r="E14" i="7"/>
  <c r="D14" i="7"/>
  <c r="K13" i="7"/>
  <c r="J13" i="7"/>
  <c r="H13" i="7"/>
  <c r="G13" i="7"/>
  <c r="E13" i="7"/>
  <c r="D13" i="7"/>
  <c r="K12" i="7"/>
  <c r="J12" i="7"/>
  <c r="H12" i="7"/>
  <c r="G12" i="7"/>
  <c r="E12" i="7"/>
  <c r="D12" i="7"/>
  <c r="K11" i="7"/>
  <c r="J11" i="7"/>
  <c r="H11" i="7"/>
  <c r="G11" i="7"/>
  <c r="E11" i="7"/>
  <c r="D11" i="7"/>
  <c r="K10" i="7"/>
  <c r="J10" i="7"/>
  <c r="H10" i="7"/>
  <c r="G10" i="7"/>
  <c r="E10" i="7"/>
  <c r="D10" i="7"/>
  <c r="K9" i="7"/>
  <c r="J9" i="7"/>
  <c r="H9" i="7"/>
  <c r="G9" i="7"/>
  <c r="E9" i="7"/>
  <c r="D9" i="7"/>
  <c r="K8" i="7"/>
  <c r="J8" i="7"/>
  <c r="H8" i="7"/>
  <c r="G8" i="7"/>
  <c r="E8" i="7"/>
  <c r="D8" i="7"/>
  <c r="K7" i="7"/>
  <c r="J7" i="7"/>
  <c r="H7" i="7"/>
  <c r="G7" i="7"/>
  <c r="E7" i="7"/>
  <c r="D7" i="7"/>
  <c r="K6" i="7"/>
  <c r="J6" i="7"/>
  <c r="H6" i="7"/>
  <c r="G6" i="7"/>
  <c r="E6" i="7"/>
  <c r="D6" i="7"/>
  <c r="B14" i="6"/>
  <c r="E13" i="6"/>
  <c r="D13" i="6"/>
  <c r="C13" i="6"/>
  <c r="E12" i="6"/>
  <c r="D12" i="6"/>
  <c r="C12" i="6"/>
  <c r="E11" i="6"/>
  <c r="D11" i="6"/>
  <c r="C11" i="6"/>
  <c r="E10" i="6"/>
  <c r="D10" i="6"/>
  <c r="C10" i="6"/>
  <c r="E9" i="6"/>
  <c r="D9" i="6"/>
  <c r="C9" i="6"/>
  <c r="E8" i="6"/>
  <c r="D8" i="6"/>
  <c r="C8" i="6"/>
  <c r="E7" i="6"/>
  <c r="D7" i="6"/>
  <c r="C7" i="6"/>
  <c r="E6" i="6"/>
  <c r="D6" i="6"/>
  <c r="C6" i="6"/>
  <c r="E5" i="6"/>
  <c r="D5" i="6"/>
  <c r="D14" i="6" s="1"/>
  <c r="C5" i="6"/>
  <c r="G33" i="5"/>
  <c r="H32" i="5"/>
  <c r="I32" i="5" s="1"/>
  <c r="H31" i="5"/>
  <c r="I31" i="5" s="1"/>
  <c r="I25" i="4" s="1"/>
  <c r="H30" i="5"/>
  <c r="I30" i="5" s="1"/>
  <c r="I24" i="4" s="1"/>
  <c r="H29" i="5"/>
  <c r="I29" i="5" s="1"/>
  <c r="H28" i="5"/>
  <c r="I28" i="5" s="1"/>
  <c r="I22" i="4" s="1"/>
  <c r="H27" i="5"/>
  <c r="I27" i="5" s="1"/>
  <c r="H26" i="5"/>
  <c r="I26" i="5" s="1"/>
  <c r="I20" i="4" s="1"/>
  <c r="H25" i="5"/>
  <c r="I25" i="5" s="1"/>
  <c r="I19" i="4" s="1"/>
  <c r="H24" i="5"/>
  <c r="I24" i="5" s="1"/>
  <c r="A28" i="4"/>
  <c r="E33" i="2"/>
  <c r="C33" i="2"/>
  <c r="F32" i="2"/>
  <c r="D32" i="2"/>
  <c r="B32" i="2"/>
  <c r="C8" i="2"/>
  <c r="C7" i="2"/>
  <c r="C6" i="2"/>
  <c r="C9" i="2" s="1"/>
  <c r="E25" i="7"/>
  <c r="J24" i="7"/>
  <c r="G23" i="7"/>
  <c r="K21" i="7"/>
  <c r="F78" i="2"/>
  <c r="E78" i="2"/>
  <c r="D78" i="2"/>
  <c r="C78" i="2"/>
  <c r="B78" i="2"/>
  <c r="F75" i="2"/>
  <c r="E75" i="2"/>
  <c r="D75" i="2"/>
  <c r="C75" i="2"/>
  <c r="B75" i="2"/>
  <c r="F74" i="2"/>
  <c r="E74" i="2"/>
  <c r="D74" i="2"/>
  <c r="C74" i="2"/>
  <c r="B74" i="2"/>
  <c r="F57" i="2"/>
  <c r="E57" i="2"/>
  <c r="D57" i="2"/>
  <c r="C57" i="2"/>
  <c r="B57" i="2"/>
  <c r="F54" i="2"/>
  <c r="E54" i="2"/>
  <c r="D54" i="2"/>
  <c r="C54" i="2"/>
  <c r="B54" i="2"/>
  <c r="F53" i="2"/>
  <c r="E53" i="2"/>
  <c r="D53" i="2"/>
  <c r="C53" i="2"/>
  <c r="B53" i="2"/>
  <c r="F36" i="2"/>
  <c r="E36" i="2"/>
  <c r="D36" i="2"/>
  <c r="C36" i="2"/>
  <c r="B36" i="2"/>
  <c r="F33" i="2"/>
  <c r="D33" i="2"/>
  <c r="B33" i="2"/>
  <c r="E32" i="2"/>
  <c r="C32" i="2"/>
  <c r="H26" i="7"/>
  <c r="D26" i="7"/>
  <c r="J25" i="7"/>
  <c r="E22" i="7"/>
  <c r="G24" i="10"/>
  <c r="F23" i="10"/>
  <c r="G33" i="9"/>
  <c r="H33" i="9" s="1"/>
  <c r="E15" i="9"/>
  <c r="F15" i="9" s="1"/>
  <c r="E14" i="9"/>
  <c r="C43" i="8"/>
  <c r="E40" i="8"/>
  <c r="D39" i="8"/>
  <c r="B39" i="8"/>
  <c r="D27" i="8"/>
  <c r="B27" i="8"/>
  <c r="F27" i="8" s="1"/>
  <c r="D24" i="8"/>
  <c r="E11" i="8"/>
  <c r="E8" i="8"/>
  <c r="K42" i="7"/>
  <c r="H41" i="7"/>
  <c r="K40" i="7"/>
  <c r="D40" i="7"/>
  <c r="H38" i="7"/>
  <c r="E38" i="7"/>
  <c r="J37" i="7"/>
  <c r="H37" i="7"/>
  <c r="K36" i="7"/>
  <c r="J36" i="7"/>
  <c r="G36" i="7"/>
  <c r="E36" i="7"/>
  <c r="D35" i="7"/>
  <c r="I29" i="7"/>
  <c r="D28" i="7"/>
  <c r="K24" i="7"/>
  <c r="K23" i="7"/>
  <c r="N61" i="11"/>
  <c r="C46" i="11"/>
  <c r="N45" i="11"/>
  <c r="M45" i="11"/>
  <c r="I43" i="11"/>
  <c r="F43" i="11"/>
  <c r="L42" i="11"/>
  <c r="I42" i="11"/>
  <c r="C41" i="11"/>
  <c r="L33" i="11"/>
  <c r="C33" i="11"/>
  <c r="I32" i="11"/>
  <c r="L31" i="11"/>
  <c r="C31" i="11"/>
  <c r="F30" i="11"/>
  <c r="F29" i="11"/>
  <c r="I28" i="11"/>
  <c r="F27" i="11"/>
  <c r="C26" i="11"/>
  <c r="F25" i="11"/>
  <c r="B42" i="10"/>
  <c r="F40" i="10"/>
  <c r="F39" i="10"/>
  <c r="L37" i="10"/>
  <c r="L36" i="10"/>
  <c r="F36" i="10"/>
  <c r="F35" i="10"/>
  <c r="M27" i="10"/>
  <c r="B34" i="9"/>
  <c r="C30" i="9"/>
  <c r="E25" i="9"/>
  <c r="F25" i="9" s="1"/>
  <c r="G24" i="9"/>
  <c r="H24" i="9" s="1"/>
  <c r="F17" i="9"/>
  <c r="G14" i="9"/>
  <c r="E9" i="9"/>
  <c r="E6" i="9"/>
  <c r="D6" i="9"/>
  <c r="D10" i="9" s="1"/>
  <c r="D40" i="8"/>
  <c r="C39" i="8"/>
  <c r="C7" i="8"/>
  <c r="E42" i="7"/>
  <c r="J41" i="7"/>
  <c r="E40" i="7"/>
  <c r="G35" i="7"/>
  <c r="E28" i="7"/>
  <c r="E27" i="7"/>
  <c r="H24" i="7"/>
  <c r="E24" i="7"/>
  <c r="H20" i="7"/>
  <c r="M61" i="11"/>
  <c r="K61" i="11"/>
  <c r="J61" i="11"/>
  <c r="L46" i="11"/>
  <c r="I44" i="11"/>
  <c r="L41" i="11"/>
  <c r="F40" i="11"/>
  <c r="I39" i="11"/>
  <c r="F39" i="11"/>
  <c r="I33" i="11"/>
  <c r="F33" i="11"/>
  <c r="I29" i="11"/>
  <c r="L26" i="11"/>
  <c r="I26" i="11"/>
  <c r="F26" i="11"/>
  <c r="L53" i="10"/>
  <c r="C53" i="10"/>
  <c r="I52" i="10"/>
  <c r="F52" i="10"/>
  <c r="I51" i="10"/>
  <c r="F51" i="10"/>
  <c r="C41" i="10"/>
  <c r="F38" i="10"/>
  <c r="I36" i="10"/>
  <c r="L29" i="10"/>
  <c r="C29" i="10"/>
  <c r="L28" i="10"/>
  <c r="I28" i="10"/>
  <c r="N27" i="10"/>
  <c r="L26" i="10"/>
  <c r="I26" i="10"/>
  <c r="F25" i="10"/>
  <c r="I24" i="10"/>
  <c r="I23" i="10"/>
  <c r="B26" i="9"/>
  <c r="G25" i="9"/>
  <c r="H25" i="9" s="1"/>
  <c r="D8" i="9"/>
  <c r="B40" i="8"/>
  <c r="C23" i="8"/>
  <c r="H42" i="7"/>
  <c r="H36" i="7"/>
  <c r="K35" i="7"/>
  <c r="J35" i="7"/>
  <c r="E34" i="7"/>
  <c r="G28" i="7"/>
  <c r="H25" i="7"/>
  <c r="E21" i="7"/>
  <c r="J20" i="7"/>
  <c r="F47" i="11"/>
  <c r="I46" i="11"/>
  <c r="L44" i="11"/>
  <c r="F44" i="11"/>
  <c r="I41" i="11"/>
  <c r="F32" i="11"/>
  <c r="I31" i="11"/>
  <c r="F31" i="11"/>
  <c r="L28" i="11"/>
  <c r="C28" i="11"/>
  <c r="I27" i="11"/>
  <c r="C27" i="11"/>
  <c r="I53" i="10"/>
  <c r="F50" i="10"/>
  <c r="F49" i="10"/>
  <c r="I48" i="10"/>
  <c r="F47" i="10"/>
  <c r="I40" i="10"/>
  <c r="C39" i="10"/>
  <c r="C38" i="10"/>
  <c r="F37" i="10"/>
  <c r="C37" i="10"/>
  <c r="C36" i="10"/>
  <c r="I35" i="10"/>
  <c r="C35" i="10"/>
  <c r="C28" i="10"/>
  <c r="C26" i="10"/>
  <c r="L24" i="10"/>
  <c r="H24" i="10"/>
  <c r="E33" i="9"/>
  <c r="F33" i="9" s="1"/>
  <c r="G30" i="9"/>
  <c r="H17" i="9"/>
  <c r="C16" i="9"/>
  <c r="D16" i="9" s="1"/>
  <c r="F10" i="9"/>
  <c r="D43" i="8"/>
  <c r="B11" i="8"/>
  <c r="D36" i="7"/>
  <c r="D34" i="7"/>
  <c r="J26" i="7"/>
  <c r="G24" i="7"/>
  <c r="H23" i="7"/>
  <c r="D23" i="7"/>
  <c r="G22" i="7"/>
  <c r="M30" i="11" l="1"/>
  <c r="N30" i="11"/>
  <c r="E30" i="11"/>
  <c r="D30" i="11"/>
  <c r="N29" i="11"/>
  <c r="M29" i="11"/>
  <c r="G28" i="11"/>
  <c r="H28" i="11"/>
  <c r="D25" i="11"/>
  <c r="E25" i="11"/>
  <c r="C34" i="11"/>
  <c r="M52" i="10"/>
  <c r="N52" i="10"/>
  <c r="M51" i="10"/>
  <c r="N51" i="10"/>
  <c r="E51" i="10"/>
  <c r="D51" i="10"/>
  <c r="M50" i="10"/>
  <c r="N50" i="10"/>
  <c r="K50" i="10"/>
  <c r="J50" i="10"/>
  <c r="D50" i="10"/>
  <c r="E50" i="10"/>
  <c r="M49" i="10"/>
  <c r="N49" i="10"/>
  <c r="K49" i="10"/>
  <c r="J49" i="10"/>
  <c r="J47" i="10"/>
  <c r="K47" i="10"/>
  <c r="I54" i="10"/>
  <c r="E47" i="10"/>
  <c r="C54" i="10"/>
  <c r="D47" i="10"/>
  <c r="M40" i="10"/>
  <c r="N40" i="10"/>
  <c r="E40" i="10"/>
  <c r="D40" i="10"/>
  <c r="N39" i="10"/>
  <c r="M39" i="10"/>
  <c r="K37" i="10"/>
  <c r="J37" i="10"/>
  <c r="H29" i="10"/>
  <c r="G29" i="10"/>
  <c r="H28" i="10"/>
  <c r="G28" i="10"/>
  <c r="K27" i="10"/>
  <c r="J27" i="10"/>
  <c r="N25" i="10"/>
  <c r="M25" i="10"/>
  <c r="K25" i="10"/>
  <c r="J25" i="10"/>
  <c r="E25" i="10"/>
  <c r="D25" i="10"/>
  <c r="D23" i="10"/>
  <c r="C30" i="10"/>
  <c r="E23" i="10"/>
  <c r="E34" i="9"/>
  <c r="F34" i="9" s="1"/>
  <c r="F30" i="9"/>
  <c r="K43" i="7"/>
  <c r="D38" i="8"/>
  <c r="J43" i="7"/>
  <c r="C22" i="8"/>
  <c r="G29" i="7"/>
  <c r="H29" i="7"/>
  <c r="G61" i="11"/>
  <c r="H61" i="11"/>
  <c r="D61" i="11"/>
  <c r="E61" i="11"/>
  <c r="M60" i="11"/>
  <c r="N60" i="11"/>
  <c r="J60" i="11"/>
  <c r="K60" i="11"/>
  <c r="G60" i="11"/>
  <c r="H60" i="11"/>
  <c r="D60" i="11"/>
  <c r="E60" i="11"/>
  <c r="M59" i="11"/>
  <c r="N59" i="11"/>
  <c r="J59" i="11"/>
  <c r="K59" i="11"/>
  <c r="G59" i="11"/>
  <c r="H59" i="11"/>
  <c r="D59" i="11"/>
  <c r="E59" i="11"/>
  <c r="M58" i="11"/>
  <c r="N58" i="11"/>
  <c r="J58" i="11"/>
  <c r="K58" i="11"/>
  <c r="G58" i="11"/>
  <c r="H58" i="11"/>
  <c r="D58" i="11"/>
  <c r="E58" i="11"/>
  <c r="M57" i="11"/>
  <c r="N57" i="11"/>
  <c r="J57" i="11"/>
  <c r="K57" i="11"/>
  <c r="G57" i="11"/>
  <c r="H57" i="11"/>
  <c r="D57" i="11"/>
  <c r="E57" i="11"/>
  <c r="M56" i="11"/>
  <c r="N56" i="11"/>
  <c r="J56" i="11"/>
  <c r="K56" i="11"/>
  <c r="G56" i="11"/>
  <c r="H56" i="11"/>
  <c r="D56" i="11"/>
  <c r="E56" i="11"/>
  <c r="M55" i="11"/>
  <c r="N55" i="11"/>
  <c r="J55" i="11"/>
  <c r="K55" i="11"/>
  <c r="G55" i="11"/>
  <c r="H55" i="11"/>
  <c r="D55" i="11"/>
  <c r="E55" i="11"/>
  <c r="M54" i="11"/>
  <c r="N54" i="11"/>
  <c r="J54" i="11"/>
  <c r="K54" i="11"/>
  <c r="G54" i="11"/>
  <c r="H54" i="11"/>
  <c r="D54" i="11"/>
  <c r="E54" i="11"/>
  <c r="M53" i="11"/>
  <c r="N53" i="11"/>
  <c r="L62" i="11"/>
  <c r="J53" i="11"/>
  <c r="K53" i="11"/>
  <c r="I62" i="11"/>
  <c r="G53" i="11"/>
  <c r="H53" i="11"/>
  <c r="F62" i="11"/>
  <c r="D53" i="11"/>
  <c r="E53" i="11"/>
  <c r="C62" i="11"/>
  <c r="M47" i="11"/>
  <c r="N47" i="11"/>
  <c r="J47" i="11"/>
  <c r="K47" i="11"/>
  <c r="D47" i="11"/>
  <c r="E47" i="11"/>
  <c r="H46" i="11"/>
  <c r="G46" i="11"/>
  <c r="J45" i="11"/>
  <c r="K45" i="11"/>
  <c r="G45" i="11"/>
  <c r="H45" i="11"/>
  <c r="D45" i="11"/>
  <c r="E45" i="11"/>
  <c r="E44" i="11"/>
  <c r="D44" i="11"/>
  <c r="M43" i="11"/>
  <c r="N43" i="11"/>
  <c r="D43" i="11"/>
  <c r="E43" i="11"/>
  <c r="G42" i="11"/>
  <c r="H42" i="11"/>
  <c r="D42" i="11"/>
  <c r="E42" i="11"/>
  <c r="G41" i="11"/>
  <c r="H41" i="11"/>
  <c r="N40" i="11"/>
  <c r="M40" i="11"/>
  <c r="J40" i="11"/>
  <c r="K40" i="11"/>
  <c r="D40" i="11"/>
  <c r="E40" i="11"/>
  <c r="L48" i="11"/>
  <c r="M39" i="11"/>
  <c r="N39" i="11"/>
  <c r="E39" i="11"/>
  <c r="C48" i="11"/>
  <c r="D39" i="11"/>
  <c r="M32" i="11"/>
  <c r="N32" i="11"/>
  <c r="E32" i="11"/>
  <c r="D32" i="11"/>
  <c r="J30" i="11"/>
  <c r="K30" i="11"/>
  <c r="D29" i="11"/>
  <c r="E29" i="11"/>
  <c r="N27" i="11"/>
  <c r="M27" i="11"/>
  <c r="L34" i="11"/>
  <c r="M25" i="11"/>
  <c r="N25" i="11"/>
  <c r="K25" i="11"/>
  <c r="J25" i="11"/>
  <c r="I34" i="11"/>
  <c r="G53" i="10"/>
  <c r="H53" i="10"/>
  <c r="D52" i="10"/>
  <c r="E52" i="10"/>
  <c r="E49" i="10"/>
  <c r="D49" i="10"/>
  <c r="M48" i="10"/>
  <c r="N48" i="10"/>
  <c r="G48" i="10"/>
  <c r="H48" i="10"/>
  <c r="E48" i="10"/>
  <c r="D48" i="10"/>
  <c r="M47" i="10"/>
  <c r="L54" i="10"/>
  <c r="N47" i="10"/>
  <c r="M41" i="10"/>
  <c r="N41" i="10"/>
  <c r="K41" i="10"/>
  <c r="J41" i="10"/>
  <c r="H41" i="10"/>
  <c r="G41" i="10"/>
  <c r="K39" i="10"/>
  <c r="J39" i="10"/>
  <c r="M38" i="10"/>
  <c r="N38" i="10"/>
  <c r="K38" i="10"/>
  <c r="J38" i="10"/>
  <c r="N35" i="10"/>
  <c r="M35" i="10"/>
  <c r="L42" i="10"/>
  <c r="K29" i="10"/>
  <c r="J29" i="10"/>
  <c r="H27" i="10"/>
  <c r="G27" i="10"/>
  <c r="D27" i="10"/>
  <c r="E27" i="10"/>
  <c r="G26" i="10"/>
  <c r="H26" i="10"/>
  <c r="D24" i="10"/>
  <c r="E24" i="10"/>
  <c r="L30" i="10"/>
  <c r="M23" i="10"/>
  <c r="N23" i="10"/>
  <c r="B38" i="8"/>
  <c r="D43" i="7"/>
  <c r="E43" i="7"/>
  <c r="E29" i="7"/>
  <c r="B22" i="8"/>
  <c r="D29" i="7"/>
  <c r="H43" i="7"/>
  <c r="C38" i="8"/>
  <c r="G43" i="7"/>
  <c r="H22" i="9"/>
  <c r="G26" i="9"/>
  <c r="H26" i="9" s="1"/>
  <c r="F22" i="9"/>
  <c r="E26" i="9"/>
  <c r="F26" i="9" s="1"/>
  <c r="D22" i="9"/>
  <c r="C26" i="9"/>
  <c r="D26" i="9" s="1"/>
  <c r="C18" i="9"/>
  <c r="D18" i="9" s="1"/>
  <c r="D14" i="9"/>
  <c r="J15" i="7"/>
  <c r="K15" i="7"/>
  <c r="D6" i="8"/>
  <c r="G15" i="7"/>
  <c r="H15" i="7"/>
  <c r="C6" i="8"/>
  <c r="D15" i="7"/>
  <c r="E15" i="7"/>
  <c r="B6" i="8"/>
  <c r="G9" i="9"/>
  <c r="I26" i="4"/>
  <c r="L13" i="7"/>
  <c r="L27" i="7"/>
  <c r="L41" i="7"/>
  <c r="L12" i="7"/>
  <c r="L40" i="7"/>
  <c r="L26" i="7"/>
  <c r="G8" i="9"/>
  <c r="I23" i="4"/>
  <c r="L10" i="7"/>
  <c r="L24" i="7"/>
  <c r="L38" i="7"/>
  <c r="G7" i="9"/>
  <c r="I21" i="4"/>
  <c r="L8" i="7"/>
  <c r="L22" i="7"/>
  <c r="L36" i="7"/>
  <c r="L7" i="7"/>
  <c r="L35" i="7"/>
  <c r="L21" i="7"/>
  <c r="G6" i="9"/>
  <c r="I18" i="4"/>
  <c r="H23" i="10"/>
  <c r="F30" i="10"/>
  <c r="G23" i="10"/>
  <c r="F14" i="9"/>
  <c r="E18" i="9"/>
  <c r="F18" i="9" s="1"/>
  <c r="K29" i="7"/>
  <c r="D22" i="8"/>
  <c r="J29" i="7"/>
  <c r="E46" i="11"/>
  <c r="D46" i="11"/>
  <c r="K43" i="11"/>
  <c r="J43" i="11"/>
  <c r="G43" i="11"/>
  <c r="H43" i="11"/>
  <c r="M42" i="11"/>
  <c r="N42" i="11"/>
  <c r="J42" i="11"/>
  <c r="K42" i="11"/>
  <c r="D41" i="11"/>
  <c r="E41" i="11"/>
  <c r="M33" i="11"/>
  <c r="N33" i="11"/>
  <c r="D33" i="11"/>
  <c r="E33" i="11"/>
  <c r="J32" i="11"/>
  <c r="K32" i="11"/>
  <c r="M31" i="11"/>
  <c r="N31" i="11"/>
  <c r="D31" i="11"/>
  <c r="E31" i="11"/>
  <c r="H30" i="11"/>
  <c r="G30" i="11"/>
  <c r="G29" i="11"/>
  <c r="H29" i="11"/>
  <c r="J28" i="11"/>
  <c r="K28" i="11"/>
  <c r="H27" i="11"/>
  <c r="G27" i="11"/>
  <c r="E26" i="11"/>
  <c r="D26" i="11"/>
  <c r="G25" i="11"/>
  <c r="H25" i="11"/>
  <c r="F34" i="11"/>
  <c r="G40" i="10"/>
  <c r="H40" i="10"/>
  <c r="G39" i="10"/>
  <c r="H39" i="10"/>
  <c r="M37" i="10"/>
  <c r="N37" i="10"/>
  <c r="M36" i="10"/>
  <c r="N36" i="10"/>
  <c r="H36" i="10"/>
  <c r="G36" i="10"/>
  <c r="H35" i="10"/>
  <c r="G35" i="10"/>
  <c r="F42" i="10"/>
  <c r="D30" i="9"/>
  <c r="C34" i="9"/>
  <c r="D34" i="9" s="1"/>
  <c r="G18" i="9"/>
  <c r="H18" i="9" s="1"/>
  <c r="H14" i="9"/>
  <c r="N46" i="11"/>
  <c r="M46" i="11"/>
  <c r="J44" i="11"/>
  <c r="K44" i="11"/>
  <c r="M41" i="11"/>
  <c r="N41" i="11"/>
  <c r="G40" i="11"/>
  <c r="H40" i="11"/>
  <c r="K39" i="11"/>
  <c r="I48" i="11"/>
  <c r="J39" i="11"/>
  <c r="H39" i="11"/>
  <c r="F48" i="11"/>
  <c r="G39" i="11"/>
  <c r="K33" i="11"/>
  <c r="J33" i="11"/>
  <c r="G33" i="11"/>
  <c r="H33" i="11"/>
  <c r="J29" i="11"/>
  <c r="K29" i="11"/>
  <c r="N26" i="11"/>
  <c r="M26" i="11"/>
  <c r="J26" i="11"/>
  <c r="K26" i="11"/>
  <c r="H26" i="11"/>
  <c r="G26" i="11"/>
  <c r="M53" i="10"/>
  <c r="N53" i="10"/>
  <c r="D53" i="10"/>
  <c r="E53" i="10"/>
  <c r="K52" i="10"/>
  <c r="J52" i="10"/>
  <c r="H52" i="10"/>
  <c r="G52" i="10"/>
  <c r="J51" i="10"/>
  <c r="K51" i="10"/>
  <c r="G51" i="10"/>
  <c r="H51" i="10"/>
  <c r="E41" i="10"/>
  <c r="D41" i="10"/>
  <c r="G38" i="10"/>
  <c r="H38" i="10"/>
  <c r="K36" i="10"/>
  <c r="J36" i="10"/>
  <c r="N29" i="10"/>
  <c r="M29" i="10"/>
  <c r="D29" i="10"/>
  <c r="E29" i="10"/>
  <c r="M28" i="10"/>
  <c r="N28" i="10"/>
  <c r="K28" i="10"/>
  <c r="J28" i="10"/>
  <c r="M26" i="10"/>
  <c r="N26" i="10"/>
  <c r="K26" i="10"/>
  <c r="J26" i="10"/>
  <c r="G25" i="10"/>
  <c r="H25" i="10"/>
  <c r="J24" i="10"/>
  <c r="K24" i="10"/>
  <c r="I30" i="10"/>
  <c r="J23" i="10"/>
  <c r="K23" i="10"/>
  <c r="H47" i="11"/>
  <c r="G47" i="11"/>
  <c r="K46" i="11"/>
  <c r="J46" i="11"/>
  <c r="M44" i="11"/>
  <c r="N44" i="11"/>
  <c r="H44" i="11"/>
  <c r="G44" i="11"/>
  <c r="J41" i="11"/>
  <c r="K41" i="11"/>
  <c r="H32" i="11"/>
  <c r="G32" i="11"/>
  <c r="J31" i="11"/>
  <c r="K31" i="11"/>
  <c r="G31" i="11"/>
  <c r="H31" i="11"/>
  <c r="N28" i="11"/>
  <c r="M28" i="11"/>
  <c r="D28" i="11"/>
  <c r="E28" i="11"/>
  <c r="K27" i="11"/>
  <c r="J27" i="11"/>
  <c r="E27" i="11"/>
  <c r="D27" i="11"/>
  <c r="J53" i="10"/>
  <c r="K53" i="10"/>
  <c r="H50" i="10"/>
  <c r="G50" i="10"/>
  <c r="H49" i="10"/>
  <c r="G49" i="10"/>
  <c r="J48" i="10"/>
  <c r="K48" i="10"/>
  <c r="H47" i="10"/>
  <c r="G47" i="10"/>
  <c r="F54" i="10"/>
  <c r="K40" i="10"/>
  <c r="J40" i="10"/>
  <c r="D39" i="10"/>
  <c r="E39" i="10"/>
  <c r="E38" i="10"/>
  <c r="D38" i="10"/>
  <c r="G37" i="10"/>
  <c r="H37" i="10"/>
  <c r="D37" i="10"/>
  <c r="E37" i="10"/>
  <c r="E36" i="10"/>
  <c r="D36" i="10"/>
  <c r="I42" i="10"/>
  <c r="J35" i="10"/>
  <c r="K35" i="10"/>
  <c r="E35" i="10"/>
  <c r="C42" i="10"/>
  <c r="D35" i="10"/>
  <c r="E28" i="10"/>
  <c r="D28" i="10"/>
  <c r="D26" i="10"/>
  <c r="E26" i="10"/>
  <c r="N24" i="10"/>
  <c r="M24" i="10"/>
  <c r="G34" i="9"/>
  <c r="H34" i="9" s="1"/>
  <c r="H30" i="9"/>
  <c r="F40" i="8"/>
  <c r="F11" i="8"/>
  <c r="F24" i="8"/>
  <c r="F43" i="8"/>
  <c r="F8" i="8"/>
  <c r="F39" i="8"/>
  <c r="F7" i="8"/>
  <c r="F23" i="8"/>
  <c r="E34" i="11" l="1"/>
  <c r="B30" i="2"/>
  <c r="D34" i="11"/>
  <c r="D71" i="2"/>
  <c r="K54" i="10"/>
  <c r="J54" i="10"/>
  <c r="E54" i="10"/>
  <c r="D54" i="10"/>
  <c r="B71" i="2"/>
  <c r="E30" i="10"/>
  <c r="B29" i="2"/>
  <c r="D30" i="10"/>
  <c r="D41" i="8"/>
  <c r="D42" i="8" s="1"/>
  <c r="D47" i="8"/>
  <c r="D70" i="2"/>
  <c r="D45" i="8"/>
  <c r="D55" i="12"/>
  <c r="D47" i="12"/>
  <c r="D56" i="12"/>
  <c r="C29" i="8"/>
  <c r="C39" i="12"/>
  <c r="C25" i="8"/>
  <c r="C26" i="8" s="1"/>
  <c r="C31" i="12"/>
  <c r="C40" i="12"/>
  <c r="C31" i="8"/>
  <c r="C49" i="2"/>
  <c r="M62" i="11"/>
  <c r="N62" i="11"/>
  <c r="E72" i="2"/>
  <c r="K62" i="11"/>
  <c r="D72" i="2"/>
  <c r="J62" i="11"/>
  <c r="G62" i="11"/>
  <c r="H62" i="11"/>
  <c r="C72" i="2"/>
  <c r="B72" i="2"/>
  <c r="F72" i="2" s="1"/>
  <c r="D62" i="11"/>
  <c r="E62" i="11"/>
  <c r="M48" i="11"/>
  <c r="N48" i="11"/>
  <c r="E51" i="2"/>
  <c r="D48" i="11"/>
  <c r="E48" i="11"/>
  <c r="B51" i="2"/>
  <c r="N34" i="11"/>
  <c r="M34" i="11"/>
  <c r="E30" i="2"/>
  <c r="D30" i="2"/>
  <c r="J34" i="11"/>
  <c r="K34" i="11"/>
  <c r="M54" i="10"/>
  <c r="N54" i="10"/>
  <c r="E71" i="2"/>
  <c r="M42" i="10"/>
  <c r="E50" i="2"/>
  <c r="N42" i="10"/>
  <c r="N30" i="10"/>
  <c r="M30" i="10"/>
  <c r="E29" i="2"/>
  <c r="B56" i="12"/>
  <c r="B47" i="12"/>
  <c r="B55" i="12"/>
  <c r="B41" i="8"/>
  <c r="B47" i="8"/>
  <c r="B70" i="2"/>
  <c r="B73" i="2" s="1"/>
  <c r="B45" i="8"/>
  <c r="B49" i="2"/>
  <c r="B25" i="8"/>
  <c r="B31" i="8"/>
  <c r="B29" i="8"/>
  <c r="B40" i="12"/>
  <c r="B31" i="12"/>
  <c r="B39" i="12"/>
  <c r="C47" i="8"/>
  <c r="C45" i="8"/>
  <c r="C47" i="12"/>
  <c r="C56" i="12"/>
  <c r="C55" i="12"/>
  <c r="C70" i="2"/>
  <c r="C73" i="2" s="1"/>
  <c r="C41" i="8"/>
  <c r="C42" i="8" s="1"/>
  <c r="D15" i="8"/>
  <c r="D28" i="2"/>
  <c r="D31" i="2" s="1"/>
  <c r="D13" i="8"/>
  <c r="D9" i="8"/>
  <c r="D10" i="8" s="1"/>
  <c r="D15" i="12"/>
  <c r="D24" i="12"/>
  <c r="D23" i="12"/>
  <c r="C9" i="8"/>
  <c r="C10" i="8" s="1"/>
  <c r="C15" i="12"/>
  <c r="C23" i="12"/>
  <c r="C24" i="12"/>
  <c r="C13" i="8"/>
  <c r="C28" i="2"/>
  <c r="C31" i="2" s="1"/>
  <c r="C12" i="8"/>
  <c r="C15" i="8"/>
  <c r="B9" i="8"/>
  <c r="B13" i="8"/>
  <c r="B15" i="12"/>
  <c r="B24" i="12"/>
  <c r="B23" i="12"/>
  <c r="B15" i="8"/>
  <c r="B28" i="2"/>
  <c r="B31" i="2" s="1"/>
  <c r="L14" i="7"/>
  <c r="L42" i="7"/>
  <c r="L28" i="7"/>
  <c r="M13" i="7"/>
  <c r="N13" i="7"/>
  <c r="M27" i="7"/>
  <c r="N27" i="7"/>
  <c r="N41" i="7"/>
  <c r="M41" i="7"/>
  <c r="M12" i="7"/>
  <c r="N12" i="7"/>
  <c r="M40" i="7"/>
  <c r="N40" i="7"/>
  <c r="M26" i="7"/>
  <c r="N26" i="7"/>
  <c r="L11" i="7"/>
  <c r="L25" i="7"/>
  <c r="L39" i="7"/>
  <c r="M10" i="7"/>
  <c r="N10" i="7"/>
  <c r="M24" i="7"/>
  <c r="N24" i="7"/>
  <c r="M38" i="7"/>
  <c r="N38" i="7"/>
  <c r="L9" i="7"/>
  <c r="L23" i="7"/>
  <c r="L37" i="7"/>
  <c r="M8" i="7"/>
  <c r="N8" i="7"/>
  <c r="N22" i="7"/>
  <c r="M22" i="7"/>
  <c r="M36" i="7"/>
  <c r="N36" i="7"/>
  <c r="M7" i="7"/>
  <c r="N7" i="7"/>
  <c r="N35" i="7"/>
  <c r="M35" i="7"/>
  <c r="M21" i="7"/>
  <c r="N21" i="7"/>
  <c r="L6" i="7"/>
  <c r="L20" i="7"/>
  <c r="L34" i="7"/>
  <c r="H30" i="10"/>
  <c r="G30" i="10"/>
  <c r="C29" i="2"/>
  <c r="D29" i="8"/>
  <c r="D31" i="12"/>
  <c r="D39" i="12"/>
  <c r="D40" i="12"/>
  <c r="D25" i="8"/>
  <c r="D26" i="8" s="1"/>
  <c r="D49" i="2"/>
  <c r="D28" i="8"/>
  <c r="D31" i="8"/>
  <c r="C30" i="2"/>
  <c r="G34" i="11"/>
  <c r="H34" i="11"/>
  <c r="G42" i="10"/>
  <c r="C50" i="2"/>
  <c r="H42" i="10"/>
  <c r="J48" i="11"/>
  <c r="K48" i="11"/>
  <c r="D51" i="2"/>
  <c r="G48" i="11"/>
  <c r="H48" i="11"/>
  <c r="C51" i="2"/>
  <c r="J30" i="10"/>
  <c r="K30" i="10"/>
  <c r="D29" i="2"/>
  <c r="G54" i="10"/>
  <c r="H54" i="10"/>
  <c r="C71" i="2"/>
  <c r="D50" i="2"/>
  <c r="K42" i="10"/>
  <c r="J42" i="10"/>
  <c r="D42" i="10"/>
  <c r="E42" i="10"/>
  <c r="B50" i="2"/>
  <c r="F50" i="2" s="1"/>
  <c r="B42" i="8" l="1"/>
  <c r="B76" i="2"/>
  <c r="B77" i="2" s="1"/>
  <c r="B26" i="8"/>
  <c r="C76" i="2"/>
  <c r="C77" i="2" s="1"/>
  <c r="D34" i="2"/>
  <c r="D35" i="2" s="1"/>
  <c r="C34" i="2"/>
  <c r="C35" i="2" s="1"/>
  <c r="C16" i="8"/>
  <c r="C14" i="12"/>
  <c r="C20" i="13"/>
  <c r="C17" i="8"/>
  <c r="C14" i="8"/>
  <c r="B10" i="8"/>
  <c r="B34" i="2"/>
  <c r="B35" i="2" s="1"/>
  <c r="M14" i="7"/>
  <c r="N14" i="7"/>
  <c r="I17" i="9"/>
  <c r="J17" i="9" s="1"/>
  <c r="N42" i="7"/>
  <c r="I33" i="9"/>
  <c r="J33" i="9" s="1"/>
  <c r="M42" i="7"/>
  <c r="M28" i="7"/>
  <c r="I25" i="9"/>
  <c r="J25" i="9" s="1"/>
  <c r="N28" i="7"/>
  <c r="M11" i="7"/>
  <c r="N11" i="7"/>
  <c r="I16" i="9"/>
  <c r="J16" i="9" s="1"/>
  <c r="I24" i="9"/>
  <c r="J24" i="9" s="1"/>
  <c r="N25" i="7"/>
  <c r="M25" i="7"/>
  <c r="N39" i="7"/>
  <c r="M39" i="7"/>
  <c r="I32" i="9"/>
  <c r="J32" i="9" s="1"/>
  <c r="M9" i="7"/>
  <c r="N9" i="7"/>
  <c r="I15" i="9"/>
  <c r="J15" i="9" s="1"/>
  <c r="N23" i="7"/>
  <c r="M23" i="7"/>
  <c r="I23" i="9"/>
  <c r="J23" i="9" s="1"/>
  <c r="M37" i="7"/>
  <c r="N37" i="7"/>
  <c r="I31" i="9"/>
  <c r="J31" i="9" s="1"/>
  <c r="M6" i="7"/>
  <c r="N6" i="7"/>
  <c r="L15" i="7"/>
  <c r="I14" i="9"/>
  <c r="N20" i="7"/>
  <c r="M20" i="7"/>
  <c r="L29" i="7"/>
  <c r="I22" i="9"/>
  <c r="L43" i="7"/>
  <c r="I30" i="9"/>
  <c r="M34" i="7"/>
  <c r="N34" i="7"/>
  <c r="D33" i="8"/>
  <c r="D21" i="13"/>
  <c r="D30" i="12"/>
  <c r="D30" i="8"/>
  <c r="D32" i="8"/>
  <c r="D52" i="2"/>
  <c r="D44" i="8"/>
  <c r="C44" i="8"/>
  <c r="D12" i="8"/>
  <c r="F30" i="2"/>
  <c r="F71" i="2"/>
  <c r="F29" i="2"/>
  <c r="D73" i="2"/>
  <c r="C28" i="8"/>
  <c r="C52" i="2"/>
  <c r="F51" i="2"/>
  <c r="B52" i="2"/>
  <c r="B44" i="8" l="1"/>
  <c r="B28" i="8"/>
  <c r="C16" i="12"/>
  <c r="C6" i="13"/>
  <c r="C13" i="12"/>
  <c r="C18" i="12"/>
  <c r="C21" i="12"/>
  <c r="C22" i="12"/>
  <c r="C13" i="13"/>
  <c r="C19" i="12"/>
  <c r="B12" i="8"/>
  <c r="M15" i="7"/>
  <c r="N15" i="7"/>
  <c r="E6" i="8"/>
  <c r="J14" i="9"/>
  <c r="I18" i="9"/>
  <c r="J18" i="9" s="1"/>
  <c r="N29" i="7"/>
  <c r="E22" i="8"/>
  <c r="M29" i="7"/>
  <c r="J22" i="9"/>
  <c r="I26" i="9"/>
  <c r="J26" i="9" s="1"/>
  <c r="N43" i="7"/>
  <c r="E38" i="8"/>
  <c r="M43" i="7"/>
  <c r="J30" i="9"/>
  <c r="I34" i="9"/>
  <c r="J34" i="9" s="1"/>
  <c r="D29" i="12"/>
  <c r="D38" i="12"/>
  <c r="D37" i="12"/>
  <c r="D14" i="13"/>
  <c r="D34" i="12"/>
  <c r="D35" i="12"/>
  <c r="D32" i="12"/>
  <c r="D7" i="13"/>
  <c r="D55" i="2"/>
  <c r="D56" i="2" s="1"/>
  <c r="D46" i="8"/>
  <c r="D22" i="13"/>
  <c r="D49" i="8"/>
  <c r="D48" i="8"/>
  <c r="D46" i="12"/>
  <c r="C48" i="8"/>
  <c r="C46" i="12"/>
  <c r="C22" i="13"/>
  <c r="C49" i="8"/>
  <c r="C46" i="8"/>
  <c r="D17" i="8"/>
  <c r="D16" i="8"/>
  <c r="D14" i="8"/>
  <c r="D20" i="13"/>
  <c r="D14" i="12"/>
  <c r="D76" i="2"/>
  <c r="D77" i="2" s="1"/>
  <c r="C21" i="13"/>
  <c r="C30" i="12"/>
  <c r="C33" i="8"/>
  <c r="C32" i="8"/>
  <c r="C30" i="8"/>
  <c r="C55" i="2"/>
  <c r="C56" i="2" s="1"/>
  <c r="B55" i="2"/>
  <c r="B56" i="2" s="1"/>
  <c r="C79" i="2"/>
  <c r="C37" i="2"/>
  <c r="B37" i="2"/>
  <c r="B79" i="2"/>
  <c r="D37" i="2"/>
  <c r="B48" i="8" l="1"/>
  <c r="B46" i="8"/>
  <c r="B49" i="8"/>
  <c r="B46" i="12"/>
  <c r="B22" i="13"/>
  <c r="B33" i="8"/>
  <c r="B32" i="8"/>
  <c r="B21" i="13"/>
  <c r="B30" i="12"/>
  <c r="B30" i="8"/>
  <c r="B20" i="13"/>
  <c r="B14" i="12"/>
  <c r="B17" i="8"/>
  <c r="B14" i="8"/>
  <c r="B16" i="8"/>
  <c r="F6" i="8"/>
  <c r="E13" i="8"/>
  <c r="E15" i="8"/>
  <c r="E23" i="12"/>
  <c r="E15" i="12"/>
  <c r="E24" i="12"/>
  <c r="E9" i="8"/>
  <c r="E28" i="2"/>
  <c r="E31" i="2" s="1"/>
  <c r="F22" i="8"/>
  <c r="E25" i="8"/>
  <c r="E40" i="12"/>
  <c r="E31" i="12"/>
  <c r="E39" i="12"/>
  <c r="E31" i="8"/>
  <c r="E49" i="2"/>
  <c r="E52" i="2" s="1"/>
  <c r="E29" i="8"/>
  <c r="F38" i="8"/>
  <c r="E47" i="8"/>
  <c r="E41" i="8"/>
  <c r="E55" i="12"/>
  <c r="E56" i="12"/>
  <c r="E45" i="8"/>
  <c r="E47" i="12"/>
  <c r="E70" i="2"/>
  <c r="E73" i="2" s="1"/>
  <c r="D53" i="12"/>
  <c r="D50" i="12"/>
  <c r="D51" i="12"/>
  <c r="D54" i="12"/>
  <c r="D15" i="13"/>
  <c r="D45" i="12"/>
  <c r="D48" i="12"/>
  <c r="D8" i="13"/>
  <c r="C8" i="13"/>
  <c r="C48" i="12"/>
  <c r="C45" i="12"/>
  <c r="C53" i="12"/>
  <c r="C50" i="12"/>
  <c r="C51" i="12"/>
  <c r="C54" i="12"/>
  <c r="C15" i="13"/>
  <c r="D6" i="13"/>
  <c r="D16" i="12"/>
  <c r="D19" i="12"/>
  <c r="D18" i="12"/>
  <c r="D22" i="12"/>
  <c r="D13" i="12"/>
  <c r="D21" i="12"/>
  <c r="D13" i="13"/>
  <c r="C32" i="12"/>
  <c r="C7" i="13"/>
  <c r="C35" i="12"/>
  <c r="C14" i="13"/>
  <c r="C34" i="12"/>
  <c r="C38" i="12"/>
  <c r="C29" i="12"/>
  <c r="C37" i="12"/>
  <c r="C82" i="2"/>
  <c r="C81" i="2"/>
  <c r="C80" i="2"/>
  <c r="C40" i="2"/>
  <c r="C39" i="2"/>
  <c r="C38" i="2"/>
  <c r="B40" i="2"/>
  <c r="B39" i="2"/>
  <c r="B38" i="2"/>
  <c r="B82" i="2"/>
  <c r="B81" i="2"/>
  <c r="B80" i="2"/>
  <c r="D40" i="2"/>
  <c r="D39" i="2"/>
  <c r="D38" i="2"/>
  <c r="C58" i="2"/>
  <c r="B58" i="2"/>
  <c r="D58" i="2"/>
  <c r="D79" i="2"/>
  <c r="B48" i="12" l="1"/>
  <c r="B8" i="13"/>
  <c r="B51" i="12"/>
  <c r="B54" i="12"/>
  <c r="B45" i="12"/>
  <c r="B15" i="13"/>
  <c r="B50" i="12"/>
  <c r="B53" i="12"/>
  <c r="B32" i="12"/>
  <c r="B7" i="13"/>
  <c r="B34" i="12"/>
  <c r="B37" i="12"/>
  <c r="B38" i="12"/>
  <c r="B29" i="12"/>
  <c r="B35" i="12"/>
  <c r="B14" i="13"/>
  <c r="B13" i="13"/>
  <c r="B13" i="12"/>
  <c r="B18" i="12"/>
  <c r="B19" i="12"/>
  <c r="B21" i="12"/>
  <c r="B22" i="12"/>
  <c r="B16" i="12"/>
  <c r="B6" i="13"/>
  <c r="F28" i="2"/>
  <c r="F31" i="2" s="1"/>
  <c r="F15" i="8"/>
  <c r="F23" i="12"/>
  <c r="F15" i="12"/>
  <c r="F24" i="12"/>
  <c r="F13" i="8"/>
  <c r="F9" i="8"/>
  <c r="E10" i="8"/>
  <c r="E34" i="2"/>
  <c r="E35" i="2" s="1"/>
  <c r="F31" i="8"/>
  <c r="F49" i="2"/>
  <c r="F52" i="2" s="1"/>
  <c r="F29" i="8"/>
  <c r="F40" i="12"/>
  <c r="F31" i="12"/>
  <c r="F39" i="12"/>
  <c r="F25" i="8"/>
  <c r="E26" i="8"/>
  <c r="E55" i="2"/>
  <c r="E56" i="2" s="1"/>
  <c r="F70" i="2"/>
  <c r="F73" i="2" s="1"/>
  <c r="F55" i="12"/>
  <c r="F47" i="12"/>
  <c r="F56" i="12"/>
  <c r="F45" i="8"/>
  <c r="F47" i="8"/>
  <c r="F41" i="8"/>
  <c r="E42" i="8"/>
  <c r="E76" i="2"/>
  <c r="E77" i="2" s="1"/>
  <c r="C83" i="2"/>
  <c r="C84" i="2"/>
  <c r="C85" i="2"/>
  <c r="C86" i="2"/>
  <c r="C41" i="2"/>
  <c r="C42" i="2"/>
  <c r="C43" i="2"/>
  <c r="C44" i="2"/>
  <c r="B41" i="2"/>
  <c r="B42" i="2"/>
  <c r="B43" i="2"/>
  <c r="B44" i="2"/>
  <c r="B83" i="2"/>
  <c r="B84" i="2"/>
  <c r="B85" i="2"/>
  <c r="B86" i="2"/>
  <c r="D41" i="2"/>
  <c r="D42" i="2"/>
  <c r="D43" i="2"/>
  <c r="D44" i="2"/>
  <c r="C61" i="2"/>
  <c r="C60" i="2"/>
  <c r="C59" i="2"/>
  <c r="B61" i="2"/>
  <c r="B60" i="2"/>
  <c r="B59" i="2"/>
  <c r="D61" i="2"/>
  <c r="D60" i="2"/>
  <c r="D59" i="2"/>
  <c r="D82" i="2"/>
  <c r="D81" i="2"/>
  <c r="D80" i="2"/>
  <c r="F34" i="2" l="1"/>
  <c r="F35" i="2" s="1"/>
  <c r="E12" i="8"/>
  <c r="F10" i="8"/>
  <c r="F55" i="2"/>
  <c r="F56" i="2" s="1"/>
  <c r="F58" i="2"/>
  <c r="E28" i="8"/>
  <c r="F26" i="8"/>
  <c r="F76" i="2"/>
  <c r="F77" i="2" s="1"/>
  <c r="E44" i="8"/>
  <c r="F42" i="8"/>
  <c r="C62" i="2"/>
  <c r="C63" i="2"/>
  <c r="C64" i="2"/>
  <c r="C65" i="2"/>
  <c r="B62" i="2"/>
  <c r="B63" i="2"/>
  <c r="B64" i="2"/>
  <c r="B65" i="2"/>
  <c r="D62" i="2"/>
  <c r="D63" i="2"/>
  <c r="D64" i="2"/>
  <c r="D65" i="2"/>
  <c r="D83" i="2"/>
  <c r="D84" i="2"/>
  <c r="D85" i="2"/>
  <c r="D86" i="2"/>
  <c r="E79" i="2"/>
  <c r="E37" i="2"/>
  <c r="E58" i="2"/>
  <c r="F12" i="8" l="1"/>
  <c r="B64" i="12"/>
  <c r="B67" i="12"/>
  <c r="B66" i="12"/>
  <c r="B69" i="12"/>
  <c r="E14" i="8"/>
  <c r="E16" i="8"/>
  <c r="E17" i="8"/>
  <c r="E20" i="13"/>
  <c r="E14" i="12"/>
  <c r="B62" i="12"/>
  <c r="B65" i="12"/>
  <c r="B68" i="12"/>
  <c r="B63" i="12"/>
  <c r="F59" i="2"/>
  <c r="F60" i="2"/>
  <c r="F61" i="2"/>
  <c r="C67" i="12"/>
  <c r="C62" i="12"/>
  <c r="C68" i="12"/>
  <c r="C69" i="12"/>
  <c r="C64" i="12"/>
  <c r="C66" i="12"/>
  <c r="E33" i="8"/>
  <c r="E21" i="13"/>
  <c r="E30" i="12"/>
  <c r="E30" i="8"/>
  <c r="E32" i="8"/>
  <c r="C63" i="12"/>
  <c r="F28" i="8"/>
  <c r="C65" i="12"/>
  <c r="F44" i="8"/>
  <c r="D63" i="12"/>
  <c r="D64" i="12"/>
  <c r="D66" i="12"/>
  <c r="D67" i="12"/>
  <c r="D68" i="12"/>
  <c r="D69" i="12"/>
  <c r="E46" i="12"/>
  <c r="E48" i="8"/>
  <c r="E22" i="13"/>
  <c r="E46" i="8"/>
  <c r="E49" i="8"/>
  <c r="D62" i="12"/>
  <c r="D65" i="12"/>
  <c r="E82" i="2"/>
  <c r="E81" i="2"/>
  <c r="E80" i="2"/>
  <c r="E40" i="2"/>
  <c r="E39" i="2"/>
  <c r="E38" i="2"/>
  <c r="E61" i="2"/>
  <c r="E60" i="2"/>
  <c r="E59" i="2"/>
  <c r="F37" i="2"/>
  <c r="F79" i="2"/>
  <c r="F20" i="13" l="1"/>
  <c r="F14" i="12"/>
  <c r="F16" i="8"/>
  <c r="F17" i="8"/>
  <c r="F14" i="8"/>
  <c r="E13" i="12"/>
  <c r="E22" i="12"/>
  <c r="E13" i="13"/>
  <c r="E19" i="12"/>
  <c r="E18" i="12"/>
  <c r="E21" i="12"/>
  <c r="E16" i="12"/>
  <c r="E6" i="13"/>
  <c r="F62" i="2"/>
  <c r="F63" i="2"/>
  <c r="F64" i="2"/>
  <c r="F65" i="2"/>
  <c r="E34" i="12"/>
  <c r="E37" i="12"/>
  <c r="E29" i="12"/>
  <c r="E35" i="12"/>
  <c r="E38" i="12"/>
  <c r="E14" i="13"/>
  <c r="E32" i="12"/>
  <c r="E7" i="13"/>
  <c r="F33" i="8"/>
  <c r="F32" i="8"/>
  <c r="F21" i="13"/>
  <c r="F30" i="12"/>
  <c r="F30" i="8"/>
  <c r="F49" i="8"/>
  <c r="F46" i="12"/>
  <c r="F22" i="13"/>
  <c r="F48" i="8"/>
  <c r="F46" i="8"/>
  <c r="E48" i="12"/>
  <c r="E8" i="13"/>
  <c r="E54" i="12"/>
  <c r="E15" i="13"/>
  <c r="E45" i="12"/>
  <c r="E51" i="12"/>
  <c r="E50" i="12"/>
  <c r="E53" i="12"/>
  <c r="E83" i="2"/>
  <c r="E84" i="2"/>
  <c r="E85" i="2"/>
  <c r="E86" i="2"/>
  <c r="E41" i="2"/>
  <c r="E42" i="2"/>
  <c r="E43" i="2"/>
  <c r="E44" i="2"/>
  <c r="E62" i="2"/>
  <c r="E63" i="2"/>
  <c r="E64" i="2"/>
  <c r="E65" i="2"/>
  <c r="F40" i="2"/>
  <c r="F39" i="2"/>
  <c r="F38" i="2"/>
  <c r="F82" i="2"/>
  <c r="F81" i="2"/>
  <c r="F80" i="2"/>
  <c r="F6" i="13" l="1"/>
  <c r="F16" i="12"/>
  <c r="F18" i="12"/>
  <c r="F19" i="12"/>
  <c r="F21" i="12"/>
  <c r="F22" i="12"/>
  <c r="F13" i="13"/>
  <c r="F13" i="12"/>
  <c r="F7" i="13"/>
  <c r="F32" i="12"/>
  <c r="F38" i="12"/>
  <c r="F14" i="13"/>
  <c r="F29" i="12"/>
  <c r="F34" i="12"/>
  <c r="F35" i="12"/>
  <c r="F37" i="12"/>
  <c r="F48" i="12"/>
  <c r="F8" i="13"/>
  <c r="F45" i="12"/>
  <c r="F54" i="12"/>
  <c r="F15" i="13"/>
  <c r="F50" i="12"/>
  <c r="F53" i="12"/>
  <c r="F51" i="12"/>
  <c r="F41" i="2"/>
  <c r="F42" i="2"/>
  <c r="F43" i="2"/>
  <c r="F44" i="2"/>
  <c r="F83" i="2"/>
  <c r="F84" i="2"/>
  <c r="F85" i="2"/>
  <c r="F86" i="2"/>
</calcChain>
</file>

<file path=xl/sharedStrings.xml><?xml version="1.0" encoding="utf-8"?>
<sst xmlns="http://schemas.openxmlformats.org/spreadsheetml/2006/main" count="872" uniqueCount="467">
  <si>
    <t>LEVIATHAN FUND — CORE PE VEHICLE</t>
  </si>
  <si>
    <t>IQT-Backed Deep-Tech Acquisition-Stake Portfolio  |  5 / 7 / 10-Year Holds  |  Defense-Supercycle Overlay</t>
  </si>
  <si>
    <t>Anchored by Substrate, Inc.   ·   Prepared 22-Sep-2026   ·   All figures USD millions unless noted</t>
  </si>
  <si>
    <t>PURPOSE</t>
  </si>
  <si>
    <t>Leviathan's core PE holdco is a $750M vehicle across THREE sub-funds: IQT-mirror deep-tech ($250M), Weapons ($300M), and Consumer/Value ($200M). All three sleeves are now modeled bottom-up from individual holdings — IQT-mirror (nine In-Q-Tel names), Weapons (seven physical-layer holdings), Consumer/Value (nine DTC/spending-cycle names) — each across four scenarios, 5/7/10-yr holds, gross-to-net waterfall, and PME, and roll up to a blended holdco return on the Holdco Summary tab. Start there for the top-down view; the sleeve tabs hold the detail.</t>
  </si>
  <si>
    <t>Scope: Leviathan runs four vehicles (~$1.5B AUM total); this workbook models only the core PE holdco vehicle ($750M) and its equity targets — not the other three vehicles.</t>
  </si>
  <si>
    <t>THE DEFENSE-SUPERCYCLE THESIS (now wired into returns)</t>
  </si>
  <si>
    <t>The book is built to be long the US side of the AI / semiconductor race with China and structurally hedged against a Taiwan contingency or loss of TSMC access. The Defense Supercycle tab scores every name on five strategic axes — China-race criticality, Taiwan/TSMC-insulation value, government/defense embeddedness, CFIUS-clean US-sovereignty, and supply-chain chokepoint leverage. Those scores drive a composite, which drives each name's re-rating in the TSMC-Shock scenario. Change a score and the shock returns move.</t>
  </si>
  <si>
    <t>HOW THE MODEL IS WIRED (edit blue cells only)</t>
  </si>
  <si>
    <t>• Assumptions — fund terms + per-name entry marks, checks, ownership, and Base/Bull/Bear CAGRs. TSMC-Shock CAGR is computed from the Supercycle tab.</t>
  </si>
  <si>
    <t>• Defense Supercycle — strategic scoring matrix, axis weights, shock calibration levers, and the four scenario probability weights. This is the thesis engine.</t>
  </si>
  <si>
    <t>• Allocation — nine positions, tranche, ownership, domicile, structuring/CFIUS flags.</t>
  </si>
  <si>
    <t>• Portfolio Returns — per-name proceeds, MOIC, gross IRR for each hold x four scenarios.</t>
  </si>
  <si>
    <t>• Fund Economics — gross-&gt;net waterfall (2% fee, 8% pref, 20% carry) per vehicle x scenario, plus prob-weighted Expected.</t>
  </si>
  <si>
    <t>• Scenario Summary — dashboard across all vehicles, all four cases, and the Expected column.</t>
  </si>
  <si>
    <t>RETURN &amp; SHOCK MECHANICS</t>
  </si>
  <si>
    <t>Proceeds = Check x (1 + CAGR)^Hold x Retention (retention 0.85/0.78/0.68 at 5/7/10yr for dilution net of the follow-on reserve). TSMC-Shock CAGR = Base CAGR + (Composite score − Pivot) x Premium-per-point. Sovereign-chokepoint names (Substrate, EUV Tech, ThinTronics) re-rate up hard; TSMC-dependent / foreign-nexus names (EdgeCortix, DefendEye) get little or negative uplift. Expected = probability-weighted across the four scenarios.</t>
  </si>
  <si>
    <t>KEY CAVEATS</t>
  </si>
  <si>
    <t>1. TSMC-Shock is a deliberately LOW-PROBABILITY TAIL (default 15%). Its high CAGRs compounded over 10yr produce very large multiples by design — the point is convexity to a decoupling / Taiwan event, not a base case. Keep the probability weight honest.</t>
  </si>
  <si>
    <t>2. Six of nine entry valuations are estimates (flagged in Assumptions); confirm via primary cap-table access.</t>
  </si>
  <si>
    <t>3. Strategic scores are judgment calls grounded in the research brief (IQT/DoD/DIU/DARPA/CHIPS backing, domicile, chokepoint role) — they are levers, not facts. Stress them.</t>
  </si>
  <si>
    <t>4. Domicile: EdgeCortix (Japan) &amp; Diraq (Australia) are allied-nation, minority-only; DefendEye (Polish mfg/EU cap table) needs Blue UAS/NDAA provenance work. The four US semis names are the CFIUS-clean sovereign core.</t>
  </si>
  <si>
    <t>5. Simplified whole-fund European waterfall (no GP catch-up). Not investment advice — an internal IC planning model.</t>
  </si>
  <si>
    <t>LEVIATHAN — CORE PE HOLDCO ($750M) — TRIPARTITE ROLL-UP</t>
  </si>
  <si>
    <t>Three sub-funds rolled up to a blended holdco return. Blue = lever. All three sleeves — IQT-mirror, Weapons, Consumer/Value — flow in bottom-up.</t>
  </si>
  <si>
    <t>HOLDCO STRUCTURE &amp; SIZING</t>
  </si>
  <si>
    <t>Sub-fund</t>
  </si>
  <si>
    <t>Size ($M)</t>
  </si>
  <si>
    <t>% Holdco</t>
  </si>
  <si>
    <t>Return driver</t>
  </si>
  <si>
    <t>Duration</t>
  </si>
  <si>
    <t>Role</t>
  </si>
  <si>
    <t>IQT-mirror (deep-tech)</t>
  </si>
  <si>
    <t>Onshoring capex + Taiwan tail</t>
  </si>
  <si>
    <t>Longest</t>
  </si>
  <si>
    <t>Convex optionality / tail hedge</t>
  </si>
  <si>
    <t>Weapons (physical layer)</t>
  </si>
  <si>
    <t>Defense opex — budgets, conflict</t>
  </si>
  <si>
    <t>Medium</t>
  </si>
  <si>
    <t>Cash-generative supercycle core</t>
  </si>
  <si>
    <t>Consumer / Value</t>
  </si>
  <si>
    <t>Consumer cycle + DTC/wellness</t>
  </si>
  <si>
    <t>Shortest</t>
  </si>
  <si>
    <t>Ballast + near-term DPI engine</t>
  </si>
  <si>
    <t>TOTAL (must = $750M)</t>
  </si>
  <si>
    <t>IQT-mirror: Substrate, EUV Tech, ThinTronics, EdgeCortix, Syntiant, Infleqtion, Diraq, Mueon, DefendEye</t>
  </si>
  <si>
    <t>Weapons: Epirus, Elta, Israel Aerospace Industries, Saronic, Helicon Chemical, Applied Research Associates, Heckler &amp; Koch</t>
  </si>
  <si>
    <t>Consumer/Value: Quince, Thrive Market, The Farmer's Dog, Whoop, Plunge, Made In Cookware, Polymarket, Goat Group, Stripe</t>
  </si>
  <si>
    <t>SLEEVE RETURN ASSUMPTIONS — gross equity CAGR, net of dilution (blue)</t>
  </si>
  <si>
    <t>Sleeve</t>
  </si>
  <si>
    <t>Base</t>
  </si>
  <si>
    <t>Bull</t>
  </si>
  <si>
    <t>Bear</t>
  </si>
  <si>
    <t>TSMC-Shock</t>
  </si>
  <si>
    <t>Weapons (memo — now bottom-up)</t>
  </si>
  <si>
    <t>Consumer / Value (memo — now bottom-up)</t>
  </si>
  <si>
    <t>IQT-mirror, Weapons, AND Consumer/Value are all modeled bottom-up (Portfolio Returns / Weapons Sleeve / Consumer Sleeve tabs) and flow in directly. Both rows above are memos only, kept for reference to the original sleeve-level placeholder assumptions they replaced.</t>
  </si>
  <si>
    <t>BENCHMARKS (KS-PME &gt; 1.0x = beat)</t>
  </si>
  <si>
    <t>S&amp;P 500 (SPX) total-return CAGR</t>
  </si>
  <si>
    <t>Nasdaq-100 (NDX) total-return CAGR</t>
  </si>
  <si>
    <t>Defense+Semis thematic basket CAGR (ITA/SOXX blend)</t>
  </si>
  <si>
    <t>Forward-tempered: 50/50 ITA/SOXX trailing 5yr is ~26% (ITA 18.2% / SOXX 34.5% to Jun-26), inflated by the AI+rearmament run; 15% forward. See Macro Overlay for comps &amp; drivers.</t>
  </si>
  <si>
    <t>5-YEAR HOLDCO ROLL-UP</t>
  </si>
  <si>
    <t>Line item ($M)</t>
  </si>
  <si>
    <t>Expected</t>
  </si>
  <si>
    <t>IQT-mirror gross</t>
  </si>
  <si>
    <t>Weapons gross</t>
  </si>
  <si>
    <t>Consumer/Value gross</t>
  </si>
  <si>
    <t>HOLDCO gross proceeds</t>
  </si>
  <si>
    <t>(-) Return of capital</t>
  </si>
  <si>
    <t>(-) Preferred (8% comp.)</t>
  </si>
  <si>
    <t>Profit above pref</t>
  </si>
  <si>
    <t>(-) Carry (20%)</t>
  </si>
  <si>
    <t>(-) Mgmt fees (2%/yr)</t>
  </si>
  <si>
    <t>NET proceeds to LP</t>
  </si>
  <si>
    <t>Net MOIC</t>
  </si>
  <si>
    <t>Net DPI (=TVPI at exit)</t>
  </si>
  <si>
    <t>Net IRR</t>
  </si>
  <si>
    <t>KS-PME vs SPX</t>
  </si>
  <si>
    <t>KS-PME vs NDX</t>
  </si>
  <si>
    <t>KS-PME vs Defense+Semis basket</t>
  </si>
  <si>
    <t>Direct Alpha vs basket (ann.)</t>
  </si>
  <si>
    <t>7-YEAR HOLDCO ROLL-UP</t>
  </si>
  <si>
    <t>10-YEAR HOLDCO ROLL-UP</t>
  </si>
  <si>
    <t>READ-THROUGH</t>
  </si>
  <si>
    <t>• The holdco is a tripartite barbell: two defense-supercycle sleeves (digital enablers + physical effectors) + a consumer/value ballast that is uncorrelated and carries the near-term DPI.</t>
  </si>
  <si>
    <t>• Judge the IQT sleeve on its marginal contribution here — convexity and a Taiwan/TSMC hedge — not on a standalone 'beat the Nasdaq' test. That test lives at the holdco level.</t>
  </si>
  <si>
    <t>• The KS-PME vs the Defense+Semis basket is the real scoreboard: it asks whether the holdco captures the sovereign-capital trend earlier and cheaper than the public thematic ETFs everyone else uses.</t>
  </si>
  <si>
    <t>• All three sleeves — IQT-mirror, Weapons, and Consumer/Value — are now modeled bottom-up from individual holdings; only the SPX/NDX/thematic-basket benchmarks remain top-down inputs.</t>
  </si>
  <si>
    <t>MACRO, GEOPOLITICAL &amp; DEFENSE-SUPERCYCLE OVERLAY</t>
  </si>
  <si>
    <t>Grounds the sleeve return assumptions in current comps and the geopolitical/macro picture. Figures as of ~Jun-Sep 2026; sourced below.</t>
  </si>
  <si>
    <t>1 | PUBLIC &amp; PRIVATE COMPS GROUNDING THE SLEEVE ASSUMPTIONS</t>
  </si>
  <si>
    <t>Comparable</t>
  </si>
  <si>
    <t>Metric</t>
  </si>
  <si>
    <t>Value</t>
  </si>
  <si>
    <t>Note / relevance</t>
  </si>
  <si>
    <t>ITA (US Aero &amp; Defense ETF)</t>
  </si>
  <si>
    <t>Total return 1/5/10-yr</t>
  </si>
  <si>
    <t>29.3% / 18.2% / 15.7%</t>
  </si>
  <si>
    <t>Defense supercycle already priced into public primes (as of Jun-26)</t>
  </si>
  <si>
    <t>SOXX (Semiconductor ETF)</t>
  </si>
  <si>
    <t>169.6% / 34.5% / 36.6%</t>
  </si>
  <si>
    <t>AI-driven surge; forward mean-reversion risk off a huge base</t>
  </si>
  <si>
    <t>50/50 ITA/SOXX basket</t>
  </si>
  <si>
    <t>Trailing 5-yr blend</t>
  </si>
  <si>
    <t>~26.3%</t>
  </si>
  <si>
    <t>Thematic hurdle; model uses 15% FORWARD (tempered)</t>
  </si>
  <si>
    <t>SPX / NDX</t>
  </si>
  <si>
    <t>Forward CAGR (model)</t>
  </si>
  <si>
    <t>9.0% / 13.0%</t>
  </si>
  <si>
    <t>Broad-market floor benchmarks</t>
  </si>
  <si>
    <t>Rheinmetall (RHM)</t>
  </si>
  <si>
    <t>Rev growth / EV-Rev / EV-EBITDA</t>
  </si>
  <si>
    <t>40% / 4.0x / 17.3x</t>
  </si>
  <si>
    <t>European rearmament bellwether; $54B cap</t>
  </si>
  <si>
    <t>AeroVironment (AVAV)</t>
  </si>
  <si>
    <t>TTM rev / YoY</t>
  </si>
  <si>
    <t>$1.61B / +117%</t>
  </si>
  <si>
    <t>Drones/loitering munitions (incl. M&amp;A); supercycle demand</t>
  </si>
  <si>
    <t>L3Harris (LHX)</t>
  </si>
  <si>
    <t>EV-Rev / EV-EBITDA</t>
  </si>
  <si>
    <t>2.6x / 15.1x</t>
  </si>
  <si>
    <t>Established prime multiple anchor</t>
  </si>
  <si>
    <t>Saronic (private)</t>
  </si>
  <si>
    <t>Valuation / 2025 rev</t>
  </si>
  <si>
    <t>$9.25B / $200M (+1,500%)</t>
  </si>
  <si>
    <t>Naval autonomy hypergrowth (Series D, Mar-26)</t>
  </si>
  <si>
    <t>Anduril (private)</t>
  </si>
  <si>
    <t>$61B / $2.2B (+120%)</t>
  </si>
  <si>
    <t>Scale-up reference; $20B Army ceiling (Mar-26)</t>
  </si>
  <si>
    <t>Epirus (private)</t>
  </si>
  <si>
    <t>Directed energy / HPM</t>
  </si>
  <si>
    <t>Growth-stage</t>
  </si>
  <si>
    <t>Counter-drone; Weapons-sleeve holding</t>
  </si>
  <si>
    <t>Grounded sleeve assumptions (Base/Bull/Bear/Shock gross CAGR): Weapons 22/34/5/32% (sleeve memo — modeled bottom-up); Consumer modeled bottom-up per-name, two now market-priced via Forge secondary (Quince 28/45/2/-18%, Whoop 27/42/-3/-16%, The Farmer's Dog 22/34/10/-5% @ $3.76B Forge-implied, Made In Cookware 14/26/-10/-14% est., Thrive Market 7/16/-5/-8% @ ~$945M Forge-implied (down from $1.29B Series C), Plunge 20/50/-22/-28% est.); thematic basket 15% fwd. IQT-mirror is bottom-up.</t>
  </si>
  <si>
    <t>2 | DEFENSE SUPERCYCLE DRIVERS</t>
  </si>
  <si>
    <t>• NATO 5%-of-GDP pledge (Hague summit, Jun-2025): 3.5% core defense + 1.5% defense-related, on a path to 2035 — a structural, decade-long step-up, not a cyclical bump.</t>
  </si>
  <si>
    <t>• European allies + Canada raised defense spending ~20% in 2025 alone; all allies now above the old 2% floor. Rheinmetall growing 40%/yr is the bellwether.</t>
  </si>
  <si>
    <t>• Munitions/energetics replenishment (Ukraine drawdown) + naval autonomy (Replicator) + counter-drone are the fastest-growing demand pools — directly the Weapons sleeve (Helicon, Saronic, Epirus).</t>
  </si>
  <si>
    <t>3 | CHINA &amp; GEOPOLITICAL PICTURE</t>
  </si>
  <si>
    <t>• China official defense budget ~1.78T yuan (~$245B) for 2025, +7.2% YoY (widely cited; pre-cutoff — confirm 2026 figure) — sustained double-digit real modernization for a decade.</t>
  </si>
  <si>
    <t>• 'Davidson window' (PLA capability vs. Taiwan by 2027) frames the tail-risk timeline the TSMC-Shock scenario models — the single point of failure is TSMC leading-edge capacity.</t>
  </si>
  <si>
    <t>• US-China tech decoupling: export controls on advanced semis/tooling, entity-list expansion, and reshoring incentives are the policy tailwind behind the IQT-mirror sleeve's sovereign-chokepoint names.</t>
  </si>
  <si>
    <t>4 | GLOBAL MACRO BACKDROP</t>
  </si>
  <si>
    <t>• Rates/exit markets: the Fed path drives PE exit windows and long-duration deep-tech valuations most — a higher-for-longer regime compresses the IQT sleeve's terminal multiples and delays exits (lengthens duration, lowers DPI timing).</t>
  </si>
  <si>
    <t>• USD &amp; inflation: a decoupling/Taiwan shock is inflationary (supply shock) and USD-volatile — negative for the Consumer sleeve overall, though now modeled per-name on the Consumer Sleeve tab: import/hardware-exposed names (Quince, Whoop, Made In, Plunge) take the sharper Shock hit via COGS/chip-supply, while staple/subscription names (Farmer's Dog, Thrive Market) are more defensive; Goat Group (discretionary resale demand + cross-border logistics) also skews Shock-worse-than-Bear, while Stripe (fee-based payments infra, not import-exposed) skews milder, in line with its tighter Bear/Shock spread on the Consumer Sleeve tab.</t>
  </si>
  <si>
    <t>• Reshoring / friend-shoring capital flows (CHIPS disbursement, allied industrial policy) are the domestic-capital trend the whole holdco front-runs — the barbell is long this structural reallocation.</t>
  </si>
  <si>
    <t>4B | CLASSIFIED / BLACK-BUDGET DIMENSION (from uploaded BX Tac Opps research)</t>
  </si>
  <si>
    <t>• US classified/black spending ~$170-215B in FY2026 (~16-20% of the ~$1.04T defense topline) and rising as a share (13-14% in 2013 -&gt; 16-20% now). Intelligence budget (NIP+MIP) FY26 request $115.5B, +14.2% YoY.</t>
  </si>
  <si>
    <t>• Why it matters for the IQT-mirror sleeve: IQT is the CIA's investment arm, funded within the NIP. A growing intelligence budget = a larger IQT deployment pipeline = more signal to mirror. The sleeve's edge scales WITH the black budget — a second, independent tailwind on top of the semis/China story.</t>
  </si>
  <si>
    <t>• Missile / energetics / EW / undersea ramp is largely classified and accelerating (AIM-424 Malice revealed Aug-26, Tomahawk Block Va/Vb combat-deployed Feb-26, LRSO, hypersonics; SSN-812 seabed warfare; EA-37B EW) — a direct tailwind to Weapons holdings: Helicon (energetics), Saronic (naval autonomy), Epirus (directed energy), Elta (EW/ISR).</t>
  </si>
  <si>
    <t>• Public-prime classified revenue (FY24 est) as demand proxy: Northrop $9-13B (25-35% of def rev — most 'black'), Lockheed $10-18B, RTX $4-9B, Boeing $4-5.5B, GD $3.5-5B, L3Harris $2.5-4.5B. The private holdings feed the same classified demand pools.</t>
  </si>
  <si>
    <t>5 | DRIVER x SLEEVE MAPPING (direction of impact)</t>
  </si>
  <si>
    <t>Driver</t>
  </si>
  <si>
    <t>IQT-mirror</t>
  </si>
  <si>
    <t>Weapons</t>
  </si>
  <si>
    <t>NATO / EU rearmament</t>
  </si>
  <si>
    <t>+</t>
  </si>
  <si>
    <t>+ +</t>
  </si>
  <si>
    <t>0</t>
  </si>
  <si>
    <t>US budget / Replicator / munitions</t>
  </si>
  <si>
    <t>Classified / black-budget growth (+14% IC)</t>
  </si>
  <si>
    <t>+ + (IQT = CIA arm)</t>
  </si>
  <si>
    <t>China modernization / decoupling</t>
  </si>
  <si>
    <t>-</t>
  </si>
  <si>
    <t>Taiwan / TSMC shock</t>
  </si>
  <si>
    <t>+ + (convex)</t>
  </si>
  <si>
    <t>+ + (conflict demand)</t>
  </si>
  <si>
    <t>- (inflation/spend)</t>
  </si>
  <si>
    <t>CHIPS / reshoring capital</t>
  </si>
  <si>
    <t>Higher-for-longer rates</t>
  </si>
  <si>
    <t>- (long-duration)</t>
  </si>
  <si>
    <t>- / 0</t>
  </si>
  <si>
    <t>USD strength / inflation</t>
  </si>
  <si>
    <t>0 / -</t>
  </si>
  <si>
    <t>- -</t>
  </si>
  <si>
    <t>Consumer spending cycle</t>
  </si>
  <si>
    <t>+ + (primary driver)</t>
  </si>
  <si>
    <t>6 | KEY TAKEAWAY</t>
  </si>
  <si>
    <t>• The supercycle is already loudly priced in PUBLIC comps (ITA +29% 1yr, SOXX +170% 1yr) — so the edge is NOT the theme being undiscovered; it is capturing it at PRIVATE / VC-stage entry before the public re-rate. That is why the scoreboard is KS-PME vs the ITA/SOXX basket, not vs SPX.</t>
  </si>
  <si>
    <t>• The barbell's logic: Weapons + IQT are both long the geopolitical supercycle (opex + capex legs) and both convex to a Taiwan/TSMC shock; Consumer is the uncorrelated ballast that carries near-term DPI and is the one sleeve hurt by the shock. Net holdco is long the supercycle with a spending-cycle diversifier.</t>
  </si>
  <si>
    <t>• Biggest swing factors: (1) Weapons CAGR (largest sleeve), (2) the thematic-basket hurdle, (3) the rate path via IQT exit timing. All are levers on the Holdco Summary / Assumptions / PME tabs.</t>
  </si>
  <si>
    <t>Sources: iShares ITA &amp; SOXX fact sheets (Jun-30-2026); multiples.vc (Rheinmetall/L3Harris, Sep-2026); Macrotrends (AVAV); Sacra (Saronic $9.25B, Anduril $61B); NATO/Atlantic Council (Hague 5% pledge, +20% EU 2025); uploaded BX Tac Opps black-budget compilation (Sep-2026): classified spend ~$170-215B, IC +14.2%, contractor classified-revenue estimates. China budget &amp; Davidson window are widely-cited pre-cutoff figures — confirm current.</t>
  </si>
  <si>
    <t>ASSUMPTIONS &amp; INPUTS</t>
  </si>
  <si>
    <t>Blue = hardcoded input / lever. TSMC-Shock CAGR (col I) is computed on the Defense Supercycle tab. All $M.</t>
  </si>
  <si>
    <t>FUND TERMS (IQT-mirror sleeve)</t>
  </si>
  <si>
    <t>Committed capital ($M)</t>
  </si>
  <si>
    <t>IQT sleeve = 1 of 3 holdco sub-funds (see Holdco Summary)</t>
  </si>
  <si>
    <t>Initial deployment ($M)</t>
  </si>
  <si>
    <t>Memo — reserve embedded in retention</t>
  </si>
  <si>
    <t>Follow-on reserve ($M)</t>
  </si>
  <si>
    <t>Pro-rata defense on winners</t>
  </si>
  <si>
    <t>Mgmt fee (% of committed / yr)</t>
  </si>
  <si>
    <t>Charged over full vehicle life</t>
  </si>
  <si>
    <t>Carried interest (%)</t>
  </si>
  <si>
    <t>Over pref, no catch-up modeled</t>
  </si>
  <si>
    <t>Preferred return (% comp.)</t>
  </si>
  <si>
    <t>8% compounded hurdle</t>
  </si>
  <si>
    <t>Retention @ 5yr</t>
  </si>
  <si>
    <t>Ownership kept after dilution</t>
  </si>
  <si>
    <t>Retention @ 7yr</t>
  </si>
  <si>
    <t>Retention @ 10yr</t>
  </si>
  <si>
    <t>PORTFOLIO — ENTRY MARKS, CHECKS &amp; GROWTH ASSUMPTIONS</t>
  </si>
  <si>
    <t>Company</t>
  </si>
  <si>
    <t>Entry post-$M</t>
  </si>
  <si>
    <t>Check ($M)</t>
  </si>
  <si>
    <t>Own %</t>
  </si>
  <si>
    <t>Tranche</t>
  </si>
  <si>
    <t>Base CAGR</t>
  </si>
  <si>
    <t>Bull CAGR</t>
  </si>
  <si>
    <t>Bear CAGR</t>
  </si>
  <si>
    <t>Valuation basis</t>
  </si>
  <si>
    <t>Substrate (anchor)</t>
  </si>
  <si>
    <t>Anchor / growth</t>
  </si>
  <si>
    <t>Est. &gt;$1.0B post (Oct-25 round)</t>
  </si>
  <si>
    <t>EUV Tech</t>
  </si>
  <si>
    <t>Growth core</t>
  </si>
  <si>
    <t>Est. — undisclosed (rev-gen niche)</t>
  </si>
  <si>
    <t>ThinTronics</t>
  </si>
  <si>
    <t>Est. — undisclosed + $50M CHIPS LOI</t>
  </si>
  <si>
    <t>EdgeCortix</t>
  </si>
  <si>
    <t>Est. — undisclosed (&gt;$110M raised)</t>
  </si>
  <si>
    <t>Syntiant</t>
  </si>
  <si>
    <t>Pre-IPO / liquid</t>
  </si>
  <si>
    <t>$646M Dec-24; S-1 filed (SYTN)</t>
  </si>
  <si>
    <t>Infleqtion</t>
  </si>
  <si>
    <t>Public / liquid</t>
  </si>
  <si>
    <t>Public NYSE:INFQ (~$3.0B mkt cap)</t>
  </si>
  <si>
    <t>Diraq</t>
  </si>
  <si>
    <t>Quantum venture</t>
  </si>
  <si>
    <t>Never disclosed (unverified ~$107M)</t>
  </si>
  <si>
    <t>Mueon</t>
  </si>
  <si>
    <t>Seed optionality</t>
  </si>
  <si>
    <t>Est. — undisclosed ($15.5M seed)</t>
  </si>
  <si>
    <t>DefendEye</t>
  </si>
  <si>
    <t>Est. — undisclosed seed</t>
  </si>
  <si>
    <t>TOTAL DEPLOYED</t>
  </si>
  <si>
    <t>DEFENSE SUPERCYCLE — STRATEGIC SCORING &amp; SHOCK ENGINE</t>
  </si>
  <si>
    <t>Winning the US-China AI/semiconductor race + insulating against a Taiwan / loss-of-TSMC scenario. Blue = lever.</t>
  </si>
  <si>
    <t>STRATEGIC AXIS WEIGHTS (must sum to 100%)</t>
  </si>
  <si>
    <t>China AI/semi-race criticality</t>
  </si>
  <si>
    <t>Advances US lead in AI compute / advanced nodes</t>
  </si>
  <si>
    <t>Taiwan / TSMC-insulation value</t>
  </si>
  <si>
    <t>Reduces US dependence on Taiwan-based fabrication</t>
  </si>
  <si>
    <t>Government / defense embeddedness</t>
  </si>
  <si>
    <t>IQT + DoD/DIU/DARPA/CHIPS pull</t>
  </si>
  <si>
    <t>CFIUS-clean / US-sovereign</t>
  </si>
  <si>
    <t>US domicile &amp; ownership; acquirable by US gov/primes</t>
  </si>
  <si>
    <t>Supply-chain chokepoint leverage</t>
  </si>
  <si>
    <t>Sole/near-sole source at a critical node</t>
  </si>
  <si>
    <t>Sum (check = 100%)</t>
  </si>
  <si>
    <t>TSMC-SHOCK CALIBRATION</t>
  </si>
  <si>
    <t>Pivot score (neutral)</t>
  </si>
  <si>
    <t>Composite above pivot -&gt; positive re-rating; below -&gt; drag</t>
  </si>
  <si>
    <t>Premium per point (CAGR)</t>
  </si>
  <si>
    <t>CAGR uplift per composite point above pivot, added to Base CAGR</t>
  </si>
  <si>
    <t>SCENARIO PROBABILITY WEIGHTS (must sum to 100%)</t>
  </si>
  <si>
    <t>STRATEGIC SCORING MATRIX (1 = low, 5 = high; blue = lever)</t>
  </si>
  <si>
    <t>China Race</t>
  </si>
  <si>
    <t>TSMC Insul.</t>
  </si>
  <si>
    <t>Gov/Defense</t>
  </si>
  <si>
    <t>CFIUS-Clean</t>
  </si>
  <si>
    <t>Chokepoint</t>
  </si>
  <si>
    <t>Composite</t>
  </si>
  <si>
    <t>Shock prem.</t>
  </si>
  <si>
    <t>Shock CAGR</t>
  </si>
  <si>
    <t>Avg / weighted</t>
  </si>
  <si>
    <t>SCENARIO NARRATIVE — TSMC SHOCK / TAIWAN CONTINGENCY</t>
  </si>
  <si>
    <t>• Trigger: a Taiwan blockade/quarantine, kinetic event, or hard US-China tech decoupling that removes or severely constrains access to TSMC's leading-edge capacity — the single point of failure in the AI-compute supply chain.</t>
  </si>
  <si>
    <t>• Winners (large re-rate): the US sovereign-chokepoint names. Substrate (domestic X-ray litho / fabs), EUV Tech (at-wavelength EUV metrology — no fab qualifies without it), ThinTronics (US ABF/substrate materials vs Japan's Ajinomoto monopoly). Onshoring becomes a national-security imperative; demand + pricing power inflect.</t>
  </si>
  <si>
    <t>• Partial winners: Mueon (US advanced packaging / rack density), Infleqtion &amp; Diraq (quantum race convexity — the 'next' compute paradigm if classical leading-edge is contested), Syntiant (US-fab-flexible edge inference).</t>
  </si>
  <si>
    <t>• Laggards / drag: EdgeCortix (Japan HQ + TSMC-Kumamoto fab exposure, near-term supply hit and CFIUS ceiling) and DefendEye (foreign-nexus, low semiconductor-sovereignty relevance).</t>
  </si>
  <si>
    <t>• Portfolio design implication: the book is intentionally overweight the sovereign core, so a tail event that would hurt a generic tech portfolio is where this one is most convex. That asymmetry is the thesis.</t>
  </si>
  <si>
    <t>IQT WARTIME-FUNCTION MAP — SUBSTRATE-ANCHORED SLEEVE (from uploaded IQT strategic analysis)</t>
  </si>
  <si>
    <t>Strategic cluster</t>
  </si>
  <si>
    <t>Holdings</t>
  </si>
  <si>
    <t>Wartime function / why IQT funds it</t>
  </si>
  <si>
    <t>TSMC-alternative: packaging &amp; substrates</t>
  </si>
  <si>
    <t>Substrate, ThinTronics, EUV Tech</t>
  </si>
  <si>
    <t>Build &amp; package chips domestically if Taiwan is blockaded — X-ray litho (Substrate), CoWoS-alternative insulators for advanced packaging (ThinTronics, + $50M CHIPS LOI Jul-26), at-wavelength EUV metrology to keep domestic litho running (EUV Tech).</t>
  </si>
  <si>
    <t>Denied-environment edge AI</t>
  </si>
  <si>
    <t>Syntiant, EdgeCortix</t>
  </si>
  <si>
    <t>Onboard AI for autonomous weapons when GPS / cloud / comms are jammed by PLA electronic warfare — ultra-low-power SWaP-constrained inference on drones, missiles, naval sensors. Syntiant signed a Nov-2025 IQT strategic technology-development agreement; EdgeCortix's DNA accelerator targets defense/aerospace at the tactical edge.</t>
  </si>
  <si>
    <t>Post-Moore's next-gen compute</t>
  </si>
  <si>
    <t>Diraq, Mueon (+ Infleqtion)</t>
  </si>
  <si>
    <t>Bootstrap quantum on existing CMOS foundries (Diraq silicon spin qubits — no exotic materials) and ultra-dense secure domestic AI data-center compute (Mueon) — a hedge if China wins the legacy-silicon volume war.</t>
  </si>
  <si>
    <t>Strategic takeaway: IQT is using venture capital to construct a parallel, domestic 'fail-safe' tech stack so the US can build, package and deploy AI-driven weapons entirely from domestic supply chains through a 2026/27 Taiwan contingency. Mirroring the Substrate-anchored sleeve = owning that fail-safe at VC-stage entry. The scores above are lifted for the edge-AI and next-gen-compute names to reflect this direct, documented defense pull.</t>
  </si>
  <si>
    <t>ALLOCATION &amp; POSITION STRUCTURE</t>
  </si>
  <si>
    <t>Green = linked. Composite pulled from Defense Supercycle tab. Ownership &gt;15% = significant minority (seek board seat / observer).</t>
  </si>
  <si>
    <t>% Fund</t>
  </si>
  <si>
    <t>Supercycle</t>
  </si>
  <si>
    <t>Domicile</t>
  </si>
  <si>
    <t>Structuring / diligence flag</t>
  </si>
  <si>
    <t>USA (SF, CA)</t>
  </si>
  <si>
    <t>Anchor. Binary tech risk — capped ~32% of fund; the core sovereign-litho bet.</t>
  </si>
  <si>
    <t>USA (CA)</t>
  </si>
  <si>
    <t>Rev-generating niche leader — best risk-adjusted. ~17% stake = significant minority; seek a board seat.</t>
  </si>
  <si>
    <t>CHIPS $50M LOI catalyst. ~19% stake = significant minority; likely primary + secondary blend.</t>
  </si>
  <si>
    <t>JAPAN (Tokyo)</t>
  </si>
  <si>
    <t>CFIUS/allied flag — minority only. Renesas natural acquirer. TSMC-Kumamoto fab exposure.</t>
  </si>
  <si>
    <t>Pre-IPO secondary or SYTN cornerstone. Watch pricing vs $646M Dec-24 mark.</t>
  </si>
  <si>
    <t>USA (CO)</t>
  </si>
  <si>
    <t>Public (INFQ). PIPE/secondary. Listed quantum benchmark for Diraq.</t>
  </si>
  <si>
    <t>AUSTRALIA (Sydney)</t>
  </si>
  <si>
    <t>Allied flag — minority. NRFC sovereignty covenants. AUKUS-aligned quantum optionality.</t>
  </si>
  <si>
    <t>USA (OR)</t>
  </si>
  <si>
    <t>Seed. Milestone-gated. Needs a shipping Cubelet design-win to scale exposure.</t>
  </si>
  <si>
    <t>USA (FL)+POLAND</t>
  </si>
  <si>
    <t>EU cap table + Krakow mfg — Blue UAS/NDAA provenance diligence before US-defense thesis.</t>
  </si>
  <si>
    <t>TOTAL</t>
  </si>
  <si>
    <t>PORTFOLIO RETURNS BY HOLD &amp; SCENARIO</t>
  </si>
  <si>
    <t>Proceeds = Check x (1+CAGR)^Hold x Retention. MOIC = Proceeds/Check. Gross IRR = MOIC^(1/Hold)-1.</t>
  </si>
  <si>
    <t>5-YEAR HOLD VEHICLE</t>
  </si>
  <si>
    <t>Base $</t>
  </si>
  <si>
    <t>Base MOIC</t>
  </si>
  <si>
    <t>Base IRR</t>
  </si>
  <si>
    <t>Bull $</t>
  </si>
  <si>
    <t>Bull MOIC</t>
  </si>
  <si>
    <t>Bull IRR</t>
  </si>
  <si>
    <t>Bear $</t>
  </si>
  <si>
    <t>Bear MOIC</t>
  </si>
  <si>
    <t>Bear IRR</t>
  </si>
  <si>
    <t>Shock $</t>
  </si>
  <si>
    <t>Shock MOIC</t>
  </si>
  <si>
    <t>Shock IRR</t>
  </si>
  <si>
    <t>FUND TOTAL</t>
  </si>
  <si>
    <t>7-YEAR HOLD VEHICLE</t>
  </si>
  <si>
    <t>10-YEAR HOLD VEHICLE</t>
  </si>
  <si>
    <t>FUND ECONOMICS — GROSS-&gt;NET WATERFALL</t>
  </si>
  <si>
    <t>Whole-fund European waterfall: return of capital -&gt; 8% comp. pref -&gt; 20% carry (no catch-up). Expected = prob-weighted. $M.</t>
  </si>
  <si>
    <t>5-YEAR VEHICLE</t>
  </si>
  <si>
    <t>Gross exit proceeds</t>
  </si>
  <si>
    <t>(-) Return of committed capital</t>
  </si>
  <si>
    <t>(-) Preferred return (8% comp.)</t>
  </si>
  <si>
    <t>Profit above pref (carry base)</t>
  </si>
  <si>
    <t>(-) GP carried interest (20%)</t>
  </si>
  <si>
    <t>(-) Management fees</t>
  </si>
  <si>
    <t>Net proceeds to LPs</t>
  </si>
  <si>
    <t>Gross MOIC</t>
  </si>
  <si>
    <t>Net MOIC (to LP)</t>
  </si>
  <si>
    <t>Gross IRR</t>
  </si>
  <si>
    <t>Net IRR (to LP)</t>
  </si>
  <si>
    <t>DPI = TVPI at exit</t>
  </si>
  <si>
    <t>7-YEAR VEHICLE</t>
  </si>
  <si>
    <t>10-YEAR VEHICLE</t>
  </si>
  <si>
    <t>IQT SLEEVE — STRATEGIC-FUNCTION CLUSTER ROLL-UP</t>
  </si>
  <si>
    <t>The nine Substrate-anchored names grouped by wartime function (per the IQT strategic analysis). Green links to live per-name figures.</t>
  </si>
  <si>
    <t>SIZING &amp; STRATEGIC SCORE BY CLUSTER</t>
  </si>
  <si>
    <t>% Sleeve</t>
  </si>
  <si>
    <t>Avg composite</t>
  </si>
  <si>
    <t>Avg shock CAGR</t>
  </si>
  <si>
    <t>Infleqtion, Diraq, Mueon</t>
  </si>
  <si>
    <t>Autonomous sensing (adjacent)</t>
  </si>
  <si>
    <t>IQT SLEEVE TOTAL</t>
  </si>
  <si>
    <t>5-YEAR HOLD — CLUSTER GROSS PROCEEDS &amp; MOIC</t>
  </si>
  <si>
    <t>Cluster</t>
  </si>
  <si>
    <t>SLEEVE TOTAL</t>
  </si>
  <si>
    <t>7-YEAR HOLD — CLUSTER GROSS PROCEEDS &amp; MOIC</t>
  </si>
  <si>
    <t>10-YEAR HOLD — CLUSTER GROSS PROCEEDS &amp; MOIC</t>
  </si>
  <si>
    <t>Read: sized by strategic function, the sleeve is ~53% TSMC-alternative packaging/substrates (the sovereign core), ~25% denied-environment edge AI, ~20% next-gen compute, ~3% adjacent autonomy — a deliberate overweight to the domestic fail-safe chokepoints that re-rate hardest in a Taiwan/TSMC shock.</t>
  </si>
  <si>
    <t>WEAPONS SLEEVE — BOTTOM-UP ($300M)</t>
  </si>
  <si>
    <t>Physical-layer defense holdings. Blue = input. Most entry marks are estimates; several names are access-constrained (see flags).</t>
  </si>
  <si>
    <t>SLEEVE TERMS</t>
  </si>
  <si>
    <t>Committed ($M)</t>
  </si>
  <si>
    <t>Retention @5yr</t>
  </si>
  <si>
    <t>Retention @7yr</t>
  </si>
  <si>
    <t>Retention @10yr</t>
  </si>
  <si>
    <t>HOLDINGS, ENTRY MARKS &amp; GROWTH ASSUMPTIONS</t>
  </si>
  <si>
    <t>Access / structure flag</t>
  </si>
  <si>
    <t>Shock</t>
  </si>
  <si>
    <t>Saronic</t>
  </si>
  <si>
    <t>US clean; late/expensive — secondary or late primary</t>
  </si>
  <si>
    <t>Series D Mar-26 $9.25B post</t>
  </si>
  <si>
    <t>Epirus</t>
  </si>
  <si>
    <t>US clean; directed energy / HPM</t>
  </si>
  <si>
    <t>Est. — Series D 2025 (~$1.35B)</t>
  </si>
  <si>
    <t>Israel Aerospace Ind.</t>
  </si>
  <si>
    <t>IPO ATTEMPT (H2-26) — cornerstone/IPO allocation; ITAR/foreign-own. remains</t>
  </si>
  <si>
    <t>Est. — IPO-pending (Elbit-comp scale)</t>
  </si>
  <si>
    <t>Elta Systems</t>
  </si>
  <si>
    <t>IAI subsidiary — consolidates into IAI IPO; EW/ISR</t>
  </si>
  <si>
    <t>Est. notional (within IAI)</t>
  </si>
  <si>
    <t>Heckler &amp; Koch</t>
  </si>
  <si>
    <t>Listed; closely held (CDR) — secondary/block</t>
  </si>
  <si>
    <t>Est. EV — listed small-arms</t>
  </si>
  <si>
    <t>Helicon Chemical</t>
  </si>
  <si>
    <t>US clean; investable small — real stake</t>
  </si>
  <si>
    <t>Est. — early-growth energetics</t>
  </si>
  <si>
    <t>Applied Research Assoc.</t>
  </si>
  <si>
    <t>EMPLOYEE-OWNED ESOP — structural, hard</t>
  </si>
  <si>
    <t>Est. EV (~$700M+ rev R&amp;D)</t>
  </si>
  <si>
    <t>TOTAL (=$300M)</t>
  </si>
  <si>
    <t>5-YEAR HOLD — GROSS PROCEEDS</t>
  </si>
  <si>
    <t>7-YEAR HOLD — GROSS PROCEEDS</t>
  </si>
  <si>
    <t>10-YEAR HOLD — GROSS PROCEEDS</t>
  </si>
  <si>
    <t>CONSUMER / VALUE SLEEVE — BOTTOM-UP ($200M)</t>
  </si>
  <si>
    <t>Spending-cycle / DTC-value holdings. Blue = input. Quince &amp; Whoop = confirmed 2026 primary rounds; Farmer's Dog &amp; Thrive Market = Forge secondary-market pricing (22-Sep-26); Made In &amp; Plunge remain estimates — no market exists. Polymarket added (Sep-26) — prediction-market secondary at ~$14-21B. Goat Group added (stale Series F Jun-21 mark, $3.73B post, no live secondary) and Stripe added (MARKET-PRICED, $159B Feb-26 employee tender) — both funded by trimming the other seven checks pro-rata (×0.7×) to hold the sleeve at its $200M cap.</t>
  </si>
  <si>
    <t>Channel / access note</t>
  </si>
  <si>
    <t>Quince</t>
  </si>
  <si>
    <t>Direct secondary/late-primary; watch ICONIQ round terms</t>
  </si>
  <si>
    <t>Series E Mar-26 $10.1B post (ICONIQ-led $500M; &gt;$1B ARR, M2C manufacturer-to-consumer model)</t>
  </si>
  <si>
    <t>Whoop</t>
  </si>
  <si>
    <t>Direct secondary/late-primary; IPO window = public-exit optionality</t>
  </si>
  <si>
    <t>Series G Mar-26 $10.1B post ($575M raise; IPO-track, medical-grade/glucose-monitoring expansion)</t>
  </si>
  <si>
    <t>The Farmer's Dog</t>
  </si>
  <si>
    <t>WALMART.COM LAUNCH (2025) — DTC-only to omni-channel; secondary access</t>
  </si>
  <si>
    <t>MARKET-PRICED — Forge secondary $23.64/sh (22-Sep-26) = $3.76B implied, up from $2.5B Series E ($15.72/sh, Jun-22); profitable, &gt;$1B ann. revenue</t>
  </si>
  <si>
    <t>Made In Cookware</t>
  </si>
  <si>
    <t>DTC + wholesale/restaurant placements; secondary access, thin float</t>
  </si>
  <si>
    <t>Est. EV — only ~$8.3M ever raised ($5M 2019 seed, KarpReilly-backed 2017); NO secondary market exists — least-grounded mark in the sleeve</t>
  </si>
  <si>
    <t>Thrive Market</t>
  </si>
  <si>
    <t>Membership DTC; IPO-candidate, pre-IPO secondary</t>
  </si>
  <si>
    <t>MARKET-PRICED — Forge secondary $17.98/sh (21-Sep-26) implies ~$945M, DOWN ~27% from Series C $1.29B post ($24.60/sh, Jul-21) despite revenue growth $400M→$700M+ — real multiple compression</t>
  </si>
  <si>
    <t>Plunge</t>
  </si>
  <si>
    <t>Wefunder community round (2025) — direct primary access, small check</t>
  </si>
  <si>
    <t>Est. — NO priced VC round exists (only $4.75M raised incl. crowdfunding); 2021 Shark Tank ask was $10M (declined) vs. ~$200M lifetime sales by 2025 — mostly self-funded growth, entry mark is a rough estimate</t>
  </si>
  <si>
    <t>Polymarket</t>
  </si>
  <si>
    <t>Secondary / late-primary; prediction-market expansion (US regulated + ICE distribution)</t>
  </si>
  <si>
    <t>MARKET-PRICED — secondary ~$14-21B range (Sep-26); ICE-backed; US regulated expansion &amp; sports/politics volume convexity</t>
  </si>
  <si>
    <t>Goat Group</t>
  </si>
  <si>
    <t>Secondary access, thin float; last priced Series F (Jun-21); no active secondary quote — re-underwrite before check</t>
  </si>
  <si>
    <t>Est. — last priced Series F 24-Jun-21 $3.73B post ($5.82/sh; $195M raise, Dragoneer/Franklin Templeton); Forge Global lists GOAT with no live secondary match ("price not yet available") — 5-yr-stale mark, least-grounded alongside Made In/Plunge; no IPO filed</t>
  </si>
  <si>
    <t>Stripe</t>
  </si>
  <si>
    <t>Employee/investor tender access; most liquid, most de-risked name in the sleeve — recurring annual tender cadence gives a real-time mark</t>
  </si>
  <si>
    <t>MARKET-PRICED — Feb-26 employee tender $159B post (Bloomberg/CNBC, 24-Feb-26), up from ~$140B guided 9-Feb-26 and ~$91.5B Feb-25 tender; total payment volume +34% YoY (~$1.9-2T annualized); IPO-track, profitable at scale</t>
  </si>
  <si>
    <t>TOTAL (=$200M)</t>
  </si>
  <si>
    <t>METHODOLOGY / DATA-CONFIDENCE NOTE</t>
  </si>
  <si>
    <t>Marks are now tiered by evidence quality. Quince and Whoop are confirmed 2026 primary rounds (both $10.1B post-money, Mar-26). The Farmer's Dog and Thrive Market are MARKET-PRICED off live Forge Global secondary quotes (22-Sep-26): Farmer's Dog implies $3.76B (up from its $2.5B Series E in Jun-22 — real appreciation, and its Walmart.com launch in 2025 is the modeled upside catalyst); Thrive Market implies ~$945M (DOWN ~27% from its $1.29B Series C post-money in Jul-21, despite revenue growing from $400M to $700M+ over the same period — genuine multiple compression, not a data gap, which is why its Base/Bull CAGRs were cut and its Bear turned negative). Made In Cookware and Plunge remain unpriced: Made In has raised only ~$8.3M total (no institutional round large enough to anchor an EV) and Plunge has raised just $4.75M against an estimated ~$200M in lifetime sales by 2025 (mostly self-funded) — both entry marks are directional estimates with no market to check them against, and are the first things to re-underwrite before a check is cut. Bear vs. Shock differ by name rather than using one sleeve-wide spread: staple/subscription names (Farmer's Dog, Thrive Market) see Shock milder than Bear — food/grocery spend is defensive and some trade-down benefit offsets inflation; import- or hardware-exposed names (Quince's direct-factory M2C sourcing, Whoop's own chip-dependent hardware, Made In's imported cookware inputs, Plunge's hardware BOM) see Shock worse than Bear — a Taiwan/decoupling scenario hits their COGS and supply chain directly, on top of softer discretionary demand. Polymarket added at $15M check (~$18B entry mark, mid of $14-21B secondary range Sep-26); Base 25%/Bull 40%/Bear -5%/Shock -12% — volume/fee leverage + US expansion convexity, with regulatory/competitive risk in Bear/Shock. Goat Group and Stripe were added Sep-26: Goat Group's last priced round is its Series F (24-Jun-21, $3.73B post, $195M raise); Forge Global shows no active secondary match for it, so — like Made In and Plunge — it is an unpriced, stale mark and among the first names to re-underwrite. Stripe is the opposite end of the confidence spectrum: MARKET-PRICED off a live, recurring employee tender ($159B post, 24-Feb-26, up from ~$140B guided 9-Feb-26 and ~$91.5B in the Feb-25 tender), with payment volume +34% YoY — the most liquid, best-evidenced mark in the sleeve. Both checks were funded by trimming the other seven positions pro-rata (×0.7× of prior check size) so total sleeve checks stay at exactly $200M, matching the Holdco Summary sleeve cap.</t>
  </si>
  <si>
    <t>PME, DPI &amp; PROBABILITY PRESSURE TEST</t>
  </si>
  <si>
    <t>DPI/TVPI, KS-PME &amp; Direct Alpha vs SPX/NDX, and Expected Net IRR sensitivity to the TSMC-Shock probability.</t>
  </si>
  <si>
    <t>PUBLIC-MARKET BENCHMARK ASSUMPTIONS (blue = lever)</t>
  </si>
  <si>
    <t>Long-run total-return assumptions; edit to your house view. KS-PME&gt;1.0x = beat the index.</t>
  </si>
  <si>
    <t>Method: single terminal exit -&gt; KS-PME = Net MOIC / index total-return multiple over the hold; Direct Alpha = KS-PME^(1/Hold)-1 (annualized outperformance). Paid-in assumed fully drawn = committed, so Net DPI = Net MOIC and RVPI=0 at exit (TVPI=DPI).</t>
  </si>
  <si>
    <t>5-YEAR VEHICLE — DPI &amp; PME</t>
  </si>
  <si>
    <t>Net DPI (to LP; =TVPI at exit)</t>
  </si>
  <si>
    <t>Gross DPI (deal-level)</t>
  </si>
  <si>
    <t>SPX total-return multiple</t>
  </si>
  <si>
    <t>Net KS-PME vs SPX</t>
  </si>
  <si>
    <t>Direct Alpha vs SPX (ann.)</t>
  </si>
  <si>
    <t>NDX total-return multiple</t>
  </si>
  <si>
    <t>Net KS-PME vs NDX</t>
  </si>
  <si>
    <t>Direct Alpha vs NDX (ann.)</t>
  </si>
  <si>
    <t>memo: Gross KS-PME vs SPX</t>
  </si>
  <si>
    <t>memo: Gross KS-PME vs NDX</t>
  </si>
  <si>
    <t>7-YEAR VEHICLE — DPI &amp; PME</t>
  </si>
  <si>
    <t>10-YEAR VEHICLE — DPI &amp; PME</t>
  </si>
  <si>
    <t>TSMC-SHOCK PROBABILITY PRESSURE TEST</t>
  </si>
  <si>
    <t>Expected Net IRR to LP as the TSMC-Shock probability varies. Base/Bull/Bear stay in their current relative weights; shock takes the remainder. Blue = shock probability level; the 15% row is the current base case.</t>
  </si>
  <si>
    <t>Shock probability</t>
  </si>
  <si>
    <t>5-yr Net IRR</t>
  </si>
  <si>
    <t>7-yr Net IRR</t>
  </si>
  <si>
    <t>10-yr Net IRR</t>
  </si>
  <si>
    <t>Note</t>
  </si>
  <si>
    <t>shock excluded</t>
  </si>
  <si>
    <t>current base case</t>
  </si>
  <si>
    <t>SCENARIO SUMMARY DASHBOARD</t>
  </si>
  <si>
    <t>Net-to-LP across all vehicles, four cases + probability-weighted Expected. Green links to Fund Economics.</t>
  </si>
  <si>
    <t>NET IRR TO LP</t>
  </si>
  <si>
    <t>Vehicle</t>
  </si>
  <si>
    <t>5-Year Hold</t>
  </si>
  <si>
    <t>7-Year Hold</t>
  </si>
  <si>
    <t>10-Year Hold</t>
  </si>
  <si>
    <t>NET MOIC TO LP</t>
  </si>
  <si>
    <t>NET PROCEEDS TO LP ($M)</t>
  </si>
  <si>
    <t>• Expected (prob-weighted) is the number to underwrite to; the four scenario columns show the distribution around it.</t>
  </si>
  <si>
    <t>• TSMC-Shock is the convexity leg — it lifts Expected returns materially precisely because the book is overweight the US sovereign-chokepoint core (Substrate, EUV Tech, ThinTronics). Dial its probability on the Supercycle tab.</t>
  </si>
  <si>
    <t>• Base still clears a mid-teens net IRR; Bear is cushioned by the rev-generating semis names; seed names approach write-off in Bear but are sized small.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</si>
</sst>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;&quot;($&quot;#,##0\);\-"/>
    <numFmt numFmtId="165" formatCode="0.0%"/>
    <numFmt numFmtId="166" formatCode="\$#,##0.0;&quot;($&quot;#,##0.0\);\-"/>
    <numFmt numFmtId="167" formatCode="0.00\x"/>
  </numFmts>
  <fonts count="12" x14ac:knownFonts="1">
    <font>
      <sz val="11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b/>
      <sz val="15"/>
      <color rgb="FF1F2A44"/>
      <name val="Arial"/>
      <family val="2"/>
    </font>
    <font>
      <b/>
      <sz val="11"/>
      <color rgb="FF1F2A44"/>
      <name val="Arial"/>
      <family val="2"/>
    </font>
    <font>
      <i/>
      <sz val="9"/>
      <color rgb="FF555555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0000FF"/>
      <name val="Arial"/>
      <family val="2"/>
    </font>
    <font>
      <sz val="10"/>
      <color rgb="FF008000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EAEEF5"/>
        <bgColor rgb="FFF2F2F2"/>
      </patternFill>
    </fill>
    <fill>
      <patternFill patternType="solid">
        <fgColor rgb="FFFCE9DD"/>
        <bgColor rgb="FFFCE4E4"/>
      </patternFill>
    </fill>
    <fill>
      <patternFill patternType="solid">
        <fgColor rgb="FFFFF2CC"/>
        <bgColor rgb="FFFCE9DD"/>
      </patternFill>
    </fill>
    <fill>
      <patternFill patternType="solid">
        <fgColor rgb="FF2E4374"/>
        <bgColor rgb="FF1F2A44"/>
      </patternFill>
    </fill>
    <fill>
      <patternFill patternType="solid">
        <fgColor rgb="FFE2EFDA"/>
        <bgColor rgb="FFEAF2E6"/>
      </patternFill>
    </fill>
    <fill>
      <patternFill patternType="solid">
        <fgColor rgb="FF7A3B2E"/>
        <bgColor rgb="FF993366"/>
      </patternFill>
    </fill>
    <fill>
      <patternFill patternType="solid">
        <fgColor rgb="FFF2F2F2"/>
        <bgColor rgb="FFEAEEF5"/>
      </patternFill>
    </fill>
    <fill>
      <patternFill patternType="solid">
        <fgColor rgb="FF3E5C3A"/>
        <bgColor rgb="FF3E5E3A"/>
      </patternFill>
    </fill>
    <fill>
      <patternFill patternType="solid">
        <fgColor rgb="FFEAF2E6"/>
        <bgColor rgb="FFEAEEF5"/>
      </patternFill>
    </fill>
    <fill>
      <patternFill patternType="solid">
        <fgColor rgb="FFFCE4E4"/>
        <bgColor rgb="FFFCE9DD"/>
      </patternFill>
    </fill>
    <fill>
      <patternFill patternType="solid">
        <fgColor rgb="FFD9E8D4"/>
        <bgColor rgb="FFE2EFDA"/>
      </patternFill>
    </fill>
  </fills>
  <borders count="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5" fillId="4" borderId="0" xfId="0" applyFont="1" applyFill="1" applyAlignment="1">
      <alignment horizontal="left" vertical="top" wrapText="1"/>
    </xf>
    <xf numFmtId="0" fontId="2" fillId="0" borderId="0" xfId="0" applyFont="1"/>
    <xf numFmtId="0" fontId="4" fillId="0" borderId="0" xfId="0" applyFont="1"/>
    <xf numFmtId="0" fontId="3" fillId="0" borderId="0" xfId="0" applyFont="1"/>
    <xf numFmtId="0" fontId="7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164" fontId="8" fillId="4" borderId="1" xfId="0" applyNumberFormat="1" applyFont="1" applyFill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0" xfId="0" applyFont="1"/>
    <xf numFmtId="164" fontId="5" fillId="6" borderId="1" xfId="0" applyNumberFormat="1" applyFont="1" applyFill="1" applyBorder="1" applyAlignment="1">
      <alignment horizontal="right" vertical="center"/>
    </xf>
    <xf numFmtId="165" fontId="5" fillId="6" borderId="1" xfId="0" applyNumberFormat="1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165" fontId="4" fillId="8" borderId="1" xfId="0" applyNumberFormat="1" applyFont="1" applyFill="1" applyBorder="1" applyAlignment="1">
      <alignment horizontal="right" vertical="center"/>
    </xf>
    <xf numFmtId="0" fontId="6" fillId="0" borderId="0" xfId="0" applyFont="1"/>
    <xf numFmtId="165" fontId="9" fillId="0" borderId="1" xfId="0" applyNumberFormat="1" applyFont="1" applyBorder="1" applyAlignment="1">
      <alignment horizontal="right" vertical="center"/>
    </xf>
    <xf numFmtId="165" fontId="8" fillId="4" borderId="1" xfId="0" applyNumberFormat="1" applyFont="1" applyFill="1" applyBorder="1" applyAlignment="1">
      <alignment horizontal="right" vertical="center"/>
    </xf>
    <xf numFmtId="0" fontId="3" fillId="2" borderId="0" xfId="0" applyFont="1" applyFill="1"/>
    <xf numFmtId="0" fontId="7" fillId="9" borderId="1" xfId="0" applyFont="1" applyFill="1" applyBorder="1" applyAlignment="1">
      <alignment horizontal="center" vertical="center"/>
    </xf>
    <xf numFmtId="166" fontId="6" fillId="0" borderId="1" xfId="0" applyNumberFormat="1" applyFont="1" applyBorder="1" applyAlignment="1">
      <alignment horizontal="right" vertical="center"/>
    </xf>
    <xf numFmtId="166" fontId="6" fillId="3" borderId="1" xfId="0" applyNumberFormat="1" applyFont="1" applyFill="1" applyBorder="1" applyAlignment="1">
      <alignment horizontal="right" vertical="center"/>
    </xf>
    <xf numFmtId="166" fontId="6" fillId="10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vertical="center"/>
    </xf>
    <xf numFmtId="166" fontId="5" fillId="6" borderId="1" xfId="0" applyNumberFormat="1" applyFont="1" applyFill="1" applyBorder="1" applyAlignment="1">
      <alignment horizontal="right" vertical="center"/>
    </xf>
    <xf numFmtId="167" fontId="5" fillId="6" borderId="1" xfId="0" applyNumberFormat="1" applyFont="1" applyFill="1" applyBorder="1" applyAlignment="1">
      <alignment horizontal="right" vertical="center"/>
    </xf>
    <xf numFmtId="167" fontId="6" fillId="0" borderId="1" xfId="0" applyNumberFormat="1" applyFont="1" applyBorder="1" applyAlignment="1">
      <alignment horizontal="right" vertical="center"/>
    </xf>
    <xf numFmtId="167" fontId="6" fillId="3" borderId="1" xfId="0" applyNumberFormat="1" applyFont="1" applyFill="1" applyBorder="1" applyAlignment="1">
      <alignment horizontal="right" vertical="center"/>
    </xf>
    <xf numFmtId="167" fontId="6" fillId="10" borderId="1" xfId="0" applyNumberFormat="1" applyFont="1" applyFill="1" applyBorder="1" applyAlignment="1">
      <alignment horizontal="right" vertical="center"/>
    </xf>
    <xf numFmtId="165" fontId="6" fillId="3" borderId="1" xfId="0" applyNumberFormat="1" applyFont="1" applyFill="1" applyBorder="1" applyAlignment="1">
      <alignment horizontal="right" vertical="center"/>
    </xf>
    <xf numFmtId="165" fontId="6" fillId="10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164" fontId="9" fillId="6" borderId="1" xfId="0" applyNumberFormat="1" applyFont="1" applyFill="1" applyBorder="1" applyAlignment="1">
      <alignment horizontal="right" vertical="center"/>
    </xf>
    <xf numFmtId="164" fontId="10" fillId="4" borderId="1" xfId="0" applyNumberFormat="1" applyFont="1" applyFill="1" applyBorder="1" applyAlignment="1">
      <alignment horizontal="right" vertical="center"/>
    </xf>
    <xf numFmtId="165" fontId="10" fillId="4" borderId="1" xfId="0" applyNumberFormat="1" applyFont="1" applyFill="1" applyBorder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164" fontId="5" fillId="6" borderId="0" xfId="0" applyNumberFormat="1" applyFont="1" applyFill="1" applyAlignment="1">
      <alignment horizontal="right" vertical="center"/>
    </xf>
    <xf numFmtId="2" fontId="8" fillId="4" borderId="1" xfId="0" applyNumberFormat="1" applyFont="1" applyFill="1" applyBorder="1" applyAlignment="1">
      <alignment horizontal="right" vertical="center"/>
    </xf>
    <xf numFmtId="2" fontId="10" fillId="4" borderId="1" xfId="0" applyNumberFormat="1" applyFont="1" applyFill="1" applyBorder="1" applyAlignment="1">
      <alignment horizontal="center" vertical="center"/>
    </xf>
    <xf numFmtId="2" fontId="6" fillId="0" borderId="1" xfId="0" applyNumberFormat="1" applyFont="1" applyBorder="1" applyAlignment="1">
      <alignment horizontal="right" vertical="center"/>
    </xf>
    <xf numFmtId="0" fontId="5" fillId="8" borderId="0" xfId="0" applyFont="1" applyFill="1"/>
    <xf numFmtId="2" fontId="5" fillId="8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2" fontId="9" fillId="0" borderId="1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left" vertical="center" wrapText="1"/>
    </xf>
    <xf numFmtId="165" fontId="5" fillId="6" borderId="0" xfId="0" applyNumberFormat="1" applyFont="1" applyFill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164" fontId="6" fillId="3" borderId="1" xfId="0" applyNumberFormat="1" applyFont="1" applyFill="1" applyBorder="1" applyAlignment="1">
      <alignment horizontal="right" vertical="center"/>
    </xf>
    <xf numFmtId="164" fontId="5" fillId="8" borderId="0" xfId="0" applyNumberFormat="1" applyFont="1" applyFill="1" applyAlignment="1">
      <alignment horizontal="right" vertical="center"/>
    </xf>
    <xf numFmtId="167" fontId="5" fillId="8" borderId="0" xfId="0" applyNumberFormat="1" applyFont="1" applyFill="1" applyAlignment="1">
      <alignment horizontal="right" vertical="center"/>
    </xf>
    <xf numFmtId="165" fontId="5" fillId="8" borderId="0" xfId="0" applyNumberFormat="1" applyFont="1" applyFill="1" applyAlignment="1">
      <alignment horizontal="right" vertical="center"/>
    </xf>
    <xf numFmtId="164" fontId="5" fillId="3" borderId="0" xfId="0" applyNumberFormat="1" applyFont="1" applyFill="1" applyAlignment="1">
      <alignment horizontal="right" vertical="center"/>
    </xf>
    <xf numFmtId="167" fontId="5" fillId="3" borderId="0" xfId="0" applyNumberFormat="1" applyFont="1" applyFill="1" applyAlignment="1">
      <alignment horizontal="right" vertical="center"/>
    </xf>
    <xf numFmtId="165" fontId="5" fillId="3" borderId="0" xfId="0" applyNumberFormat="1" applyFont="1" applyFill="1" applyAlignment="1">
      <alignment horizontal="right" vertical="center"/>
    </xf>
    <xf numFmtId="166" fontId="5" fillId="12" borderId="1" xfId="0" applyNumberFormat="1" applyFont="1" applyFill="1" applyBorder="1" applyAlignment="1">
      <alignment horizontal="right" vertical="center"/>
    </xf>
    <xf numFmtId="167" fontId="5" fillId="12" borderId="1" xfId="0" applyNumberFormat="1" applyFont="1" applyFill="1" applyBorder="1" applyAlignment="1">
      <alignment horizontal="right" vertical="center"/>
    </xf>
    <xf numFmtId="165" fontId="5" fillId="12" borderId="1" xfId="0" applyNumberFormat="1" applyFont="1" applyFill="1" applyBorder="1" applyAlignment="1">
      <alignment horizontal="right" vertical="center"/>
    </xf>
    <xf numFmtId="165" fontId="9" fillId="3" borderId="1" xfId="0" applyNumberFormat="1" applyFont="1" applyFill="1" applyBorder="1" applyAlignment="1">
      <alignment horizontal="right" vertical="center"/>
    </xf>
    <xf numFmtId="164" fontId="5" fillId="8" borderId="1" xfId="0" applyNumberFormat="1" applyFont="1" applyFill="1" applyBorder="1" applyAlignment="1">
      <alignment horizontal="right" vertical="center"/>
    </xf>
    <xf numFmtId="167" fontId="5" fillId="8" borderId="1" xfId="0" applyNumberFormat="1" applyFont="1" applyFill="1" applyBorder="1" applyAlignment="1">
      <alignment horizontal="right" vertical="center"/>
    </xf>
    <xf numFmtId="164" fontId="5" fillId="3" borderId="1" xfId="0" applyNumberFormat="1" applyFont="1" applyFill="1" applyBorder="1" applyAlignment="1">
      <alignment horizontal="right" vertical="center"/>
    </xf>
    <xf numFmtId="167" fontId="5" fillId="3" borderId="1" xfId="0" applyNumberFormat="1" applyFont="1" applyFill="1" applyBorder="1" applyAlignment="1">
      <alignment horizontal="right" vertical="center"/>
    </xf>
    <xf numFmtId="165" fontId="10" fillId="3" borderId="1" xfId="0" applyNumberFormat="1" applyFont="1" applyFill="1" applyBorder="1" applyAlignment="1">
      <alignment horizontal="right" vertical="center"/>
    </xf>
    <xf numFmtId="0" fontId="11" fillId="0" borderId="1" xfId="0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/>
    </xf>
    <xf numFmtId="167" fontId="11" fillId="0" borderId="1" xfId="0" applyNumberFormat="1" applyFont="1" applyBorder="1" applyAlignment="1">
      <alignment horizontal="right" vertical="center"/>
    </xf>
    <xf numFmtId="165" fontId="11" fillId="0" borderId="1" xfId="0" applyNumberFormat="1" applyFont="1" applyBorder="1" applyAlignment="1">
      <alignment horizontal="right" vertical="center"/>
    </xf>
    <xf numFmtId="164" fontId="11" fillId="3" borderId="1" xfId="0" applyNumberFormat="1" applyFont="1" applyFill="1" applyBorder="1" applyAlignment="1">
      <alignment horizontal="right" vertical="center"/>
    </xf>
    <xf numFmtId="167" fontId="11" fillId="3" borderId="1" xfId="0" applyNumberFormat="1" applyFont="1" applyFill="1" applyBorder="1" applyAlignment="1">
      <alignment horizontal="right" vertical="center"/>
    </xf>
    <xf numFmtId="165" fontId="11" fillId="3" borderId="1" xfId="0" applyNumberFormat="1" applyFont="1" applyFill="1" applyBorder="1" applyAlignment="1">
      <alignment horizontal="right" vertical="center"/>
    </xf>
    <xf numFmtId="0" fontId="3" fillId="3" borderId="0" xfId="0" applyFont="1" applyFill="1"/>
    <xf numFmtId="0" fontId="4" fillId="0" borderId="0" xfId="0" applyFont="1" applyAlignment="1">
      <alignment horizontal="left" vertical="center" wrapText="1"/>
    </xf>
    <xf numFmtId="165" fontId="8" fillId="12" borderId="1" xfId="0" applyNumberFormat="1" applyFont="1" applyFill="1" applyBorder="1" applyAlignment="1">
      <alignment horizontal="right" vertical="center"/>
    </xf>
    <xf numFmtId="165" fontId="6" fillId="1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vertical="center"/>
    </xf>
    <xf numFmtId="165" fontId="9" fillId="12" borderId="1" xfId="0" applyNumberFormat="1" applyFont="1" applyFill="1" applyBorder="1" applyAlignment="1">
      <alignment horizontal="right" vertical="center"/>
    </xf>
    <xf numFmtId="167" fontId="9" fillId="0" borderId="1" xfId="0" applyNumberFormat="1" applyFont="1" applyBorder="1" applyAlignment="1">
      <alignment horizontal="right" vertical="center"/>
    </xf>
    <xf numFmtId="167" fontId="9" fillId="3" borderId="1" xfId="0" applyNumberFormat="1" applyFont="1" applyFill="1" applyBorder="1" applyAlignment="1">
      <alignment horizontal="right" vertical="center"/>
    </xf>
    <xf numFmtId="167" fontId="9" fillId="12" borderId="1" xfId="0" applyNumberFormat="1" applyFont="1" applyFill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166" fontId="9" fillId="3" borderId="1" xfId="0" applyNumberFormat="1" applyFont="1" applyFill="1" applyBorder="1" applyAlignment="1">
      <alignment horizontal="right" vertical="center"/>
    </xf>
    <xf numFmtId="166" fontId="9" fillId="12" borderId="1" xfId="0" applyNumberFormat="1" applyFont="1" applyFill="1" applyBorder="1" applyAlignment="1">
      <alignment horizontal="right" vertical="center"/>
    </xf>
    <xf numFmtId="0" fontId="4" fillId="0" borderId="0" xfId="0" applyFont="1" applyAlignment="1">
      <alignment vertical="top" wrapText="1"/>
    </xf>
    <xf numFmtId="0" fontId="0" fillId="0" borderId="0" xfId="0"/>
    <xf numFmtId="0" fontId="4" fillId="0" borderId="0" xfId="0" applyFont="1"/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left" vertical="center" wrapText="1"/>
    </xf>
    <xf numFmtId="0" fontId="0" fillId="0" borderId="3" xfId="0" applyBorder="1"/>
    <xf numFmtId="0" fontId="0" fillId="0" borderId="2" xfId="0" applyBorder="1"/>
    <xf numFmtId="0" fontId="7" fillId="5" borderId="1" xfId="0" applyFont="1" applyFill="1" applyBorder="1" applyAlignment="1">
      <alignment horizontal="center" vertical="center" wrapText="1"/>
    </xf>
    <xf numFmtId="0" fontId="1" fillId="0" borderId="0" xfId="0" applyFont="1"/>
    <xf numFmtId="0" fontId="6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EAF2E6"/>
      <rgbColor rgb="FF660066"/>
      <rgbColor rgb="FFFF8080"/>
      <rgbColor rgb="FF0066CC"/>
      <rgbColor rgb="FFD9E8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EEF5"/>
      <rgbColor rgb="FFE2EFDA"/>
      <rgbColor rgb="FFFCE9DD"/>
      <rgbColor rgb="FFF2F2F2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C65911"/>
      <rgbColor rgb="FF555555"/>
      <rgbColor rgb="FF969696"/>
      <rgbColor rgb="FF003366"/>
      <rgbColor rgb="FF3E5E3A"/>
      <rgbColor rgb="FF003300"/>
      <rgbColor rgb="FF3E5C3A"/>
      <rgbColor rgb="FF7A3B2E"/>
      <rgbColor rgb="FF993366"/>
      <rgbColor rgb="FF2E4374"/>
      <rgbColor rgb="FF1F2A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2A44"/>
    <pageSetUpPr fitToPage="1"/>
  </sheetPr>
  <dimension ref="A1:B27"/>
  <sheetViews>
    <sheetView showGridLines="0" zoomScaleNormal="100" workbookViewId="0"/>
  </sheetViews>
  <sheetFormatPr baseColWidth="10" defaultColWidth="8.6640625" defaultRowHeight="15" x14ac:dyDescent="0.2"/>
  <cols>
    <col min="1" max="1" width="2" customWidth="1"/>
    <col min="2" max="2" width="106" customWidth="1"/>
  </cols>
  <sheetData>
    <row r="1" spans="1:2" ht="21.75" customHeight="1" x14ac:dyDescent="0.2">
      <c r="A1" s="1"/>
      <c r="B1" s="2" t="s">
        <v>0</v>
      </c>
    </row>
    <row r="2" spans="1:2" ht="30.75" customHeight="1" x14ac:dyDescent="0.2">
      <c r="A2" s="1"/>
      <c r="B2" s="3" t="s">
        <v>1</v>
      </c>
    </row>
    <row r="3" spans="1:2" ht="15" customHeight="1" x14ac:dyDescent="0.2">
      <c r="A3" s="1"/>
      <c r="B3" s="4" t="s">
        <v>2</v>
      </c>
    </row>
    <row r="4" spans="1:2" ht="15" customHeight="1" x14ac:dyDescent="0.2">
      <c r="A4" s="1"/>
      <c r="B4" s="1"/>
    </row>
    <row r="5" spans="1:2" ht="15" customHeight="1" x14ac:dyDescent="0.2">
      <c r="A5" s="1"/>
      <c r="B5" s="5" t="s">
        <v>3</v>
      </c>
    </row>
    <row r="6" spans="1:2" ht="78.75" customHeight="1" x14ac:dyDescent="0.2">
      <c r="A6" s="1"/>
      <c r="B6" s="6" t="s">
        <v>4</v>
      </c>
    </row>
    <row r="7" spans="1:2" ht="25.5" customHeight="1" x14ac:dyDescent="0.2">
      <c r="A7" s="1"/>
      <c r="B7" s="4" t="s">
        <v>5</v>
      </c>
    </row>
    <row r="8" spans="1:2" ht="15" customHeight="1" x14ac:dyDescent="0.2">
      <c r="A8" s="1"/>
      <c r="B8" s="7" t="s">
        <v>6</v>
      </c>
    </row>
    <row r="9" spans="1:2" ht="66" customHeight="1" x14ac:dyDescent="0.2">
      <c r="A9" s="1"/>
      <c r="B9" s="6" t="s">
        <v>7</v>
      </c>
    </row>
    <row r="10" spans="1:2" ht="15" customHeight="1" x14ac:dyDescent="0.2">
      <c r="A10" s="1"/>
      <c r="B10" s="1"/>
    </row>
    <row r="11" spans="1:2" ht="15" customHeight="1" x14ac:dyDescent="0.2">
      <c r="A11" s="1"/>
      <c r="B11" s="5" t="s">
        <v>8</v>
      </c>
    </row>
    <row r="12" spans="1:2" ht="27.75" customHeight="1" x14ac:dyDescent="0.2">
      <c r="A12" s="1"/>
      <c r="B12" s="6" t="s">
        <v>9</v>
      </c>
    </row>
    <row r="13" spans="1:2" ht="27.75" customHeight="1" x14ac:dyDescent="0.2">
      <c r="A13" s="1"/>
      <c r="B13" s="6" t="s">
        <v>10</v>
      </c>
    </row>
    <row r="14" spans="1:2" ht="15" customHeight="1" x14ac:dyDescent="0.2">
      <c r="A14" s="1"/>
      <c r="B14" s="6" t="s">
        <v>11</v>
      </c>
    </row>
    <row r="15" spans="1:2" ht="15" customHeight="1" x14ac:dyDescent="0.2">
      <c r="A15" s="1"/>
      <c r="B15" s="6" t="s">
        <v>12</v>
      </c>
    </row>
    <row r="16" spans="1:2" ht="27.75" customHeight="1" x14ac:dyDescent="0.2">
      <c r="A16" s="1"/>
      <c r="B16" s="6" t="s">
        <v>13</v>
      </c>
    </row>
    <row r="17" spans="1:2" ht="15" customHeight="1" x14ac:dyDescent="0.2">
      <c r="A17" s="1"/>
      <c r="B17" s="6" t="s">
        <v>14</v>
      </c>
    </row>
    <row r="18" spans="1:2" ht="15" customHeight="1" x14ac:dyDescent="0.2">
      <c r="A18" s="1"/>
      <c r="B18" s="1"/>
    </row>
    <row r="19" spans="1:2" ht="15" customHeight="1" x14ac:dyDescent="0.2">
      <c r="A19" s="1"/>
      <c r="B19" s="5" t="s">
        <v>15</v>
      </c>
    </row>
    <row r="20" spans="1:2" ht="66" customHeight="1" x14ac:dyDescent="0.2">
      <c r="A20" s="1"/>
      <c r="B20" s="6" t="s">
        <v>16</v>
      </c>
    </row>
    <row r="21" spans="1:2" ht="15" customHeight="1" x14ac:dyDescent="0.2">
      <c r="A21" s="1"/>
      <c r="B21" s="1"/>
    </row>
    <row r="22" spans="1:2" ht="15" customHeight="1" x14ac:dyDescent="0.2">
      <c r="A22" s="1"/>
      <c r="B22" s="8" t="s">
        <v>17</v>
      </c>
    </row>
    <row r="23" spans="1:2" ht="40.5" customHeight="1" x14ac:dyDescent="0.2">
      <c r="A23" s="1"/>
      <c r="B23" s="6" t="s">
        <v>18</v>
      </c>
    </row>
    <row r="24" spans="1:2" ht="27.75" customHeight="1" x14ac:dyDescent="0.2">
      <c r="A24" s="1"/>
      <c r="B24" s="6" t="s">
        <v>19</v>
      </c>
    </row>
    <row r="25" spans="1:2" ht="27.75" customHeight="1" x14ac:dyDescent="0.2">
      <c r="A25" s="1"/>
      <c r="B25" s="6" t="s">
        <v>20</v>
      </c>
    </row>
    <row r="26" spans="1:2" ht="40.5" customHeight="1" x14ac:dyDescent="0.2">
      <c r="A26" s="1"/>
      <c r="B26" s="6" t="s">
        <v>21</v>
      </c>
    </row>
    <row r="27" spans="1:2" ht="27.75" customHeight="1" x14ac:dyDescent="0.2">
      <c r="A27" s="1"/>
      <c r="B27" s="6" t="s">
        <v>22</v>
      </c>
    </row>
  </sheetData>
  <printOptions horizontalCentered="1"/>
  <pageMargins left="0.4" right="0.4" top="1" bottom="1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2A44"/>
    <pageSetUpPr fitToPage="1"/>
  </sheetPr>
  <dimension ref="A1:F93"/>
  <sheetViews>
    <sheetView showGridLines="0" topLeftCell="A39" zoomScaleNormal="100" workbookViewId="0"/>
  </sheetViews>
  <sheetFormatPr baseColWidth="10" defaultColWidth="8.6640625" defaultRowHeight="15" x14ac:dyDescent="0.2"/>
  <cols>
    <col min="1" max="1" width="42" customWidth="1"/>
    <col min="2" max="2" width="13" customWidth="1"/>
    <col min="3" max="3" width="11" customWidth="1"/>
    <col min="4" max="4" width="24" customWidth="1"/>
    <col min="5" max="5" width="12" customWidth="1"/>
    <col min="6" max="6" width="30" customWidth="1"/>
  </cols>
  <sheetData>
    <row r="1" spans="1:6" ht="18" customHeight="1" x14ac:dyDescent="0.2">
      <c r="A1" s="9" t="s">
        <v>23</v>
      </c>
      <c r="B1" s="1"/>
      <c r="C1" s="1"/>
      <c r="D1" s="1"/>
      <c r="E1" s="1"/>
      <c r="F1" s="1"/>
    </row>
    <row r="2" spans="1:6" ht="15" customHeight="1" x14ac:dyDescent="0.2">
      <c r="A2" s="10" t="s">
        <v>24</v>
      </c>
      <c r="B2" s="1"/>
      <c r="C2" s="1"/>
      <c r="D2" s="1"/>
      <c r="E2" s="1"/>
      <c r="F2" s="1"/>
    </row>
    <row r="3" spans="1:6" ht="15" customHeight="1" x14ac:dyDescent="0.2">
      <c r="A3" s="1"/>
      <c r="B3" s="1"/>
      <c r="C3" s="1"/>
      <c r="D3" s="1"/>
      <c r="E3" s="1"/>
      <c r="F3" s="1"/>
    </row>
    <row r="4" spans="1:6" ht="15" customHeight="1" x14ac:dyDescent="0.2">
      <c r="A4" s="11" t="s">
        <v>25</v>
      </c>
      <c r="B4" s="1"/>
      <c r="C4" s="1"/>
      <c r="D4" s="1"/>
      <c r="E4" s="1"/>
      <c r="F4" s="1"/>
    </row>
    <row r="5" spans="1:6" ht="15" customHeight="1" x14ac:dyDescent="0.2">
      <c r="A5" s="12" t="s">
        <v>26</v>
      </c>
      <c r="B5" s="12" t="s">
        <v>27</v>
      </c>
      <c r="C5" s="12" t="s">
        <v>28</v>
      </c>
      <c r="D5" s="12" t="s">
        <v>29</v>
      </c>
      <c r="E5" s="12" t="s">
        <v>30</v>
      </c>
      <c r="F5" s="12" t="s">
        <v>31</v>
      </c>
    </row>
    <row r="6" spans="1:6" ht="27.75" customHeight="1" x14ac:dyDescent="0.2">
      <c r="A6" s="13" t="s">
        <v>32</v>
      </c>
      <c r="B6" s="14">
        <v>250</v>
      </c>
      <c r="C6" s="15">
        <f>B6/$B$9</f>
        <v>0.33333333333333331</v>
      </c>
      <c r="D6" s="16" t="s">
        <v>33</v>
      </c>
      <c r="E6" s="17" t="s">
        <v>34</v>
      </c>
      <c r="F6" s="16" t="s">
        <v>35</v>
      </c>
    </row>
    <row r="7" spans="1:6" ht="27.75" customHeight="1" x14ac:dyDescent="0.2">
      <c r="A7" s="13" t="s">
        <v>36</v>
      </c>
      <c r="B7" s="14">
        <v>300</v>
      </c>
      <c r="C7" s="15">
        <f>B7/$B$9</f>
        <v>0.4</v>
      </c>
      <c r="D7" s="16" t="s">
        <v>37</v>
      </c>
      <c r="E7" s="17" t="s">
        <v>38</v>
      </c>
      <c r="F7" s="16" t="s">
        <v>39</v>
      </c>
    </row>
    <row r="8" spans="1:6" ht="27.75" customHeight="1" x14ac:dyDescent="0.2">
      <c r="A8" s="13" t="s">
        <v>40</v>
      </c>
      <c r="B8" s="14">
        <v>200</v>
      </c>
      <c r="C8" s="15">
        <f>B8/$B$9</f>
        <v>0.26666666666666666</v>
      </c>
      <c r="D8" s="16" t="s">
        <v>41</v>
      </c>
      <c r="E8" s="17" t="s">
        <v>42</v>
      </c>
      <c r="F8" s="16" t="s">
        <v>43</v>
      </c>
    </row>
    <row r="9" spans="1:6" ht="15" customHeight="1" x14ac:dyDescent="0.2">
      <c r="A9" s="18" t="s">
        <v>44</v>
      </c>
      <c r="B9" s="19">
        <f>SUM(B6:B8)</f>
        <v>750</v>
      </c>
      <c r="C9" s="20">
        <f>SUM(C6:C8)</f>
        <v>1</v>
      </c>
      <c r="D9" s="1"/>
      <c r="E9" s="1"/>
      <c r="F9" s="1"/>
    </row>
    <row r="10" spans="1:6" ht="15" customHeight="1" x14ac:dyDescent="0.2">
      <c r="A10" s="99" t="s">
        <v>45</v>
      </c>
      <c r="B10" s="98"/>
      <c r="C10" s="98"/>
      <c r="D10" s="98"/>
      <c r="E10" s="98"/>
      <c r="F10" s="98"/>
    </row>
    <row r="11" spans="1:6" ht="15" customHeight="1" x14ac:dyDescent="0.2">
      <c r="A11" s="99" t="s">
        <v>46</v>
      </c>
      <c r="B11" s="98"/>
      <c r="C11" s="98"/>
      <c r="D11" s="98"/>
      <c r="E11" s="98"/>
      <c r="F11" s="98"/>
    </row>
    <row r="12" spans="1:6" ht="15" customHeight="1" x14ac:dyDescent="0.2">
      <c r="A12" s="99" t="s">
        <v>47</v>
      </c>
      <c r="B12" s="98"/>
      <c r="C12" s="98"/>
      <c r="D12" s="98"/>
      <c r="E12" s="98"/>
      <c r="F12" s="98"/>
    </row>
    <row r="13" spans="1:6" ht="15" customHeight="1" x14ac:dyDescent="0.2">
      <c r="A13" s="1"/>
      <c r="B13" s="1"/>
      <c r="C13" s="1"/>
      <c r="D13" s="1"/>
      <c r="E13" s="1"/>
      <c r="F13" s="1"/>
    </row>
    <row r="14" spans="1:6" ht="15" customHeight="1" x14ac:dyDescent="0.2">
      <c r="A14" s="11" t="s">
        <v>48</v>
      </c>
      <c r="B14" s="1"/>
      <c r="C14" s="1"/>
      <c r="D14" s="1"/>
      <c r="E14" s="1"/>
      <c r="F14" s="1"/>
    </row>
    <row r="15" spans="1:6" ht="15" customHeight="1" x14ac:dyDescent="0.2">
      <c r="A15" s="12" t="s">
        <v>49</v>
      </c>
      <c r="B15" s="12" t="s">
        <v>50</v>
      </c>
      <c r="C15" s="12" t="s">
        <v>51</v>
      </c>
      <c r="D15" s="12" t="s">
        <v>52</v>
      </c>
      <c r="E15" s="21" t="s">
        <v>53</v>
      </c>
      <c r="F15" s="22"/>
    </row>
    <row r="16" spans="1:6" ht="15" customHeight="1" x14ac:dyDescent="0.2">
      <c r="A16" s="23" t="s">
        <v>54</v>
      </c>
      <c r="B16" s="24">
        <v>0.22</v>
      </c>
      <c r="C16" s="24">
        <v>0.34</v>
      </c>
      <c r="D16" s="24">
        <v>0.05</v>
      </c>
      <c r="E16" s="24">
        <v>0.32</v>
      </c>
      <c r="F16" s="1"/>
    </row>
    <row r="17" spans="1:6" ht="15" customHeight="1" x14ac:dyDescent="0.2">
      <c r="A17" s="23" t="s">
        <v>55</v>
      </c>
      <c r="B17" s="24">
        <v>0.14000000000000001</v>
      </c>
      <c r="C17" s="24">
        <v>0.25</v>
      </c>
      <c r="D17" s="24">
        <v>-0.1</v>
      </c>
      <c r="E17" s="24">
        <v>-0.04</v>
      </c>
      <c r="F17" s="1"/>
    </row>
    <row r="18" spans="1:6" ht="25.5" customHeight="1" x14ac:dyDescent="0.2">
      <c r="A18" s="97" t="s">
        <v>56</v>
      </c>
      <c r="B18" s="98"/>
      <c r="C18" s="98"/>
      <c r="D18" s="98"/>
      <c r="E18" s="98"/>
      <c r="F18" s="98"/>
    </row>
    <row r="19" spans="1:6" ht="15" customHeight="1" x14ac:dyDescent="0.2">
      <c r="A19" s="1"/>
      <c r="B19" s="1"/>
      <c r="C19" s="1"/>
      <c r="D19" s="1"/>
      <c r="E19" s="1"/>
      <c r="F19" s="1"/>
    </row>
    <row r="20" spans="1:6" ht="15" customHeight="1" x14ac:dyDescent="0.2">
      <c r="A20" s="11" t="s">
        <v>57</v>
      </c>
      <c r="B20" s="1"/>
      <c r="C20" s="1"/>
      <c r="D20" s="1"/>
      <c r="E20" s="1"/>
      <c r="F20" s="1"/>
    </row>
    <row r="21" spans="1:6" ht="15" customHeight="1" x14ac:dyDescent="0.2">
      <c r="A21" s="25" t="s">
        <v>58</v>
      </c>
      <c r="B21" s="26">
        <f>'PME, DPI &amp; Sensitivity'!$B$5</f>
        <v>0.09</v>
      </c>
      <c r="C21" s="1"/>
      <c r="D21" s="1"/>
      <c r="E21" s="1"/>
      <c r="F21" s="1"/>
    </row>
    <row r="22" spans="1:6" ht="15" customHeight="1" x14ac:dyDescent="0.2">
      <c r="A22" s="25" t="s">
        <v>59</v>
      </c>
      <c r="B22" s="26">
        <f>'PME, DPI &amp; Sensitivity'!$B$6</f>
        <v>0.13</v>
      </c>
      <c r="C22" s="1"/>
      <c r="D22" s="1"/>
      <c r="E22" s="1"/>
      <c r="F22" s="1"/>
    </row>
    <row r="23" spans="1:6" ht="15" customHeight="1" x14ac:dyDescent="0.2">
      <c r="A23" s="25" t="s">
        <v>60</v>
      </c>
      <c r="B23" s="27">
        <v>0.15</v>
      </c>
      <c r="C23" s="1"/>
      <c r="D23" s="1"/>
      <c r="E23" s="1"/>
      <c r="F23" s="1"/>
    </row>
    <row r="24" spans="1:6" ht="25.5" customHeight="1" x14ac:dyDescent="0.2">
      <c r="A24" s="97" t="s">
        <v>61</v>
      </c>
      <c r="B24" s="98"/>
      <c r="C24" s="98"/>
      <c r="D24" s="98"/>
      <c r="E24" s="98"/>
      <c r="F24" s="98"/>
    </row>
    <row r="25" spans="1:6" ht="15" customHeight="1" x14ac:dyDescent="0.2">
      <c r="A25" s="1"/>
      <c r="B25" s="1"/>
      <c r="C25" s="1"/>
      <c r="D25" s="1"/>
      <c r="E25" s="1"/>
      <c r="F25" s="1"/>
    </row>
    <row r="26" spans="1:6" ht="15" customHeight="1" x14ac:dyDescent="0.2">
      <c r="A26" s="28" t="s">
        <v>62</v>
      </c>
      <c r="B26" s="1"/>
      <c r="C26" s="1"/>
      <c r="D26" s="1"/>
      <c r="E26" s="1"/>
      <c r="F26" s="1"/>
    </row>
    <row r="27" spans="1:6" ht="15" customHeight="1" x14ac:dyDescent="0.2">
      <c r="A27" s="12" t="s">
        <v>63</v>
      </c>
      <c r="B27" s="12" t="s">
        <v>50</v>
      </c>
      <c r="C27" s="12" t="s">
        <v>51</v>
      </c>
      <c r="D27" s="12" t="s">
        <v>52</v>
      </c>
      <c r="E27" s="21" t="s">
        <v>53</v>
      </c>
      <c r="F27" s="29" t="s">
        <v>64</v>
      </c>
    </row>
    <row r="28" spans="1:6" ht="15" customHeight="1" x14ac:dyDescent="0.2">
      <c r="A28" s="13" t="s">
        <v>65</v>
      </c>
      <c r="B28" s="30">
        <f>'Fund Economics'!B6</f>
        <v>565.83077975525509</v>
      </c>
      <c r="C28" s="30">
        <f>'Fund Economics'!C6</f>
        <v>904.36141629875499</v>
      </c>
      <c r="D28" s="30">
        <f>'Fund Economics'!D6</f>
        <v>126.2935256890875</v>
      </c>
      <c r="E28" s="31">
        <f>'Fund Economics'!E6</f>
        <v>915.40631375021439</v>
      </c>
      <c r="F28" s="32">
        <f>'Fund Economics'!F6</f>
        <v>598.06578634996549</v>
      </c>
    </row>
    <row r="29" spans="1:6" ht="15" customHeight="1" x14ac:dyDescent="0.2">
      <c r="A29" s="13" t="s">
        <v>66</v>
      </c>
      <c r="B29" s="30">
        <f>'Weapons Sleeve'!C30</f>
        <v>718.58861385392015</v>
      </c>
      <c r="C29" s="30">
        <f>'Weapons Sleeve'!F30</f>
        <v>1175.0968265375998</v>
      </c>
      <c r="D29" s="30">
        <f>'Weapons Sleeve'!I30</f>
        <v>315.34749163892002</v>
      </c>
      <c r="E29" s="31">
        <f>'Weapons Sleeve'!L30</f>
        <v>1205.2873474348796</v>
      </c>
      <c r="F29" s="32">
        <f>B29*'Defense Supercycle'!$B$17+C29*'Defense Supercycle'!$B$18+D29*'Defense Supercycle'!$B$19+E29*'Defense Supercycle'!$B$20</f>
        <v>802.24684198479997</v>
      </c>
    </row>
    <row r="30" spans="1:6" ht="15" customHeight="1" x14ac:dyDescent="0.2">
      <c r="A30" s="13" t="s">
        <v>67</v>
      </c>
      <c r="B30" s="30">
        <f>'Consumer Sleeve'!C34</f>
        <v>473.81213811600009</v>
      </c>
      <c r="C30" s="30">
        <f>'Consumer Sleeve'!F34</f>
        <v>863.98823790990002</v>
      </c>
      <c r="D30" s="30">
        <f>'Consumer Sleeve'!I34</f>
        <v>161.27891629866002</v>
      </c>
      <c r="E30" s="31">
        <f>'Consumer Sleeve'!L34</f>
        <v>94.854863653155007</v>
      </c>
      <c r="F30" s="32">
        <f>B30*'Defense Supercycle'!$B$17+C30*'Defense Supercycle'!$B$18+D30*'Defense Supercycle'!$B$19+E30*'Defense Supercycle'!$B$20</f>
        <v>432.49712254188529</v>
      </c>
    </row>
    <row r="31" spans="1:6" ht="15" customHeight="1" x14ac:dyDescent="0.2">
      <c r="A31" s="33" t="s">
        <v>68</v>
      </c>
      <c r="B31" s="34">
        <f>B28+B29+B30</f>
        <v>1758.2315317251753</v>
      </c>
      <c r="C31" s="34">
        <f>C28+C29+C30</f>
        <v>2943.4464807462546</v>
      </c>
      <c r="D31" s="34">
        <f>D28+D29+D30</f>
        <v>602.91993362666756</v>
      </c>
      <c r="E31" s="34">
        <f>E28+E29+E30</f>
        <v>2215.5485248382493</v>
      </c>
      <c r="F31" s="34">
        <f>F28+F29+F30</f>
        <v>1832.8097508766509</v>
      </c>
    </row>
    <row r="32" spans="1:6" ht="15" customHeight="1" x14ac:dyDescent="0.2">
      <c r="A32" s="13" t="s">
        <v>69</v>
      </c>
      <c r="B32" s="30">
        <f>-'Holdco Summary'!$B$9</f>
        <v>-750</v>
      </c>
      <c r="C32" s="30">
        <f>-'Holdco Summary'!$B$9</f>
        <v>-750</v>
      </c>
      <c r="D32" s="30">
        <f>-'Holdco Summary'!$B$9</f>
        <v>-750</v>
      </c>
      <c r="E32" s="31">
        <f>-'Holdco Summary'!$B$9</f>
        <v>-750</v>
      </c>
      <c r="F32" s="32">
        <f>-'Holdco Summary'!$B$9</f>
        <v>-750</v>
      </c>
    </row>
    <row r="33" spans="1:6" ht="15" customHeight="1" x14ac:dyDescent="0.2">
      <c r="A33" s="13" t="s">
        <v>70</v>
      </c>
      <c r="B33" s="30">
        <f>-'Holdco Summary'!$B$9*((1+Assumptions!$B$10)^5-1)</f>
        <v>-351.99605760000026</v>
      </c>
      <c r="C33" s="30">
        <f>-'Holdco Summary'!$B$9*((1+Assumptions!$B$10)^5-1)</f>
        <v>-351.99605760000026</v>
      </c>
      <c r="D33" s="30">
        <f>-'Holdco Summary'!$B$9*((1+Assumptions!$B$10)^5-1)</f>
        <v>-351.99605760000026</v>
      </c>
      <c r="E33" s="31">
        <f>-'Holdco Summary'!$B$9*((1+Assumptions!$B$10)^5-1)</f>
        <v>-351.99605760000026</v>
      </c>
      <c r="F33" s="32">
        <f>-'Holdco Summary'!$B$9*((1+Assumptions!$B$10)^5-1)</f>
        <v>-351.99605760000026</v>
      </c>
    </row>
    <row r="34" spans="1:6" ht="15" customHeight="1" x14ac:dyDescent="0.2">
      <c r="A34" s="13" t="s">
        <v>71</v>
      </c>
      <c r="B34" s="30">
        <f>MAX(0,B31+B32+B33)</f>
        <v>656.23547412517496</v>
      </c>
      <c r="C34" s="30">
        <f>MAX(0,C31+C32+C33)</f>
        <v>1841.4504231462543</v>
      </c>
      <c r="D34" s="30">
        <f>MAX(0,D31+D32+D33)</f>
        <v>0</v>
      </c>
      <c r="E34" s="31">
        <f>MAX(0,E31+E32+E33)</f>
        <v>1113.5524672382489</v>
      </c>
      <c r="F34" s="32">
        <f>MAX(0,F31+F32+F33)</f>
        <v>730.81369327665061</v>
      </c>
    </row>
    <row r="35" spans="1:6" ht="15" customHeight="1" x14ac:dyDescent="0.2">
      <c r="A35" s="13" t="s">
        <v>72</v>
      </c>
      <c r="B35" s="30">
        <f>-Assumptions!$B$9*B34</f>
        <v>-131.24709482503499</v>
      </c>
      <c r="C35" s="30">
        <f>-Assumptions!$B$9*C34</f>
        <v>-368.29008462925088</v>
      </c>
      <c r="D35" s="30">
        <f>-Assumptions!$B$9*D34</f>
        <v>0</v>
      </c>
      <c r="E35" s="31">
        <f>-Assumptions!$B$9*E34</f>
        <v>-222.71049344764981</v>
      </c>
      <c r="F35" s="32">
        <f>-Assumptions!$B$9*F34</f>
        <v>-146.16273865533012</v>
      </c>
    </row>
    <row r="36" spans="1:6" ht="15" customHeight="1" x14ac:dyDescent="0.2">
      <c r="A36" s="13" t="s">
        <v>73</v>
      </c>
      <c r="B36" s="30">
        <f>-'Holdco Summary'!$B$9*Assumptions!$B$8*5</f>
        <v>-75</v>
      </c>
      <c r="C36" s="30">
        <f>-'Holdco Summary'!$B$9*Assumptions!$B$8*5</f>
        <v>-75</v>
      </c>
      <c r="D36" s="30">
        <f>-'Holdco Summary'!$B$9*Assumptions!$B$8*5</f>
        <v>-75</v>
      </c>
      <c r="E36" s="31">
        <f>-'Holdco Summary'!$B$9*Assumptions!$B$8*5</f>
        <v>-75</v>
      </c>
      <c r="F36" s="32">
        <f>-'Holdco Summary'!$B$9*Assumptions!$B$8*5</f>
        <v>-75</v>
      </c>
    </row>
    <row r="37" spans="1:6" ht="15" customHeight="1" x14ac:dyDescent="0.2">
      <c r="A37" s="33" t="s">
        <v>74</v>
      </c>
      <c r="B37" s="34">
        <f>B31+B35+B36</f>
        <v>1551.9844369001403</v>
      </c>
      <c r="C37" s="34">
        <f>C31+C35+C36</f>
        <v>2500.1563961170036</v>
      </c>
      <c r="D37" s="34">
        <f>D31+D35+D36</f>
        <v>527.91993362666756</v>
      </c>
      <c r="E37" s="34">
        <f>E31+E35+E36</f>
        <v>1917.8380313905996</v>
      </c>
      <c r="F37" s="34">
        <f>F31+F35+F36</f>
        <v>1611.6470122213209</v>
      </c>
    </row>
    <row r="38" spans="1:6" ht="15" customHeight="1" x14ac:dyDescent="0.2">
      <c r="A38" s="33" t="s">
        <v>75</v>
      </c>
      <c r="B38" s="35">
        <f>B37/'Holdco Summary'!$B$9</f>
        <v>2.0693125825335206</v>
      </c>
      <c r="C38" s="35">
        <f>C37/'Holdco Summary'!$B$9</f>
        <v>3.333541861489338</v>
      </c>
      <c r="D38" s="35">
        <f>D37/'Holdco Summary'!$B$9</f>
        <v>0.70389324483555671</v>
      </c>
      <c r="E38" s="35">
        <f>E37/'Holdco Summary'!$B$9</f>
        <v>2.5571173751874663</v>
      </c>
      <c r="F38" s="35">
        <f>F37/'Holdco Summary'!$B$9</f>
        <v>2.1488626829617612</v>
      </c>
    </row>
    <row r="39" spans="1:6" ht="15" customHeight="1" x14ac:dyDescent="0.2">
      <c r="A39" s="13" t="s">
        <v>76</v>
      </c>
      <c r="B39" s="36">
        <f>B37/'Holdco Summary'!$B$9</f>
        <v>2.0693125825335206</v>
      </c>
      <c r="C39" s="36">
        <f>C37/'Holdco Summary'!$B$9</f>
        <v>3.333541861489338</v>
      </c>
      <c r="D39" s="36">
        <f>D37/'Holdco Summary'!$B$9</f>
        <v>0.70389324483555671</v>
      </c>
      <c r="E39" s="37">
        <f>E37/'Holdco Summary'!$B$9</f>
        <v>2.5571173751874663</v>
      </c>
      <c r="F39" s="38">
        <f>F37/'Holdco Summary'!$B$9</f>
        <v>2.1488626829617612</v>
      </c>
    </row>
    <row r="40" spans="1:6" ht="15" customHeight="1" x14ac:dyDescent="0.2">
      <c r="A40" s="33" t="s">
        <v>77</v>
      </c>
      <c r="B40" s="20">
        <f>(B37/'Holdco Summary'!$B$9)^(1/5)-1</f>
        <v>0.15655214844192189</v>
      </c>
      <c r="C40" s="20">
        <f>(C37/'Holdco Summary'!$B$9)^(1/5)-1</f>
        <v>0.27227555425844008</v>
      </c>
      <c r="D40" s="20">
        <f>(D37/'Holdco Summary'!$B$9)^(1/5)-1</f>
        <v>-6.7816611649247016E-2</v>
      </c>
      <c r="E40" s="20">
        <f>(E37/'Holdco Summary'!$B$9)^(1/5)-1</f>
        <v>0.20656335939837644</v>
      </c>
      <c r="F40" s="20">
        <f>(F37/'Holdco Summary'!$B$9)^(1/5)-1</f>
        <v>0.16531069622672967</v>
      </c>
    </row>
    <row r="41" spans="1:6" ht="15" customHeight="1" x14ac:dyDescent="0.2">
      <c r="A41" s="13" t="s">
        <v>78</v>
      </c>
      <c r="B41" s="36">
        <f>B38/(1+'Holdco Summary'!$B$21)^5</f>
        <v>1.3449111954506201</v>
      </c>
      <c r="C41" s="36">
        <f>C38/(1+'Holdco Summary'!$B$21)^5</f>
        <v>2.1665734833213319</v>
      </c>
      <c r="D41" s="36">
        <f>D38/(1+'Holdco Summary'!$B$21)^5</f>
        <v>0.45748231242201393</v>
      </c>
      <c r="E41" s="37">
        <f>E38/(1+'Holdco Summary'!$B$21)^5</f>
        <v>1.6619508405831758</v>
      </c>
      <c r="F41" s="38">
        <f>F38/(1+'Holdco Summary'!$B$21)^5</f>
        <v>1.396613302502119</v>
      </c>
    </row>
    <row r="42" spans="1:6" ht="15" customHeight="1" x14ac:dyDescent="0.2">
      <c r="A42" s="13" t="s">
        <v>79</v>
      </c>
      <c r="B42" s="36">
        <f>B38/(1+'Holdco Summary'!$B$22)^5</f>
        <v>1.1231399648587472</v>
      </c>
      <c r="C42" s="36">
        <f>C38/(1+'Holdco Summary'!$B$22)^5</f>
        <v>1.8093129673934358</v>
      </c>
      <c r="D42" s="36">
        <f>D38/(1+'Holdco Summary'!$B$22)^5</f>
        <v>0.38204505251739096</v>
      </c>
      <c r="E42" s="37">
        <f>E38/(1+'Holdco Summary'!$B$22)^5</f>
        <v>1.3879008628998273</v>
      </c>
      <c r="F42" s="38">
        <f>F38/(1+'Holdco Summary'!$B$22)^5</f>
        <v>1.166316572275929</v>
      </c>
    </row>
    <row r="43" spans="1:6" ht="15" customHeight="1" x14ac:dyDescent="0.2">
      <c r="A43" s="33" t="s">
        <v>80</v>
      </c>
      <c r="B43" s="35">
        <f>B38/(1+'Holdco Summary'!$B$23)^5</f>
        <v>1.0288140740956888</v>
      </c>
      <c r="C43" s="35">
        <f>C38/(1+'Holdco Summary'!$B$23)^5</f>
        <v>1.6573594596754531</v>
      </c>
      <c r="D43" s="35">
        <f>D38/(1+'Holdco Summary'!$B$23)^5</f>
        <v>0.34995934546586194</v>
      </c>
      <c r="E43" s="35">
        <f>E38/(1+'Holdco Summary'!$B$23)^5</f>
        <v>1.2713392683702367</v>
      </c>
      <c r="F43" s="35">
        <f>F38/(1+'Holdco Summary'!$B$23)^5</f>
        <v>1.0683645333192526</v>
      </c>
    </row>
    <row r="44" spans="1:6" ht="15" customHeight="1" x14ac:dyDescent="0.2">
      <c r="A44" s="13" t="s">
        <v>81</v>
      </c>
      <c r="B44" s="15">
        <f>(B38/(1+'Holdco Summary'!$B$23)^5)^(1/5)-1</f>
        <v>5.6975203842799527E-3</v>
      </c>
      <c r="C44" s="15">
        <f>(C38/(1+'Holdco Summary'!$B$23)^5)^(1/5)-1</f>
        <v>0.10632656892038272</v>
      </c>
      <c r="D44" s="15">
        <f>(D38/(1+'Holdco Summary'!$B$23)^5)^(1/5)-1</f>
        <v>-0.1894057492602147</v>
      </c>
      <c r="E44" s="39">
        <f>(E38/(1+'Holdco Summary'!$B$23)^5)^(1/5)-1</f>
        <v>4.918552991163172E-2</v>
      </c>
      <c r="F44" s="40">
        <f>(F38/(1+'Holdco Summary'!$B$23)^5)^(1/5)-1</f>
        <v>1.3313648892808505E-2</v>
      </c>
    </row>
    <row r="45" spans="1:6" ht="15" customHeight="1" x14ac:dyDescent="0.2">
      <c r="A45" s="1"/>
      <c r="B45" s="1"/>
      <c r="C45" s="1"/>
      <c r="D45" s="1"/>
      <c r="E45" s="1"/>
      <c r="F45" s="1"/>
    </row>
    <row r="46" spans="1:6" ht="15" customHeight="1" x14ac:dyDescent="0.2">
      <c r="A46" s="1"/>
      <c r="B46" s="1"/>
      <c r="C46" s="1"/>
      <c r="D46" s="1"/>
      <c r="E46" s="1"/>
      <c r="F46" s="1"/>
    </row>
    <row r="47" spans="1:6" ht="15" customHeight="1" x14ac:dyDescent="0.2">
      <c r="A47" s="28" t="s">
        <v>82</v>
      </c>
      <c r="B47" s="1"/>
      <c r="C47" s="1"/>
      <c r="D47" s="1"/>
      <c r="E47" s="1"/>
      <c r="F47" s="1"/>
    </row>
    <row r="48" spans="1:6" ht="15" customHeight="1" x14ac:dyDescent="0.2">
      <c r="A48" s="12" t="s">
        <v>63</v>
      </c>
      <c r="B48" s="12" t="s">
        <v>50</v>
      </c>
      <c r="C48" s="12" t="s">
        <v>51</v>
      </c>
      <c r="D48" s="12" t="s">
        <v>52</v>
      </c>
      <c r="E48" s="21" t="s">
        <v>53</v>
      </c>
      <c r="F48" s="29" t="s">
        <v>64</v>
      </c>
    </row>
    <row r="49" spans="1:6" ht="15" customHeight="1" x14ac:dyDescent="0.2">
      <c r="A49" s="13" t="s">
        <v>65</v>
      </c>
      <c r="B49" s="30">
        <f>'Fund Economics'!B22</f>
        <v>778.13077147638239</v>
      </c>
      <c r="C49" s="30">
        <f>'Fund Economics'!C22</f>
        <v>1497.0052965953114</v>
      </c>
      <c r="D49" s="30">
        <f>'Fund Economics'!D22</f>
        <v>100.03368819360789</v>
      </c>
      <c r="E49" s="31">
        <f>'Fund Economics'!E22</f>
        <v>1542.447524335817</v>
      </c>
      <c r="F49" s="32">
        <f>'Fund Economics'!F22</f>
        <v>900.93377277252853</v>
      </c>
    </row>
    <row r="50" spans="1:6" ht="15" customHeight="1" x14ac:dyDescent="0.2">
      <c r="A50" s="13" t="s">
        <v>66</v>
      </c>
      <c r="B50" s="30">
        <f>'Weapons Sleeve'!C42</f>
        <v>1023.6675024777956</v>
      </c>
      <c r="C50" s="30">
        <f>'Weapons Sleeve'!F42</f>
        <v>2061.9530450512261</v>
      </c>
      <c r="D50" s="30">
        <f>'Weapons Sleeve'!I42</f>
        <v>319.94522680940543</v>
      </c>
      <c r="E50" s="31">
        <f>'Weapons Sleeve'!L42</f>
        <v>2131.6656573486989</v>
      </c>
      <c r="F50" s="32">
        <f>B50*'Defense Supercycle'!$B$17+C50*'Defense Supercycle'!$B$18+D50*'Defense Supercycle'!$B$19+E50*'Defense Supercycle'!$B$20</f>
        <v>1256.779879089439</v>
      </c>
    </row>
    <row r="51" spans="1:6" ht="15" customHeight="1" x14ac:dyDescent="0.2">
      <c r="A51" s="13" t="s">
        <v>67</v>
      </c>
      <c r="B51" s="30">
        <f>'Consumer Sleeve'!C48</f>
        <v>662.01427357746763</v>
      </c>
      <c r="C51" s="30">
        <f>'Consumer Sleeve'!F48</f>
        <v>1544.5338179539895</v>
      </c>
      <c r="D51" s="30">
        <f>'Consumer Sleeve'!I48</f>
        <v>149.23724635868049</v>
      </c>
      <c r="E51" s="31">
        <f>'Consumer Sleeve'!L48</f>
        <v>70.182738673336857</v>
      </c>
      <c r="F51" s="32">
        <f>B51*'Defense Supercycle'!$B$17+C51*'Defense Supercycle'!$B$18+D51*'Defense Supercycle'!$B$19+E51*'Defense Supercycle'!$B$20</f>
        <v>647.18804677339506</v>
      </c>
    </row>
    <row r="52" spans="1:6" ht="15" customHeight="1" x14ac:dyDescent="0.2">
      <c r="A52" s="33" t="s">
        <v>68</v>
      </c>
      <c r="B52" s="34">
        <f>B49+B50+B51</f>
        <v>2463.8125475316456</v>
      </c>
      <c r="C52" s="34">
        <f>C49+C50+C51</f>
        <v>5103.492159600527</v>
      </c>
      <c r="D52" s="34">
        <f>D49+D50+D51</f>
        <v>569.21616136169382</v>
      </c>
      <c r="E52" s="34">
        <f>E49+E50+E51</f>
        <v>3744.2959203578525</v>
      </c>
      <c r="F52" s="34">
        <f>F49+F50+F51</f>
        <v>2804.9016986353622</v>
      </c>
    </row>
    <row r="53" spans="1:6" ht="15" customHeight="1" x14ac:dyDescent="0.2">
      <c r="A53" s="13" t="s">
        <v>69</v>
      </c>
      <c r="B53" s="30">
        <f>-'Holdco Summary'!$B$9</f>
        <v>-750</v>
      </c>
      <c r="C53" s="30">
        <f>-'Holdco Summary'!$B$9</f>
        <v>-750</v>
      </c>
      <c r="D53" s="30">
        <f>-'Holdco Summary'!$B$9</f>
        <v>-750</v>
      </c>
      <c r="E53" s="31">
        <f>-'Holdco Summary'!$B$9</f>
        <v>-750</v>
      </c>
      <c r="F53" s="32">
        <f>-'Holdco Summary'!$B$9</f>
        <v>-750</v>
      </c>
    </row>
    <row r="54" spans="1:6" ht="15" customHeight="1" x14ac:dyDescent="0.2">
      <c r="A54" s="13" t="s">
        <v>70</v>
      </c>
      <c r="B54" s="30">
        <f>-'Holdco Summary'!$B$9*((1+Assumptions!$B$10)^7-1)</f>
        <v>-535.36820158464047</v>
      </c>
      <c r="C54" s="30">
        <f>-'Holdco Summary'!$B$9*((1+Assumptions!$B$10)^7-1)</f>
        <v>-535.36820158464047</v>
      </c>
      <c r="D54" s="30">
        <f>-'Holdco Summary'!$B$9*((1+Assumptions!$B$10)^7-1)</f>
        <v>-535.36820158464047</v>
      </c>
      <c r="E54" s="31">
        <f>-'Holdco Summary'!$B$9*((1+Assumptions!$B$10)^7-1)</f>
        <v>-535.36820158464047</v>
      </c>
      <c r="F54" s="32">
        <f>-'Holdco Summary'!$B$9*((1+Assumptions!$B$10)^7-1)</f>
        <v>-535.36820158464047</v>
      </c>
    </row>
    <row r="55" spans="1:6" ht="15" customHeight="1" x14ac:dyDescent="0.2">
      <c r="A55" s="13" t="s">
        <v>71</v>
      </c>
      <c r="B55" s="30">
        <f>MAX(0,B52+B53+B54)</f>
        <v>1178.4443459470051</v>
      </c>
      <c r="C55" s="30">
        <f>MAX(0,C52+C53+C54)</f>
        <v>3818.1239580158863</v>
      </c>
      <c r="D55" s="30">
        <f>MAX(0,D52+D53+D54)</f>
        <v>0</v>
      </c>
      <c r="E55" s="31">
        <f>MAX(0,E52+E53+E54)</f>
        <v>2458.9277187732123</v>
      </c>
      <c r="F55" s="32">
        <f>MAX(0,F52+F53+F54)</f>
        <v>1519.5334970507217</v>
      </c>
    </row>
    <row r="56" spans="1:6" ht="15" customHeight="1" x14ac:dyDescent="0.2">
      <c r="A56" s="13" t="s">
        <v>72</v>
      </c>
      <c r="B56" s="30">
        <f>-Assumptions!$B$9*B55</f>
        <v>-235.68886918940103</v>
      </c>
      <c r="C56" s="30">
        <f>-Assumptions!$B$9*C55</f>
        <v>-763.6247916031773</v>
      </c>
      <c r="D56" s="30">
        <f>-Assumptions!$B$9*D55</f>
        <v>0</v>
      </c>
      <c r="E56" s="31">
        <f>-Assumptions!$B$9*E55</f>
        <v>-491.7855437546425</v>
      </c>
      <c r="F56" s="32">
        <f>-Assumptions!$B$9*F55</f>
        <v>-303.90669941014437</v>
      </c>
    </row>
    <row r="57" spans="1:6" ht="15" customHeight="1" x14ac:dyDescent="0.2">
      <c r="A57" s="13" t="s">
        <v>73</v>
      </c>
      <c r="B57" s="30">
        <f>-'Holdco Summary'!$B$9*Assumptions!$B$8*7</f>
        <v>-105</v>
      </c>
      <c r="C57" s="30">
        <f>-'Holdco Summary'!$B$9*Assumptions!$B$8*7</f>
        <v>-105</v>
      </c>
      <c r="D57" s="30">
        <f>-'Holdco Summary'!$B$9*Assumptions!$B$8*7</f>
        <v>-105</v>
      </c>
      <c r="E57" s="31">
        <f>-'Holdco Summary'!$B$9*Assumptions!$B$8*7</f>
        <v>-105</v>
      </c>
      <c r="F57" s="32">
        <f>-'Holdco Summary'!$B$9*Assumptions!$B$8*7</f>
        <v>-105</v>
      </c>
    </row>
    <row r="58" spans="1:6" ht="15" customHeight="1" x14ac:dyDescent="0.2">
      <c r="A58" s="33" t="s">
        <v>74</v>
      </c>
      <c r="B58" s="34">
        <f>B52+B56+B57</f>
        <v>2123.1236783422446</v>
      </c>
      <c r="C58" s="34">
        <f>C52+C56+C57</f>
        <v>4234.8673679973499</v>
      </c>
      <c r="D58" s="34">
        <f>D52+D56+D57</f>
        <v>464.21616136169382</v>
      </c>
      <c r="E58" s="34">
        <f>E52+E56+E57</f>
        <v>3147.5103766032098</v>
      </c>
      <c r="F58" s="34">
        <f>F52+F56+F57</f>
        <v>2395.9949992252177</v>
      </c>
    </row>
    <row r="59" spans="1:6" ht="15" customHeight="1" x14ac:dyDescent="0.2">
      <c r="A59" s="33" t="s">
        <v>75</v>
      </c>
      <c r="B59" s="35">
        <f>B58/'Holdco Summary'!$B$9</f>
        <v>2.8308315711229928</v>
      </c>
      <c r="C59" s="35">
        <f>C58/'Holdco Summary'!$B$9</f>
        <v>5.6464898239964665</v>
      </c>
      <c r="D59" s="35">
        <f>D58/'Holdco Summary'!$B$9</f>
        <v>0.61895488181559177</v>
      </c>
      <c r="E59" s="35">
        <f>E58/'Holdco Summary'!$B$9</f>
        <v>4.196680502137613</v>
      </c>
      <c r="F59" s="35">
        <f>F58/'Holdco Summary'!$B$9</f>
        <v>3.1946599989669568</v>
      </c>
    </row>
    <row r="60" spans="1:6" ht="15" customHeight="1" x14ac:dyDescent="0.2">
      <c r="A60" s="13" t="s">
        <v>76</v>
      </c>
      <c r="B60" s="36">
        <f>B58/'Holdco Summary'!$B$9</f>
        <v>2.8308315711229928</v>
      </c>
      <c r="C60" s="36">
        <f>C58/'Holdco Summary'!$B$9</f>
        <v>5.6464898239964665</v>
      </c>
      <c r="D60" s="36">
        <f>D58/'Holdco Summary'!$B$9</f>
        <v>0.61895488181559177</v>
      </c>
      <c r="E60" s="37">
        <f>E58/'Holdco Summary'!$B$9</f>
        <v>4.196680502137613</v>
      </c>
      <c r="F60" s="38">
        <f>F58/'Holdco Summary'!$B$9</f>
        <v>3.1946599989669568</v>
      </c>
    </row>
    <row r="61" spans="1:6" ht="15" customHeight="1" x14ac:dyDescent="0.2">
      <c r="A61" s="33" t="s">
        <v>77</v>
      </c>
      <c r="B61" s="20">
        <f>(B58/'Holdco Summary'!$B$9)^(1/7)-1</f>
        <v>0.16027022431241744</v>
      </c>
      <c r="C61" s="20">
        <f>(C58/'Holdco Summary'!$B$9)^(1/7)-1</f>
        <v>0.28055116530194146</v>
      </c>
      <c r="D61" s="20">
        <f>(D58/'Holdco Summary'!$B$9)^(1/7)-1</f>
        <v>-6.6236273778926824E-2</v>
      </c>
      <c r="E61" s="20">
        <f>(E58/'Holdco Summary'!$B$9)^(1/7)-1</f>
        <v>0.22740124131389639</v>
      </c>
      <c r="F61" s="20">
        <f>(F58/'Holdco Summary'!$B$9)^(1/7)-1</f>
        <v>0.18048551750640707</v>
      </c>
    </row>
    <row r="62" spans="1:6" ht="15" customHeight="1" x14ac:dyDescent="0.2">
      <c r="A62" s="13" t="s">
        <v>78</v>
      </c>
      <c r="B62" s="36">
        <f>B59/(1+'Holdco Summary'!$B$21)^7</f>
        <v>1.5485618107878878</v>
      </c>
      <c r="C62" s="36">
        <f>C59/(1+'Holdco Summary'!$B$21)^7</f>
        <v>3.0888232968853826</v>
      </c>
      <c r="D62" s="36">
        <f>D59/(1+'Holdco Summary'!$B$21)^7</f>
        <v>0.33858951636607693</v>
      </c>
      <c r="E62" s="37">
        <f>E59/(1+'Holdco Summary'!$B$21)^7</f>
        <v>2.2957279493355229</v>
      </c>
      <c r="F62" s="38">
        <f>F59/(1+'Holdco Summary'!$B$21)^7</f>
        <v>1.7475884200660421</v>
      </c>
    </row>
    <row r="63" spans="1:6" ht="15" customHeight="1" x14ac:dyDescent="0.2">
      <c r="A63" s="13" t="s">
        <v>79</v>
      </c>
      <c r="B63" s="36">
        <f>B59/(1+'Holdco Summary'!$B$22)^7</f>
        <v>1.2032750899584419</v>
      </c>
      <c r="C63" s="36">
        <f>C59/(1+'Holdco Summary'!$B$22)^7</f>
        <v>2.4001005994939781</v>
      </c>
      <c r="D63" s="36">
        <f>D59/(1+'Holdco Summary'!$B$22)^7</f>
        <v>0.26309336051435267</v>
      </c>
      <c r="E63" s="37">
        <f>E59/(1+'Holdco Summary'!$B$22)^7</f>
        <v>1.7838437158354963</v>
      </c>
      <c r="F63" s="38">
        <f>F59/(1+'Holdco Summary'!$B$22)^7</f>
        <v>1.357924235710944</v>
      </c>
    </row>
    <row r="64" spans="1:6" ht="15" customHeight="1" x14ac:dyDescent="0.2">
      <c r="A64" s="33" t="s">
        <v>80</v>
      </c>
      <c r="B64" s="35">
        <f>B59/(1+'Holdco Summary'!$B$23)^7</f>
        <v>1.0642144413688157</v>
      </c>
      <c r="C64" s="35">
        <f>C59/(1+'Holdco Summary'!$B$23)^7</f>
        <v>2.1227246703890961</v>
      </c>
      <c r="D64" s="35">
        <f>D59/(1+'Holdco Summary'!$B$23)^7</f>
        <v>0.23268806611570123</v>
      </c>
      <c r="E64" s="35">
        <f>E59/(1+'Holdco Summary'!$B$23)^7</f>
        <v>1.5776876454765725</v>
      </c>
      <c r="F64" s="35">
        <f>F59/(1+'Holdco Summary'!$B$23)^7</f>
        <v>1.200991023572348</v>
      </c>
    </row>
    <row r="65" spans="1:6" ht="15" customHeight="1" x14ac:dyDescent="0.2">
      <c r="A65" s="13" t="s">
        <v>81</v>
      </c>
      <c r="B65" s="15">
        <f>(B59/(1+'Holdco Summary'!$B$23)^7)^(1/7)-1</f>
        <v>8.9306298368847514E-3</v>
      </c>
      <c r="C65" s="15">
        <f>(C59/(1+'Holdco Summary'!$B$23)^7)^(1/7)-1</f>
        <v>0.11352275243647103</v>
      </c>
      <c r="D65" s="15">
        <f>(D59/(1+'Holdco Summary'!$B$23)^7)^(1/7)-1</f>
        <v>-0.18803154241645803</v>
      </c>
      <c r="E65" s="39">
        <f>(E59/(1+'Holdco Summary'!$B$23)^7)^(1/7)-1</f>
        <v>6.7305427229475079E-2</v>
      </c>
      <c r="F65" s="40">
        <f>(F59/(1+'Holdco Summary'!$B$23)^7)^(1/7)-1</f>
        <v>2.6509145657745314E-2</v>
      </c>
    </row>
    <row r="66" spans="1:6" ht="15" customHeight="1" x14ac:dyDescent="0.2">
      <c r="A66" s="1"/>
      <c r="B66" s="1"/>
      <c r="C66" s="1"/>
      <c r="D66" s="1"/>
      <c r="E66" s="1"/>
      <c r="F66" s="1"/>
    </row>
    <row r="67" spans="1:6" ht="15" customHeight="1" x14ac:dyDescent="0.2">
      <c r="A67" s="1"/>
      <c r="B67" s="1"/>
      <c r="C67" s="1"/>
      <c r="D67" s="1"/>
      <c r="E67" s="1"/>
      <c r="F67" s="1"/>
    </row>
    <row r="68" spans="1:6" ht="15" customHeight="1" x14ac:dyDescent="0.2">
      <c r="A68" s="28" t="s">
        <v>83</v>
      </c>
      <c r="B68" s="1"/>
      <c r="C68" s="1"/>
      <c r="D68" s="1"/>
      <c r="E68" s="1"/>
      <c r="F68" s="1"/>
    </row>
    <row r="69" spans="1:6" ht="15" customHeight="1" x14ac:dyDescent="0.2">
      <c r="A69" s="12" t="s">
        <v>63</v>
      </c>
      <c r="B69" s="12" t="s">
        <v>50</v>
      </c>
      <c r="C69" s="12" t="s">
        <v>51</v>
      </c>
      <c r="D69" s="12" t="s">
        <v>52</v>
      </c>
      <c r="E69" s="21" t="s">
        <v>53</v>
      </c>
      <c r="F69" s="29" t="s">
        <v>64</v>
      </c>
    </row>
    <row r="70" spans="1:6" ht="15" customHeight="1" x14ac:dyDescent="0.2">
      <c r="A70" s="13" t="s">
        <v>65</v>
      </c>
      <c r="B70" s="30">
        <f>'Fund Economics'!B38</f>
        <v>1261.4559359608952</v>
      </c>
      <c r="C70" s="30">
        <f>'Fund Economics'!C38</f>
        <v>3197.6971889939018</v>
      </c>
      <c r="D70" s="30">
        <f>'Fund Economics'!D38</f>
        <v>73.963353941303765</v>
      </c>
      <c r="E70" s="31">
        <f>'Fund Economics'!E38</f>
        <v>3418.101456119397</v>
      </c>
      <c r="F70" s="32">
        <f>'Fund Economics'!F38</f>
        <v>1734.7024981873537</v>
      </c>
    </row>
    <row r="71" spans="1:6" ht="15" customHeight="1" x14ac:dyDescent="0.2">
      <c r="A71" s="13" t="s">
        <v>66</v>
      </c>
      <c r="B71" s="30">
        <f>'Weapons Sleeve'!C54</f>
        <v>1760.206716810555</v>
      </c>
      <c r="C71" s="30">
        <f>'Weapons Sleeve'!F54</f>
        <v>4894.7407776581913</v>
      </c>
      <c r="D71" s="30">
        <f>'Weapons Sleeve'!I54</f>
        <v>327.56643123907128</v>
      </c>
      <c r="E71" s="31">
        <f>'Weapons Sleeve'!L54</f>
        <v>5117.815688258549</v>
      </c>
      <c r="F71" s="32">
        <f>B71*'Defense Supercycle'!$B$17+C71*'Defense Supercycle'!$B$18+D71*'Defense Supercycle'!$B$19+E71*'Defense Supercycle'!$B$20</f>
        <v>2604.2268175829849</v>
      </c>
    </row>
    <row r="72" spans="1:6" ht="15" customHeight="1" x14ac:dyDescent="0.2">
      <c r="A72" s="13" t="s">
        <v>67</v>
      </c>
      <c r="B72" s="30">
        <f>'Consumer Sleeve'!C62</f>
        <v>1099.3178879207289</v>
      </c>
      <c r="C72" s="30">
        <f>'Consumer Sleeve'!F62</f>
        <v>3729.6038267270856</v>
      </c>
      <c r="D72" s="30">
        <f>'Consumer Sleeve'!I62</f>
        <v>136.43659792245126</v>
      </c>
      <c r="E72" s="31">
        <f>'Consumer Sleeve'!L62</f>
        <v>45.225505020400718</v>
      </c>
      <c r="F72" s="32">
        <f>B72*'Defense Supercycle'!$B$17+C72*'Defense Supercycle'!$B$18+D72*'Defense Supercycle'!$B$19+E72*'Defense Supercycle'!$B$20</f>
        <v>1274.6849602472953</v>
      </c>
    </row>
    <row r="73" spans="1:6" ht="15" customHeight="1" x14ac:dyDescent="0.2">
      <c r="A73" s="33" t="s">
        <v>68</v>
      </c>
      <c r="B73" s="34">
        <f>B70+B71+B72</f>
        <v>4120.9805406921787</v>
      </c>
      <c r="C73" s="34">
        <f>C70+C71+C72</f>
        <v>11822.041793379178</v>
      </c>
      <c r="D73" s="34">
        <f>D70+D71+D72</f>
        <v>537.96638310282628</v>
      </c>
      <c r="E73" s="34">
        <f>E70+E71+E72</f>
        <v>8581.1426493983454</v>
      </c>
      <c r="F73" s="34">
        <f>F70+F71+F72</f>
        <v>5613.6142760176335</v>
      </c>
    </row>
    <row r="74" spans="1:6" ht="15" customHeight="1" x14ac:dyDescent="0.2">
      <c r="A74" s="13" t="s">
        <v>69</v>
      </c>
      <c r="B74" s="30">
        <f>-'Holdco Summary'!$B$9</f>
        <v>-750</v>
      </c>
      <c r="C74" s="30">
        <f>-'Holdco Summary'!$B$9</f>
        <v>-750</v>
      </c>
      <c r="D74" s="30">
        <f>-'Holdco Summary'!$B$9</f>
        <v>-750</v>
      </c>
      <c r="E74" s="31">
        <f>-'Holdco Summary'!$B$9</f>
        <v>-750</v>
      </c>
      <c r="F74" s="32">
        <f>-'Holdco Summary'!$B$9</f>
        <v>-750</v>
      </c>
    </row>
    <row r="75" spans="1:6" ht="15" customHeight="1" x14ac:dyDescent="0.2">
      <c r="A75" s="13" t="s">
        <v>70</v>
      </c>
      <c r="B75" s="30">
        <f>-'Holdco Summary'!$B$9*((1+Assumptions!$B$10)^10-1)</f>
        <v>-869.19374795459078</v>
      </c>
      <c r="C75" s="30">
        <f>-'Holdco Summary'!$B$9*((1+Assumptions!$B$10)^10-1)</f>
        <v>-869.19374795459078</v>
      </c>
      <c r="D75" s="30">
        <f>-'Holdco Summary'!$B$9*((1+Assumptions!$B$10)^10-1)</f>
        <v>-869.19374795459078</v>
      </c>
      <c r="E75" s="31">
        <f>-'Holdco Summary'!$B$9*((1+Assumptions!$B$10)^10-1)</f>
        <v>-869.19374795459078</v>
      </c>
      <c r="F75" s="32">
        <f>-'Holdco Summary'!$B$9*((1+Assumptions!$B$10)^10-1)</f>
        <v>-869.19374795459078</v>
      </c>
    </row>
    <row r="76" spans="1:6" ht="15" customHeight="1" x14ac:dyDescent="0.2">
      <c r="A76" s="13" t="s">
        <v>71</v>
      </c>
      <c r="B76" s="30">
        <f>MAX(0,B73+B74+B75)</f>
        <v>2501.7867927375878</v>
      </c>
      <c r="C76" s="30">
        <f>MAX(0,C73+C74+C75)</f>
        <v>10202.848045424587</v>
      </c>
      <c r="D76" s="30">
        <f>MAX(0,D73+D74+D75)</f>
        <v>0</v>
      </c>
      <c r="E76" s="31">
        <f>MAX(0,E73+E74+E75)</f>
        <v>6961.9489014437549</v>
      </c>
      <c r="F76" s="32">
        <f>MAX(0,F73+F74+F75)</f>
        <v>3994.4205280630426</v>
      </c>
    </row>
    <row r="77" spans="1:6" ht="15" customHeight="1" x14ac:dyDescent="0.2">
      <c r="A77" s="13" t="s">
        <v>72</v>
      </c>
      <c r="B77" s="30">
        <f>-Assumptions!$B$9*B76</f>
        <v>-500.35735854751761</v>
      </c>
      <c r="C77" s="30">
        <f>-Assumptions!$B$9*C76</f>
        <v>-2040.5696090849176</v>
      </c>
      <c r="D77" s="30">
        <f>-Assumptions!$B$9*D76</f>
        <v>0</v>
      </c>
      <c r="E77" s="31">
        <f>-Assumptions!$B$9*E76</f>
        <v>-1392.3897802887511</v>
      </c>
      <c r="F77" s="32">
        <f>-Assumptions!$B$9*F76</f>
        <v>-798.88410561260855</v>
      </c>
    </row>
    <row r="78" spans="1:6" ht="15" customHeight="1" x14ac:dyDescent="0.2">
      <c r="A78" s="13" t="s">
        <v>73</v>
      </c>
      <c r="B78" s="30">
        <f>-'Holdco Summary'!$B$9*Assumptions!$B$8*10</f>
        <v>-150</v>
      </c>
      <c r="C78" s="30">
        <f>-'Holdco Summary'!$B$9*Assumptions!$B$8*10</f>
        <v>-150</v>
      </c>
      <c r="D78" s="30">
        <f>-'Holdco Summary'!$B$9*Assumptions!$B$8*10</f>
        <v>-150</v>
      </c>
      <c r="E78" s="31">
        <f>-'Holdco Summary'!$B$9*Assumptions!$B$8*10</f>
        <v>-150</v>
      </c>
      <c r="F78" s="32">
        <f>-'Holdco Summary'!$B$9*Assumptions!$B$8*10</f>
        <v>-150</v>
      </c>
    </row>
    <row r="79" spans="1:6" ht="15" customHeight="1" x14ac:dyDescent="0.2">
      <c r="A79" s="33" t="s">
        <v>74</v>
      </c>
      <c r="B79" s="34">
        <f>B73+B77+B78</f>
        <v>3470.6231821446609</v>
      </c>
      <c r="C79" s="34">
        <f>C73+C77+C78</f>
        <v>9631.4721842942599</v>
      </c>
      <c r="D79" s="34">
        <f>D73+D77+D78</f>
        <v>387.96638310282628</v>
      </c>
      <c r="E79" s="34">
        <f>E73+E77+E78</f>
        <v>7038.752869109594</v>
      </c>
      <c r="F79" s="34">
        <f>F73+F77+F78</f>
        <v>4664.7301704050251</v>
      </c>
    </row>
    <row r="80" spans="1:6" ht="15" customHeight="1" x14ac:dyDescent="0.2">
      <c r="A80" s="33" t="s">
        <v>75</v>
      </c>
      <c r="B80" s="35">
        <f>B79/'Holdco Summary'!$B$9</f>
        <v>4.6274975761928809</v>
      </c>
      <c r="C80" s="35">
        <f>C79/'Holdco Summary'!$B$9</f>
        <v>12.841962912392347</v>
      </c>
      <c r="D80" s="35">
        <f>D79/'Holdco Summary'!$B$9</f>
        <v>0.51728851080376836</v>
      </c>
      <c r="E80" s="35">
        <f>E79/'Holdco Summary'!$B$9</f>
        <v>9.3850038254794583</v>
      </c>
      <c r="F80" s="35">
        <f>F79/'Holdco Summary'!$B$9</f>
        <v>6.2196402272066997</v>
      </c>
    </row>
    <row r="81" spans="1:6" ht="15" customHeight="1" x14ac:dyDescent="0.2">
      <c r="A81" s="13" t="s">
        <v>76</v>
      </c>
      <c r="B81" s="36">
        <f>B79/'Holdco Summary'!$B$9</f>
        <v>4.6274975761928809</v>
      </c>
      <c r="C81" s="36">
        <f>C79/'Holdco Summary'!$B$9</f>
        <v>12.841962912392347</v>
      </c>
      <c r="D81" s="36">
        <f>D79/'Holdco Summary'!$B$9</f>
        <v>0.51728851080376836</v>
      </c>
      <c r="E81" s="37">
        <f>E79/'Holdco Summary'!$B$9</f>
        <v>9.3850038254794583</v>
      </c>
      <c r="F81" s="38">
        <f>F79/'Holdco Summary'!$B$9</f>
        <v>6.2196402272066997</v>
      </c>
    </row>
    <row r="82" spans="1:6" ht="15" customHeight="1" x14ac:dyDescent="0.2">
      <c r="A82" s="33" t="s">
        <v>77</v>
      </c>
      <c r="B82" s="20">
        <f>(B79/'Holdco Summary'!$B$9)^(1/10)-1</f>
        <v>0.16555996031047693</v>
      </c>
      <c r="C82" s="20">
        <f>(C79/'Holdco Summary'!$B$9)^(1/10)-1</f>
        <v>0.29081243684277247</v>
      </c>
      <c r="D82" s="20">
        <f>(D79/'Holdco Summary'!$B$9)^(1/10)-1</f>
        <v>-6.3789983634980341E-2</v>
      </c>
      <c r="E82" s="20">
        <f>(E79/'Holdco Summary'!$B$9)^(1/10)-1</f>
        <v>0.2509600640646108</v>
      </c>
      <c r="F82" s="20">
        <f>(F79/'Holdco Summary'!$B$9)^(1/10)-1</f>
        <v>0.20053970083146311</v>
      </c>
    </row>
    <row r="83" spans="1:6" ht="15" customHeight="1" x14ac:dyDescent="0.2">
      <c r="A83" s="13" t="s">
        <v>78</v>
      </c>
      <c r="B83" s="36">
        <f>B80/(1+'Holdco Summary'!$B$21)^10</f>
        <v>1.9547049850674796</v>
      </c>
      <c r="C83" s="36">
        <f>C80/(1+'Holdco Summary'!$B$21)^10</f>
        <v>5.4245839159481628</v>
      </c>
      <c r="D83" s="36">
        <f>D80/(1+'Holdco Summary'!$B$21)^10</f>
        <v>0.21850825724648909</v>
      </c>
      <c r="E83" s="37">
        <f>E80/(1+'Holdco Summary'!$B$21)^10</f>
        <v>3.9643270386399054</v>
      </c>
      <c r="F83" s="38">
        <f>F80/(1+'Holdco Summary'!$B$21)^10</f>
        <v>2.6272432469752678</v>
      </c>
    </row>
    <row r="84" spans="1:6" ht="15" customHeight="1" x14ac:dyDescent="0.2">
      <c r="A84" s="13" t="s">
        <v>79</v>
      </c>
      <c r="B84" s="36">
        <f>B80/(1+'Holdco Summary'!$B$22)^10</f>
        <v>1.3632068669283104</v>
      </c>
      <c r="C84" s="36">
        <f>C80/(1+'Holdco Summary'!$B$22)^10</f>
        <v>3.7830926410586296</v>
      </c>
      <c r="D84" s="36">
        <f>D80/(1+'Holdco Summary'!$B$22)^10</f>
        <v>0.15238716790230555</v>
      </c>
      <c r="E84" s="37">
        <f>E80/(1+'Holdco Summary'!$B$22)^10</f>
        <v>2.7647127741053623</v>
      </c>
      <c r="F84" s="38">
        <f>F80/(1+'Holdco Summary'!$B$22)^10</f>
        <v>1.8322335404716217</v>
      </c>
    </row>
    <row r="85" spans="1:6" ht="15" customHeight="1" x14ac:dyDescent="0.2">
      <c r="A85" s="33" t="s">
        <v>80</v>
      </c>
      <c r="B85" s="35">
        <f>B80/(1+'Holdco Summary'!$B$23)^10</f>
        <v>1.1438466284508839</v>
      </c>
      <c r="C85" s="35">
        <f>C80/(1+'Holdco Summary'!$B$23)^10</f>
        <v>3.1743368285276028</v>
      </c>
      <c r="D85" s="35">
        <f>D80/(1+'Holdco Summary'!$B$23)^10</f>
        <v>0.12786580852324711</v>
      </c>
      <c r="E85" s="35">
        <f>E80/(1+'Holdco Summary'!$B$23)^10</f>
        <v>2.3198294125537267</v>
      </c>
      <c r="F85" s="35">
        <f>F80/(1+'Holdco Summary'!$B$23)^10</f>
        <v>1.5373999417458231</v>
      </c>
    </row>
    <row r="86" spans="1:6" ht="15" customHeight="1" x14ac:dyDescent="0.2">
      <c r="A86" s="13" t="s">
        <v>81</v>
      </c>
      <c r="B86" s="15">
        <f>(B80/(1+'Holdco Summary'!$B$23)^10)^(1/10)-1</f>
        <v>1.3530400269980092E-2</v>
      </c>
      <c r="C86" s="15">
        <f>(C80/(1+'Holdco Summary'!$B$23)^10)^(1/10)-1</f>
        <v>0.12244559725458481</v>
      </c>
      <c r="D86" s="15">
        <f>(D80/(1+'Holdco Summary'!$B$23)^10)^(1/10)-1</f>
        <v>-0.18590433359563496</v>
      </c>
      <c r="E86" s="39">
        <f>(E80/(1+'Holdco Summary'!$B$23)^10)^(1/10)-1</f>
        <v>8.7791360056183487E-2</v>
      </c>
      <c r="F86" s="40">
        <f>(F80/(1+'Holdco Summary'!$B$23)^10)^(1/10)-1</f>
        <v>4.3947565940402722E-2</v>
      </c>
    </row>
    <row r="87" spans="1:6" ht="15" customHeight="1" x14ac:dyDescent="0.2">
      <c r="A87" s="1"/>
      <c r="B87" s="1"/>
      <c r="C87" s="1"/>
      <c r="D87" s="1"/>
      <c r="E87" s="1"/>
      <c r="F87" s="1"/>
    </row>
    <row r="88" spans="1:6" ht="15" customHeight="1" x14ac:dyDescent="0.2">
      <c r="A88" s="1"/>
      <c r="B88" s="1"/>
      <c r="C88" s="1"/>
      <c r="D88" s="1"/>
      <c r="E88" s="1"/>
      <c r="F88" s="1"/>
    </row>
    <row r="89" spans="1:6" ht="15" customHeight="1" x14ac:dyDescent="0.2">
      <c r="A89" s="11" t="s">
        <v>84</v>
      </c>
      <c r="B89" s="1"/>
      <c r="C89" s="1"/>
      <c r="D89" s="1"/>
      <c r="E89" s="1"/>
      <c r="F89" s="1"/>
    </row>
    <row r="90" spans="1:6" ht="27.75" customHeight="1" x14ac:dyDescent="0.2">
      <c r="A90" s="100" t="s">
        <v>85</v>
      </c>
      <c r="B90" s="98"/>
      <c r="C90" s="98"/>
      <c r="D90" s="98"/>
      <c r="E90" s="98"/>
      <c r="F90" s="98"/>
    </row>
    <row r="91" spans="1:6" ht="27.75" customHeight="1" x14ac:dyDescent="0.2">
      <c r="A91" s="100" t="s">
        <v>86</v>
      </c>
      <c r="B91" s="98"/>
      <c r="C91" s="98"/>
      <c r="D91" s="98"/>
      <c r="E91" s="98"/>
      <c r="F91" s="98"/>
    </row>
    <row r="92" spans="1:6" ht="27.75" customHeight="1" x14ac:dyDescent="0.2">
      <c r="A92" s="100" t="s">
        <v>87</v>
      </c>
      <c r="B92" s="98"/>
      <c r="C92" s="98"/>
      <c r="D92" s="98"/>
      <c r="E92" s="98"/>
      <c r="F92" s="98"/>
    </row>
    <row r="93" spans="1:6" ht="27.75" customHeight="1" x14ac:dyDescent="0.2">
      <c r="A93" s="100" t="s">
        <v>88</v>
      </c>
      <c r="B93" s="98"/>
      <c r="C93" s="98"/>
      <c r="D93" s="98"/>
      <c r="E93" s="98"/>
      <c r="F93" s="98"/>
    </row>
  </sheetData>
  <mergeCells count="9">
    <mergeCell ref="A24:F24"/>
    <mergeCell ref="A11:F11"/>
    <mergeCell ref="A10:F10"/>
    <mergeCell ref="A93:F93"/>
    <mergeCell ref="A90:F90"/>
    <mergeCell ref="A12:F12"/>
    <mergeCell ref="A18:F18"/>
    <mergeCell ref="A92:F92"/>
    <mergeCell ref="A91:F91"/>
  </mergeCells>
  <printOptions horizontalCentered="1"/>
  <pageMargins left="0.4" right="0.4" top="1" bottom="1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08080"/>
    <pageSetUpPr fitToPage="1"/>
  </sheetPr>
  <dimension ref="A1:D56"/>
  <sheetViews>
    <sheetView showGridLines="0" zoomScaleNormal="100" workbookViewId="0"/>
  </sheetViews>
  <sheetFormatPr baseColWidth="10" defaultColWidth="8.6640625" defaultRowHeight="15" x14ac:dyDescent="0.2"/>
  <cols>
    <col min="1" max="1" width="32" customWidth="1"/>
    <col min="2" max="2" width="26" customWidth="1"/>
    <col min="3" max="3" width="24" customWidth="1"/>
    <col min="4" max="4" width="62" customWidth="1"/>
  </cols>
  <sheetData>
    <row r="1" spans="1:4" ht="18" customHeight="1" x14ac:dyDescent="0.2">
      <c r="A1" s="9" t="s">
        <v>89</v>
      </c>
      <c r="B1" s="1"/>
      <c r="C1" s="1"/>
      <c r="D1" s="1"/>
    </row>
    <row r="2" spans="1:4" ht="15" customHeight="1" x14ac:dyDescent="0.2">
      <c r="A2" s="10" t="s">
        <v>90</v>
      </c>
      <c r="B2" s="1"/>
      <c r="C2" s="1"/>
      <c r="D2" s="1"/>
    </row>
    <row r="3" spans="1:4" ht="15" customHeight="1" x14ac:dyDescent="0.2">
      <c r="A3" s="1"/>
      <c r="B3" s="1"/>
      <c r="C3" s="1"/>
      <c r="D3" s="1"/>
    </row>
    <row r="4" spans="1:4" ht="15" customHeight="1" x14ac:dyDescent="0.2">
      <c r="A4" s="11" t="s">
        <v>91</v>
      </c>
      <c r="B4" s="1"/>
      <c r="C4" s="1"/>
      <c r="D4" s="1"/>
    </row>
    <row r="5" spans="1:4" ht="15" customHeight="1" x14ac:dyDescent="0.2">
      <c r="A5" s="12" t="s">
        <v>92</v>
      </c>
      <c r="B5" s="12" t="s">
        <v>93</v>
      </c>
      <c r="C5" s="12" t="s">
        <v>94</v>
      </c>
      <c r="D5" s="12" t="s">
        <v>95</v>
      </c>
    </row>
    <row r="6" spans="1:4" ht="15" customHeight="1" x14ac:dyDescent="0.2">
      <c r="A6" s="16" t="s">
        <v>96</v>
      </c>
      <c r="B6" s="16" t="s">
        <v>97</v>
      </c>
      <c r="C6" s="41" t="s">
        <v>98</v>
      </c>
      <c r="D6" s="42" t="s">
        <v>99</v>
      </c>
    </row>
    <row r="7" spans="1:4" ht="15" customHeight="1" x14ac:dyDescent="0.2">
      <c r="A7" s="16" t="s">
        <v>100</v>
      </c>
      <c r="B7" s="16" t="s">
        <v>97</v>
      </c>
      <c r="C7" s="41" t="s">
        <v>101</v>
      </c>
      <c r="D7" s="42" t="s">
        <v>102</v>
      </c>
    </row>
    <row r="8" spans="1:4" ht="15" customHeight="1" x14ac:dyDescent="0.2">
      <c r="A8" s="16" t="s">
        <v>103</v>
      </c>
      <c r="B8" s="16" t="s">
        <v>104</v>
      </c>
      <c r="C8" s="41" t="s">
        <v>105</v>
      </c>
      <c r="D8" s="42" t="s">
        <v>106</v>
      </c>
    </row>
    <row r="9" spans="1:4" ht="15" customHeight="1" x14ac:dyDescent="0.2">
      <c r="A9" s="16" t="s">
        <v>107</v>
      </c>
      <c r="B9" s="16" t="s">
        <v>108</v>
      </c>
      <c r="C9" s="41" t="s">
        <v>109</v>
      </c>
      <c r="D9" s="42" t="s">
        <v>110</v>
      </c>
    </row>
    <row r="10" spans="1:4" ht="27.75" customHeight="1" x14ac:dyDescent="0.2">
      <c r="A10" s="16" t="s">
        <v>111</v>
      </c>
      <c r="B10" s="16" t="s">
        <v>112</v>
      </c>
      <c r="C10" s="41" t="s">
        <v>113</v>
      </c>
      <c r="D10" s="42" t="s">
        <v>114</v>
      </c>
    </row>
    <row r="11" spans="1:4" ht="15" customHeight="1" x14ac:dyDescent="0.2">
      <c r="A11" s="16" t="s">
        <v>115</v>
      </c>
      <c r="B11" s="16" t="s">
        <v>116</v>
      </c>
      <c r="C11" s="41" t="s">
        <v>117</v>
      </c>
      <c r="D11" s="42" t="s">
        <v>118</v>
      </c>
    </row>
    <row r="12" spans="1:4" ht="15" customHeight="1" x14ac:dyDescent="0.2">
      <c r="A12" s="16" t="s">
        <v>119</v>
      </c>
      <c r="B12" s="16" t="s">
        <v>120</v>
      </c>
      <c r="C12" s="41" t="s">
        <v>121</v>
      </c>
      <c r="D12" s="42" t="s">
        <v>122</v>
      </c>
    </row>
    <row r="13" spans="1:4" ht="15" customHeight="1" x14ac:dyDescent="0.2">
      <c r="A13" s="16" t="s">
        <v>123</v>
      </c>
      <c r="B13" s="16" t="s">
        <v>124</v>
      </c>
      <c r="C13" s="41" t="s">
        <v>125</v>
      </c>
      <c r="D13" s="42" t="s">
        <v>126</v>
      </c>
    </row>
    <row r="14" spans="1:4" ht="15" customHeight="1" x14ac:dyDescent="0.2">
      <c r="A14" s="16" t="s">
        <v>127</v>
      </c>
      <c r="B14" s="16" t="s">
        <v>124</v>
      </c>
      <c r="C14" s="41" t="s">
        <v>128</v>
      </c>
      <c r="D14" s="42" t="s">
        <v>129</v>
      </c>
    </row>
    <row r="15" spans="1:4" ht="15" customHeight="1" x14ac:dyDescent="0.2">
      <c r="A15" s="16" t="s">
        <v>130</v>
      </c>
      <c r="B15" s="16" t="s">
        <v>131</v>
      </c>
      <c r="C15" s="41" t="s">
        <v>132</v>
      </c>
      <c r="D15" s="42" t="s">
        <v>133</v>
      </c>
    </row>
    <row r="16" spans="1:4" ht="48" customHeight="1" x14ac:dyDescent="0.2">
      <c r="A16" s="97" t="s">
        <v>134</v>
      </c>
      <c r="B16" s="98"/>
      <c r="C16" s="98"/>
      <c r="D16" s="98"/>
    </row>
    <row r="17" spans="1:4" ht="15" customHeight="1" x14ac:dyDescent="0.2">
      <c r="A17" s="1"/>
      <c r="B17" s="1"/>
      <c r="C17" s="1"/>
      <c r="D17" s="1"/>
    </row>
    <row r="18" spans="1:4" ht="15" customHeight="1" x14ac:dyDescent="0.2">
      <c r="A18" s="11" t="s">
        <v>135</v>
      </c>
      <c r="B18" s="1"/>
      <c r="C18" s="1"/>
      <c r="D18" s="1"/>
    </row>
    <row r="19" spans="1:4" ht="27.75" customHeight="1" x14ac:dyDescent="0.2">
      <c r="A19" s="100" t="s">
        <v>136</v>
      </c>
      <c r="B19" s="98"/>
      <c r="C19" s="98"/>
      <c r="D19" s="98"/>
    </row>
    <row r="20" spans="1:4" ht="27.75" customHeight="1" x14ac:dyDescent="0.2">
      <c r="A20" s="100" t="s">
        <v>137</v>
      </c>
      <c r="B20" s="98"/>
      <c r="C20" s="98"/>
      <c r="D20" s="98"/>
    </row>
    <row r="21" spans="1:4" ht="27.75" customHeight="1" x14ac:dyDescent="0.2">
      <c r="A21" s="100" t="s">
        <v>138</v>
      </c>
      <c r="B21" s="98"/>
      <c r="C21" s="98"/>
      <c r="D21" s="98"/>
    </row>
    <row r="22" spans="1:4" ht="15" customHeight="1" x14ac:dyDescent="0.2">
      <c r="A22" s="1"/>
      <c r="B22" s="1"/>
      <c r="C22" s="1"/>
      <c r="D22" s="1"/>
    </row>
    <row r="23" spans="1:4" ht="15" customHeight="1" x14ac:dyDescent="0.2">
      <c r="A23" s="11" t="s">
        <v>139</v>
      </c>
      <c r="B23" s="1"/>
      <c r="C23" s="1"/>
      <c r="D23" s="1"/>
    </row>
    <row r="24" spans="1:4" ht="27.75" customHeight="1" x14ac:dyDescent="0.2">
      <c r="A24" s="100" t="s">
        <v>140</v>
      </c>
      <c r="B24" s="98"/>
      <c r="C24" s="98"/>
      <c r="D24" s="98"/>
    </row>
    <row r="25" spans="1:4" ht="27.75" customHeight="1" x14ac:dyDescent="0.2">
      <c r="A25" s="100" t="s">
        <v>141</v>
      </c>
      <c r="B25" s="98"/>
      <c r="C25" s="98"/>
      <c r="D25" s="98"/>
    </row>
    <row r="26" spans="1:4" ht="27.75" customHeight="1" x14ac:dyDescent="0.2">
      <c r="A26" s="100" t="s">
        <v>142</v>
      </c>
      <c r="B26" s="98"/>
      <c r="C26" s="98"/>
      <c r="D26" s="98"/>
    </row>
    <row r="27" spans="1:4" ht="15" customHeight="1" x14ac:dyDescent="0.2">
      <c r="A27" s="1"/>
      <c r="B27" s="1"/>
      <c r="C27" s="1"/>
      <c r="D27" s="1"/>
    </row>
    <row r="28" spans="1:4" ht="15" customHeight="1" x14ac:dyDescent="0.2">
      <c r="A28" s="11" t="s">
        <v>143</v>
      </c>
      <c r="B28" s="1"/>
      <c r="C28" s="1"/>
      <c r="D28" s="1"/>
    </row>
    <row r="29" spans="1:4" ht="27.75" customHeight="1" x14ac:dyDescent="0.2">
      <c r="A29" s="100" t="s">
        <v>144</v>
      </c>
      <c r="B29" s="98"/>
      <c r="C29" s="98"/>
      <c r="D29" s="98"/>
    </row>
    <row r="30" spans="1:4" ht="40.5" customHeight="1" x14ac:dyDescent="0.2">
      <c r="A30" s="100" t="s">
        <v>145</v>
      </c>
      <c r="B30" s="98"/>
      <c r="C30" s="98"/>
      <c r="D30" s="98"/>
    </row>
    <row r="31" spans="1:4" ht="27.75" customHeight="1" x14ac:dyDescent="0.2">
      <c r="A31" s="100" t="s">
        <v>146</v>
      </c>
      <c r="B31" s="98"/>
      <c r="C31" s="98"/>
      <c r="D31" s="98"/>
    </row>
    <row r="32" spans="1:4" ht="15" customHeight="1" x14ac:dyDescent="0.2">
      <c r="A32" s="1"/>
      <c r="B32" s="1"/>
      <c r="C32" s="1"/>
      <c r="D32" s="1"/>
    </row>
    <row r="33" spans="1:4" ht="15" customHeight="1" x14ac:dyDescent="0.2">
      <c r="A33" s="11" t="s">
        <v>147</v>
      </c>
      <c r="B33" s="1"/>
      <c r="C33" s="1"/>
      <c r="D33" s="1"/>
    </row>
    <row r="34" spans="1:4" ht="27.75" customHeight="1" x14ac:dyDescent="0.2">
      <c r="A34" s="100" t="s">
        <v>148</v>
      </c>
      <c r="B34" s="98"/>
      <c r="C34" s="98"/>
      <c r="D34" s="98"/>
    </row>
    <row r="35" spans="1:4" ht="40.5" customHeight="1" x14ac:dyDescent="0.2">
      <c r="A35" s="100" t="s">
        <v>149</v>
      </c>
      <c r="B35" s="98"/>
      <c r="C35" s="98"/>
      <c r="D35" s="98"/>
    </row>
    <row r="36" spans="1:4" ht="40.5" customHeight="1" x14ac:dyDescent="0.2">
      <c r="A36" s="100" t="s">
        <v>150</v>
      </c>
      <c r="B36" s="98"/>
      <c r="C36" s="98"/>
      <c r="D36" s="98"/>
    </row>
    <row r="37" spans="1:4" ht="27.75" customHeight="1" x14ac:dyDescent="0.2">
      <c r="A37" s="100" t="s">
        <v>151</v>
      </c>
      <c r="B37" s="98"/>
      <c r="C37" s="98"/>
      <c r="D37" s="98"/>
    </row>
    <row r="38" spans="1:4" ht="15" customHeight="1" x14ac:dyDescent="0.2">
      <c r="A38" s="1"/>
      <c r="B38" s="1"/>
      <c r="C38" s="1"/>
      <c r="D38" s="1"/>
    </row>
    <row r="39" spans="1:4" ht="15" customHeight="1" x14ac:dyDescent="0.2">
      <c r="A39" s="11" t="s">
        <v>152</v>
      </c>
      <c r="B39" s="1"/>
      <c r="C39" s="1"/>
      <c r="D39" s="1"/>
    </row>
    <row r="40" spans="1:4" ht="15" customHeight="1" x14ac:dyDescent="0.2">
      <c r="A40" s="12" t="s">
        <v>153</v>
      </c>
      <c r="B40" s="12" t="s">
        <v>154</v>
      </c>
      <c r="C40" s="12" t="s">
        <v>155</v>
      </c>
      <c r="D40" s="12" t="s">
        <v>40</v>
      </c>
    </row>
    <row r="41" spans="1:4" ht="15" customHeight="1" x14ac:dyDescent="0.2">
      <c r="A41" s="16" t="s">
        <v>156</v>
      </c>
      <c r="B41" s="43" t="s">
        <v>157</v>
      </c>
      <c r="C41" s="43" t="s">
        <v>158</v>
      </c>
      <c r="D41" s="41" t="s">
        <v>159</v>
      </c>
    </row>
    <row r="42" spans="1:4" ht="27.75" customHeight="1" x14ac:dyDescent="0.2">
      <c r="A42" s="16" t="s">
        <v>160</v>
      </c>
      <c r="B42" s="43" t="s">
        <v>157</v>
      </c>
      <c r="C42" s="43" t="s">
        <v>158</v>
      </c>
      <c r="D42" s="41" t="s">
        <v>159</v>
      </c>
    </row>
    <row r="43" spans="1:4" ht="27.75" customHeight="1" x14ac:dyDescent="0.2">
      <c r="A43" s="16" t="s">
        <v>161</v>
      </c>
      <c r="B43" s="43" t="s">
        <v>162</v>
      </c>
      <c r="C43" s="43" t="s">
        <v>158</v>
      </c>
      <c r="D43" s="41" t="s">
        <v>159</v>
      </c>
    </row>
    <row r="44" spans="1:4" ht="27.75" customHeight="1" x14ac:dyDescent="0.2">
      <c r="A44" s="16" t="s">
        <v>163</v>
      </c>
      <c r="B44" s="43" t="s">
        <v>158</v>
      </c>
      <c r="C44" s="43" t="s">
        <v>157</v>
      </c>
      <c r="D44" s="44" t="s">
        <v>164</v>
      </c>
    </row>
    <row r="45" spans="1:4" ht="15" customHeight="1" x14ac:dyDescent="0.2">
      <c r="A45" s="16" t="s">
        <v>165</v>
      </c>
      <c r="B45" s="43" t="s">
        <v>166</v>
      </c>
      <c r="C45" s="43" t="s">
        <v>167</v>
      </c>
      <c r="D45" s="44" t="s">
        <v>168</v>
      </c>
    </row>
    <row r="46" spans="1:4" ht="15" customHeight="1" x14ac:dyDescent="0.2">
      <c r="A46" s="16" t="s">
        <v>169</v>
      </c>
      <c r="B46" s="43" t="s">
        <v>158</v>
      </c>
      <c r="C46" s="43" t="s">
        <v>157</v>
      </c>
      <c r="D46" s="41" t="s">
        <v>159</v>
      </c>
    </row>
    <row r="47" spans="1:4" ht="15" customHeight="1" x14ac:dyDescent="0.2">
      <c r="A47" s="16" t="s">
        <v>170</v>
      </c>
      <c r="B47" s="44" t="s">
        <v>171</v>
      </c>
      <c r="C47" s="44" t="s">
        <v>172</v>
      </c>
      <c r="D47" s="44" t="s">
        <v>164</v>
      </c>
    </row>
    <row r="48" spans="1:4" ht="15" customHeight="1" x14ac:dyDescent="0.2">
      <c r="A48" s="16" t="s">
        <v>173</v>
      </c>
      <c r="B48" s="41" t="s">
        <v>174</v>
      </c>
      <c r="C48" s="41" t="s">
        <v>159</v>
      </c>
      <c r="D48" s="44" t="s">
        <v>175</v>
      </c>
    </row>
    <row r="49" spans="1:4" ht="15" customHeight="1" x14ac:dyDescent="0.2">
      <c r="A49" s="16" t="s">
        <v>176</v>
      </c>
      <c r="B49" s="41" t="s">
        <v>159</v>
      </c>
      <c r="C49" s="41" t="s">
        <v>159</v>
      </c>
      <c r="D49" s="43" t="s">
        <v>177</v>
      </c>
    </row>
    <row r="50" spans="1:4" ht="15" customHeight="1" x14ac:dyDescent="0.2">
      <c r="A50" s="1"/>
      <c r="B50" s="1"/>
      <c r="C50" s="1"/>
      <c r="D50" s="1"/>
    </row>
    <row r="51" spans="1:4" ht="15" customHeight="1" x14ac:dyDescent="0.2">
      <c r="A51" s="11" t="s">
        <v>178</v>
      </c>
      <c r="B51" s="1"/>
      <c r="C51" s="1"/>
      <c r="D51" s="1"/>
    </row>
    <row r="52" spans="1:4" ht="27.75" customHeight="1" x14ac:dyDescent="0.2">
      <c r="A52" s="100" t="s">
        <v>179</v>
      </c>
      <c r="B52" s="98"/>
      <c r="C52" s="98"/>
      <c r="D52" s="98"/>
    </row>
    <row r="53" spans="1:4" ht="40.5" customHeight="1" x14ac:dyDescent="0.2">
      <c r="A53" s="100" t="s">
        <v>180</v>
      </c>
      <c r="B53" s="98"/>
      <c r="C53" s="98"/>
      <c r="D53" s="98"/>
    </row>
    <row r="54" spans="1:4" ht="27.75" customHeight="1" x14ac:dyDescent="0.2">
      <c r="A54" s="100" t="s">
        <v>181</v>
      </c>
      <c r="B54" s="98"/>
      <c r="C54" s="98"/>
      <c r="D54" s="98"/>
    </row>
    <row r="55" spans="1:4" ht="15" customHeight="1" x14ac:dyDescent="0.2">
      <c r="A55" s="1"/>
      <c r="B55" s="1"/>
      <c r="C55" s="1"/>
      <c r="D55" s="1"/>
    </row>
    <row r="56" spans="1:4" ht="36.75" customHeight="1" x14ac:dyDescent="0.2">
      <c r="A56" s="97" t="s">
        <v>182</v>
      </c>
      <c r="B56" s="98"/>
      <c r="C56" s="98"/>
      <c r="D56" s="98"/>
    </row>
  </sheetData>
  <mergeCells count="18">
    <mergeCell ref="A37:D37"/>
    <mergeCell ref="A56:D56"/>
    <mergeCell ref="A31:D31"/>
    <mergeCell ref="A53:D53"/>
    <mergeCell ref="A34:D34"/>
    <mergeCell ref="A35:D35"/>
    <mergeCell ref="A52:D52"/>
    <mergeCell ref="A54:D54"/>
    <mergeCell ref="A19:D19"/>
    <mergeCell ref="A16:D16"/>
    <mergeCell ref="A36:D36"/>
    <mergeCell ref="A20:D20"/>
    <mergeCell ref="A21:D21"/>
    <mergeCell ref="A26:D26"/>
    <mergeCell ref="A30:D30"/>
    <mergeCell ref="A29:D29"/>
    <mergeCell ref="A25:D25"/>
    <mergeCell ref="A24:D24"/>
  </mergeCells>
  <printOptions horizontalCentered="1"/>
  <pageMargins left="0.4" right="0.4" top="1" bottom="1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65911"/>
    <pageSetUpPr fitToPage="1"/>
  </sheetPr>
  <dimension ref="A1:J28"/>
  <sheetViews>
    <sheetView showGridLines="0" zoomScaleNormal="100" workbookViewId="0"/>
  </sheetViews>
  <sheetFormatPr baseColWidth="10" defaultColWidth="8.6640625" defaultRowHeight="15" x14ac:dyDescent="0.2"/>
  <cols>
    <col min="1" max="1" width="30" customWidth="1"/>
    <col min="2" max="2" width="13" customWidth="1"/>
    <col min="3" max="3" width="12" customWidth="1"/>
    <col min="4" max="4" width="11" customWidth="1"/>
    <col min="5" max="5" width="17" customWidth="1"/>
    <col min="6" max="8" width="11" customWidth="1"/>
    <col min="9" max="9" width="12" customWidth="1"/>
    <col min="10" max="10" width="42" customWidth="1"/>
  </cols>
  <sheetData>
    <row r="1" spans="1:10" ht="18" customHeight="1" x14ac:dyDescent="0.2">
      <c r="A1" s="9" t="s">
        <v>183</v>
      </c>
      <c r="B1" s="1"/>
      <c r="C1" s="1"/>
      <c r="D1" s="1"/>
      <c r="E1" s="1"/>
      <c r="F1" s="1"/>
      <c r="G1" s="1"/>
      <c r="H1" s="1"/>
      <c r="I1" s="1"/>
      <c r="J1" s="1"/>
    </row>
    <row r="2" spans="1:10" ht="15" customHeight="1" x14ac:dyDescent="0.2">
      <c r="A2" s="10" t="s">
        <v>184</v>
      </c>
      <c r="B2" s="1"/>
      <c r="C2" s="1"/>
      <c r="D2" s="1"/>
      <c r="E2" s="1"/>
      <c r="F2" s="1"/>
      <c r="G2" s="1"/>
      <c r="H2" s="1"/>
      <c r="I2" s="1"/>
      <c r="J2" s="1"/>
    </row>
    <row r="3" spans="1:10" ht="1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5" customHeight="1" x14ac:dyDescent="0.2">
      <c r="A4" s="11" t="s">
        <v>185</v>
      </c>
      <c r="B4" s="1"/>
      <c r="C4" s="1"/>
      <c r="D4" s="1"/>
      <c r="E4" s="1"/>
      <c r="F4" s="1"/>
      <c r="G4" s="1"/>
      <c r="H4" s="1"/>
      <c r="I4" s="1"/>
      <c r="J4" s="1"/>
    </row>
    <row r="5" spans="1:10" ht="15" customHeight="1" x14ac:dyDescent="0.2">
      <c r="A5" s="25" t="s">
        <v>186</v>
      </c>
      <c r="B5" s="45">
        <f>'Holdco Summary'!$B$6</f>
        <v>250</v>
      </c>
      <c r="C5" s="10" t="s">
        <v>187</v>
      </c>
      <c r="D5" s="1"/>
      <c r="E5" s="1"/>
      <c r="F5" s="1"/>
      <c r="G5" s="1"/>
      <c r="H5" s="1"/>
      <c r="I5" s="1"/>
      <c r="J5" s="1"/>
    </row>
    <row r="6" spans="1:10" ht="15" customHeight="1" x14ac:dyDescent="0.2">
      <c r="A6" s="25" t="s">
        <v>188</v>
      </c>
      <c r="B6" s="14">
        <v>225</v>
      </c>
      <c r="C6" s="10" t="s">
        <v>189</v>
      </c>
      <c r="D6" s="1"/>
      <c r="E6" s="1"/>
      <c r="F6" s="1"/>
      <c r="G6" s="1"/>
      <c r="H6" s="1"/>
      <c r="I6" s="1"/>
      <c r="J6" s="1"/>
    </row>
    <row r="7" spans="1:10" ht="15" customHeight="1" x14ac:dyDescent="0.2">
      <c r="A7" s="25" t="s">
        <v>190</v>
      </c>
      <c r="B7" s="14">
        <v>25</v>
      </c>
      <c r="C7" s="10" t="s">
        <v>191</v>
      </c>
      <c r="D7" s="1"/>
      <c r="E7" s="1"/>
      <c r="F7" s="1"/>
      <c r="G7" s="1"/>
      <c r="H7" s="1"/>
      <c r="I7" s="1"/>
      <c r="J7" s="1"/>
    </row>
    <row r="8" spans="1:10" ht="15" customHeight="1" x14ac:dyDescent="0.2">
      <c r="A8" s="25" t="s">
        <v>192</v>
      </c>
      <c r="B8" s="27">
        <v>0.02</v>
      </c>
      <c r="C8" s="10" t="s">
        <v>193</v>
      </c>
      <c r="D8" s="1"/>
      <c r="E8" s="1"/>
      <c r="F8" s="1"/>
      <c r="G8" s="1"/>
      <c r="H8" s="1"/>
      <c r="I8" s="1"/>
      <c r="J8" s="1"/>
    </row>
    <row r="9" spans="1:10" ht="15" customHeight="1" x14ac:dyDescent="0.2">
      <c r="A9" s="25" t="s">
        <v>194</v>
      </c>
      <c r="B9" s="27">
        <v>0.2</v>
      </c>
      <c r="C9" s="10" t="s">
        <v>195</v>
      </c>
      <c r="D9" s="1"/>
      <c r="E9" s="1"/>
      <c r="F9" s="1"/>
      <c r="G9" s="1"/>
      <c r="H9" s="1"/>
      <c r="I9" s="1"/>
      <c r="J9" s="1"/>
    </row>
    <row r="10" spans="1:10" ht="15" customHeight="1" x14ac:dyDescent="0.2">
      <c r="A10" s="25" t="s">
        <v>196</v>
      </c>
      <c r="B10" s="27">
        <v>0.08</v>
      </c>
      <c r="C10" s="10" t="s">
        <v>197</v>
      </c>
      <c r="D10" s="1"/>
      <c r="E10" s="1"/>
      <c r="F10" s="1"/>
      <c r="G10" s="1"/>
      <c r="H10" s="1"/>
      <c r="I10" s="1"/>
      <c r="J10" s="1"/>
    </row>
    <row r="11" spans="1:10" ht="15" customHeight="1" x14ac:dyDescent="0.2">
      <c r="A11" s="25" t="s">
        <v>198</v>
      </c>
      <c r="B11" s="27">
        <v>0.85</v>
      </c>
      <c r="C11" s="10" t="s">
        <v>199</v>
      </c>
      <c r="D11" s="1"/>
      <c r="E11" s="1"/>
      <c r="F11" s="1"/>
      <c r="G11" s="1"/>
      <c r="H11" s="1"/>
      <c r="I11" s="1"/>
      <c r="J11" s="1"/>
    </row>
    <row r="12" spans="1:10" ht="15" customHeight="1" x14ac:dyDescent="0.2">
      <c r="A12" s="25" t="s">
        <v>200</v>
      </c>
      <c r="B12" s="27">
        <v>0.78</v>
      </c>
      <c r="C12" s="10"/>
      <c r="D12" s="1"/>
      <c r="E12" s="1"/>
      <c r="F12" s="1"/>
      <c r="G12" s="1"/>
      <c r="H12" s="1"/>
      <c r="I12" s="1"/>
      <c r="J12" s="1"/>
    </row>
    <row r="13" spans="1:10" ht="15" customHeight="1" x14ac:dyDescent="0.2">
      <c r="A13" s="25" t="s">
        <v>201</v>
      </c>
      <c r="B13" s="27">
        <v>0.68</v>
      </c>
      <c r="C13" s="10"/>
      <c r="D13" s="1"/>
      <c r="E13" s="1"/>
      <c r="F13" s="1"/>
      <c r="G13" s="1"/>
      <c r="H13" s="1"/>
      <c r="I13" s="1"/>
      <c r="J13" s="1"/>
    </row>
    <row r="14" spans="1:10" ht="1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5" customHeight="1" x14ac:dyDescent="0.2">
      <c r="A16" s="11" t="s">
        <v>202</v>
      </c>
      <c r="B16" s="1"/>
      <c r="C16" s="1"/>
      <c r="D16" s="1"/>
      <c r="E16" s="1"/>
      <c r="F16" s="1"/>
      <c r="G16" s="1"/>
      <c r="H16" s="1"/>
      <c r="I16" s="1"/>
      <c r="J16" s="1"/>
    </row>
    <row r="17" spans="1:10" ht="27.75" customHeight="1" x14ac:dyDescent="0.2">
      <c r="A17" s="12" t="s">
        <v>203</v>
      </c>
      <c r="B17" s="12" t="s">
        <v>204</v>
      </c>
      <c r="C17" s="12" t="s">
        <v>205</v>
      </c>
      <c r="D17" s="12" t="s">
        <v>206</v>
      </c>
      <c r="E17" s="12" t="s">
        <v>207</v>
      </c>
      <c r="F17" s="12" t="s">
        <v>208</v>
      </c>
      <c r="G17" s="12" t="s">
        <v>209</v>
      </c>
      <c r="H17" s="12" t="s">
        <v>210</v>
      </c>
      <c r="I17" s="21" t="s">
        <v>53</v>
      </c>
      <c r="J17" s="12" t="s">
        <v>211</v>
      </c>
    </row>
    <row r="18" spans="1:10" ht="15" customHeight="1" x14ac:dyDescent="0.2">
      <c r="A18" s="13" t="s">
        <v>212</v>
      </c>
      <c r="B18" s="46">
        <v>1050</v>
      </c>
      <c r="C18" s="46">
        <v>80</v>
      </c>
      <c r="D18" s="15">
        <f t="shared" ref="D18:D26" si="0">C18/B18</f>
        <v>7.6190476190476197E-2</v>
      </c>
      <c r="E18" s="16" t="s">
        <v>213</v>
      </c>
      <c r="F18" s="47">
        <v>0.22</v>
      </c>
      <c r="G18" s="47">
        <v>0.34</v>
      </c>
      <c r="H18" s="47">
        <v>-0.18</v>
      </c>
      <c r="I18" s="26">
        <f>'Defense Supercycle'!I24</f>
        <v>0.40799999999999997</v>
      </c>
      <c r="J18" s="42" t="s">
        <v>214</v>
      </c>
    </row>
    <row r="19" spans="1:10" ht="15" customHeight="1" x14ac:dyDescent="0.2">
      <c r="A19" s="13" t="s">
        <v>215</v>
      </c>
      <c r="B19" s="46">
        <v>180</v>
      </c>
      <c r="C19" s="46">
        <v>30</v>
      </c>
      <c r="D19" s="15">
        <f t="shared" si="0"/>
        <v>0.16666666666666666</v>
      </c>
      <c r="E19" s="16" t="s">
        <v>216</v>
      </c>
      <c r="F19" s="47">
        <v>0.14000000000000001</v>
      </c>
      <c r="G19" s="47">
        <v>0.26</v>
      </c>
      <c r="H19" s="47">
        <v>0.03</v>
      </c>
      <c r="I19" s="26">
        <f>'Defense Supercycle'!I25</f>
        <v>0.30400000000000005</v>
      </c>
      <c r="J19" s="42" t="s">
        <v>217</v>
      </c>
    </row>
    <row r="20" spans="1:10" ht="15" customHeight="1" x14ac:dyDescent="0.2">
      <c r="A20" s="13" t="s">
        <v>218</v>
      </c>
      <c r="B20" s="46">
        <v>120</v>
      </c>
      <c r="C20" s="46">
        <v>22.5</v>
      </c>
      <c r="D20" s="15">
        <f t="shared" si="0"/>
        <v>0.1875</v>
      </c>
      <c r="E20" s="16" t="s">
        <v>216</v>
      </c>
      <c r="F20" s="47">
        <v>0.26</v>
      </c>
      <c r="G20" s="47">
        <v>0.38</v>
      </c>
      <c r="H20" s="47">
        <v>-0.1</v>
      </c>
      <c r="I20" s="26">
        <f>'Defense Supercycle'!I26</f>
        <v>0.41600000000000004</v>
      </c>
      <c r="J20" s="42" t="s">
        <v>219</v>
      </c>
    </row>
    <row r="21" spans="1:10" ht="15" customHeight="1" x14ac:dyDescent="0.2">
      <c r="A21" s="13" t="s">
        <v>220</v>
      </c>
      <c r="B21" s="46">
        <v>350</v>
      </c>
      <c r="C21" s="46">
        <v>30.5</v>
      </c>
      <c r="D21" s="15">
        <f t="shared" si="0"/>
        <v>8.7142857142857147E-2</v>
      </c>
      <c r="E21" s="16" t="s">
        <v>216</v>
      </c>
      <c r="F21" s="47">
        <v>0.24</v>
      </c>
      <c r="G21" s="47">
        <v>0.36</v>
      </c>
      <c r="H21" s="47">
        <v>-0.08</v>
      </c>
      <c r="I21" s="26">
        <f>'Defense Supercycle'!I27</f>
        <v>0.26399999999999996</v>
      </c>
      <c r="J21" s="42" t="s">
        <v>221</v>
      </c>
    </row>
    <row r="22" spans="1:10" ht="15" customHeight="1" x14ac:dyDescent="0.2">
      <c r="A22" s="13" t="s">
        <v>222</v>
      </c>
      <c r="B22" s="46">
        <v>700</v>
      </c>
      <c r="C22" s="46">
        <v>31.5</v>
      </c>
      <c r="D22" s="15">
        <f t="shared" si="0"/>
        <v>4.4999999999999998E-2</v>
      </c>
      <c r="E22" s="16" t="s">
        <v>223</v>
      </c>
      <c r="F22" s="47">
        <v>0.16</v>
      </c>
      <c r="G22" s="47">
        <v>0.28000000000000003</v>
      </c>
      <c r="H22" s="47">
        <v>-0.02</v>
      </c>
      <c r="I22" s="26">
        <f>'Defense Supercycle'!I28</f>
        <v>0.22</v>
      </c>
      <c r="J22" s="42" t="s">
        <v>224</v>
      </c>
    </row>
    <row r="23" spans="1:10" ht="15" customHeight="1" x14ac:dyDescent="0.2">
      <c r="A23" s="13" t="s">
        <v>225</v>
      </c>
      <c r="B23" s="46">
        <v>3000</v>
      </c>
      <c r="C23" s="46">
        <v>25</v>
      </c>
      <c r="D23" s="15">
        <f t="shared" si="0"/>
        <v>8.3333333333333332E-3</v>
      </c>
      <c r="E23" s="16" t="s">
        <v>226</v>
      </c>
      <c r="F23" s="47">
        <v>0.15</v>
      </c>
      <c r="G23" s="47">
        <v>0.27</v>
      </c>
      <c r="H23" s="47">
        <v>-0.1</v>
      </c>
      <c r="I23" s="26">
        <f>'Defense Supercycle'!I29</f>
        <v>0.22200000000000003</v>
      </c>
      <c r="J23" s="42" t="s">
        <v>227</v>
      </c>
    </row>
    <row r="24" spans="1:10" ht="15" customHeight="1" x14ac:dyDescent="0.2">
      <c r="A24" s="13" t="s">
        <v>228</v>
      </c>
      <c r="B24" s="46">
        <v>150</v>
      </c>
      <c r="C24" s="46">
        <v>14</v>
      </c>
      <c r="D24" s="15">
        <f t="shared" si="0"/>
        <v>9.3333333333333338E-2</v>
      </c>
      <c r="E24" s="16" t="s">
        <v>229</v>
      </c>
      <c r="F24" s="47">
        <v>0.3</v>
      </c>
      <c r="G24" s="47">
        <v>0.42</v>
      </c>
      <c r="H24" s="47">
        <v>-0.22</v>
      </c>
      <c r="I24" s="26">
        <f>'Defense Supercycle'!I30</f>
        <v>0.38400000000000001</v>
      </c>
      <c r="J24" s="42" t="s">
        <v>230</v>
      </c>
    </row>
    <row r="25" spans="1:10" ht="15" customHeight="1" x14ac:dyDescent="0.2">
      <c r="A25" s="13" t="s">
        <v>231</v>
      </c>
      <c r="B25" s="46">
        <v>65</v>
      </c>
      <c r="C25" s="46">
        <v>10</v>
      </c>
      <c r="D25" s="15">
        <f t="shared" si="0"/>
        <v>0.15384615384615385</v>
      </c>
      <c r="E25" s="16" t="s">
        <v>232</v>
      </c>
      <c r="F25" s="47">
        <v>0.32</v>
      </c>
      <c r="G25" s="47">
        <v>0.44</v>
      </c>
      <c r="H25" s="47">
        <v>-0.28000000000000003</v>
      </c>
      <c r="I25" s="26">
        <f>'Defense Supercycle'!I31</f>
        <v>0.39600000000000002</v>
      </c>
      <c r="J25" s="42" t="s">
        <v>233</v>
      </c>
    </row>
    <row r="26" spans="1:10" ht="15" customHeight="1" x14ac:dyDescent="0.2">
      <c r="A26" s="13" t="s">
        <v>234</v>
      </c>
      <c r="B26" s="46">
        <v>50</v>
      </c>
      <c r="C26" s="46">
        <v>6.5</v>
      </c>
      <c r="D26" s="15">
        <f t="shared" si="0"/>
        <v>0.13</v>
      </c>
      <c r="E26" s="16" t="s">
        <v>232</v>
      </c>
      <c r="F26" s="47">
        <v>0.28000000000000003</v>
      </c>
      <c r="G26" s="47">
        <v>0.4</v>
      </c>
      <c r="H26" s="47">
        <v>-0.25</v>
      </c>
      <c r="I26" s="26">
        <f>'Defense Supercycle'!I32</f>
        <v>0.21600000000000003</v>
      </c>
      <c r="J26" s="42" t="s">
        <v>235</v>
      </c>
    </row>
    <row r="27" spans="1:10" ht="15" customHeight="1" x14ac:dyDescent="0.2">
      <c r="A27" s="18" t="s">
        <v>236</v>
      </c>
      <c r="B27" s="48"/>
      <c r="C27" s="49">
        <f>SUM(C18:C26)</f>
        <v>250</v>
      </c>
      <c r="D27" s="1"/>
      <c r="E27" s="1"/>
      <c r="F27" s="1"/>
      <c r="G27" s="1"/>
      <c r="H27" s="1"/>
      <c r="I27" s="1"/>
      <c r="J27" s="1"/>
    </row>
    <row r="28" spans="1:10" ht="15" customHeight="1" x14ac:dyDescent="0.2">
      <c r="A28" s="10" t="str">
        <f>"Check: deployed capital (C27) "&amp;TEXT(C27,"$#,##0")&amp;"M vs committed (B5) "&amp;TEXT(B5,"$#,##0")&amp;"M — "&amp;IF(ABS(C27-B5)&lt;0.5,"OK","MISMATCH")</f>
        <v>Check: deployed capital (C27) $250M vs committed (B5) $250M — OK</v>
      </c>
      <c r="B28" s="1"/>
      <c r="C28" s="1"/>
      <c r="D28" s="1"/>
      <c r="E28" s="1"/>
      <c r="F28" s="1"/>
      <c r="G28" s="1"/>
      <c r="H28" s="1"/>
      <c r="I28" s="1"/>
      <c r="J28" s="1"/>
    </row>
  </sheetData>
  <printOptions horizontalCentered="1"/>
  <pageMargins left="0.4" right="0.4" top="1" bottom="1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65911"/>
    <pageSetUpPr fitToPage="1"/>
  </sheetPr>
  <dimension ref="A1:J47"/>
  <sheetViews>
    <sheetView showGridLines="0" zoomScaleNormal="100" workbookViewId="0"/>
  </sheetViews>
  <sheetFormatPr baseColWidth="10" defaultColWidth="8.6640625" defaultRowHeight="15" x14ac:dyDescent="0.2"/>
  <cols>
    <col min="1" max="1" width="34" customWidth="1"/>
    <col min="2" max="10" width="12" customWidth="1"/>
    <col min="11" max="11" width="2" customWidth="1"/>
    <col min="12" max="12" width="40" customWidth="1"/>
  </cols>
  <sheetData>
    <row r="1" spans="1:10" ht="18" customHeight="1" x14ac:dyDescent="0.2">
      <c r="A1" s="9" t="s">
        <v>237</v>
      </c>
      <c r="B1" s="1"/>
      <c r="C1" s="1"/>
      <c r="D1" s="1"/>
      <c r="E1" s="1"/>
      <c r="F1" s="1"/>
      <c r="G1" s="1"/>
      <c r="H1" s="1"/>
      <c r="I1" s="1"/>
      <c r="J1" s="1"/>
    </row>
    <row r="2" spans="1:10" ht="15" customHeight="1" x14ac:dyDescent="0.2">
      <c r="A2" s="10" t="s">
        <v>238</v>
      </c>
      <c r="B2" s="1"/>
      <c r="C2" s="1"/>
      <c r="D2" s="1"/>
      <c r="E2" s="1"/>
      <c r="F2" s="1"/>
      <c r="G2" s="1"/>
      <c r="H2" s="1"/>
      <c r="I2" s="1"/>
      <c r="J2" s="1"/>
    </row>
    <row r="3" spans="1:10" ht="1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5" customHeight="1" x14ac:dyDescent="0.2">
      <c r="A4" s="11" t="s">
        <v>239</v>
      </c>
      <c r="B4" s="1"/>
      <c r="C4" s="1"/>
      <c r="D4" s="1"/>
      <c r="E4" s="1"/>
      <c r="F4" s="1"/>
      <c r="G4" s="1"/>
      <c r="H4" s="1"/>
      <c r="I4" s="1"/>
      <c r="J4" s="1"/>
    </row>
    <row r="5" spans="1:10" ht="15" customHeight="1" x14ac:dyDescent="0.2">
      <c r="A5" s="25" t="s">
        <v>240</v>
      </c>
      <c r="B5" s="27">
        <v>0.25</v>
      </c>
      <c r="C5" s="10" t="s">
        <v>241</v>
      </c>
      <c r="D5" s="1"/>
      <c r="E5" s="1"/>
      <c r="F5" s="1"/>
      <c r="G5" s="1"/>
      <c r="H5" s="1"/>
      <c r="I5" s="1"/>
      <c r="J5" s="1"/>
    </row>
    <row r="6" spans="1:10" ht="15" customHeight="1" x14ac:dyDescent="0.2">
      <c r="A6" s="25" t="s">
        <v>242</v>
      </c>
      <c r="B6" s="27">
        <v>0.3</v>
      </c>
      <c r="C6" s="10" t="s">
        <v>243</v>
      </c>
      <c r="D6" s="1"/>
      <c r="E6" s="1"/>
      <c r="F6" s="1"/>
      <c r="G6" s="1"/>
      <c r="H6" s="1"/>
      <c r="I6" s="1"/>
      <c r="J6" s="1"/>
    </row>
    <row r="7" spans="1:10" ht="15" customHeight="1" x14ac:dyDescent="0.2">
      <c r="A7" s="25" t="s">
        <v>244</v>
      </c>
      <c r="B7" s="27">
        <v>0.15</v>
      </c>
      <c r="C7" s="10" t="s">
        <v>245</v>
      </c>
      <c r="D7" s="1"/>
      <c r="E7" s="1"/>
      <c r="F7" s="1"/>
      <c r="G7" s="1"/>
      <c r="H7" s="1"/>
      <c r="I7" s="1"/>
      <c r="J7" s="1"/>
    </row>
    <row r="8" spans="1:10" ht="15" customHeight="1" x14ac:dyDescent="0.2">
      <c r="A8" s="25" t="s">
        <v>246</v>
      </c>
      <c r="B8" s="27">
        <v>0.15</v>
      </c>
      <c r="C8" s="10" t="s">
        <v>247</v>
      </c>
      <c r="D8" s="1"/>
      <c r="E8" s="1"/>
      <c r="F8" s="1"/>
      <c r="G8" s="1"/>
      <c r="H8" s="1"/>
      <c r="I8" s="1"/>
      <c r="J8" s="1"/>
    </row>
    <row r="9" spans="1:10" ht="15" customHeight="1" x14ac:dyDescent="0.2">
      <c r="A9" s="25" t="s">
        <v>248</v>
      </c>
      <c r="B9" s="27">
        <v>0.15</v>
      </c>
      <c r="C9" s="10" t="s">
        <v>249</v>
      </c>
      <c r="D9" s="1"/>
      <c r="E9" s="1"/>
      <c r="F9" s="1"/>
      <c r="G9" s="1"/>
      <c r="H9" s="1"/>
      <c r="I9" s="1"/>
      <c r="J9" s="1"/>
    </row>
    <row r="10" spans="1:10" ht="15" customHeight="1" x14ac:dyDescent="0.2">
      <c r="A10" s="18" t="s">
        <v>250</v>
      </c>
      <c r="B10" s="20">
        <f>SUM(B5:B9)</f>
        <v>1</v>
      </c>
      <c r="C10" s="1"/>
      <c r="D10" s="1"/>
      <c r="E10" s="1"/>
      <c r="F10" s="1"/>
      <c r="G10" s="1"/>
      <c r="H10" s="1"/>
      <c r="I10" s="1"/>
      <c r="J10" s="1"/>
    </row>
    <row r="11" spans="1:10" ht="1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5" customHeight="1" x14ac:dyDescent="0.2">
      <c r="A12" s="11" t="s">
        <v>251</v>
      </c>
      <c r="B12" s="1"/>
      <c r="C12" s="1"/>
      <c r="D12" s="1"/>
      <c r="E12" s="1"/>
      <c r="F12" s="1"/>
      <c r="G12" s="1"/>
      <c r="H12" s="1"/>
      <c r="I12" s="1"/>
      <c r="J12" s="1"/>
    </row>
    <row r="13" spans="1:10" ht="15" customHeight="1" x14ac:dyDescent="0.2">
      <c r="A13" s="25" t="s">
        <v>252</v>
      </c>
      <c r="B13" s="50">
        <v>2.5</v>
      </c>
      <c r="C13" s="10" t="s">
        <v>253</v>
      </c>
      <c r="D13" s="1"/>
      <c r="E13" s="1"/>
      <c r="F13" s="1"/>
      <c r="G13" s="1"/>
      <c r="H13" s="1"/>
      <c r="I13" s="1"/>
      <c r="J13" s="1"/>
    </row>
    <row r="14" spans="1:10" ht="15" customHeight="1" x14ac:dyDescent="0.2">
      <c r="A14" s="25" t="s">
        <v>254</v>
      </c>
      <c r="B14" s="27">
        <v>0.08</v>
      </c>
      <c r="C14" s="10" t="s">
        <v>255</v>
      </c>
      <c r="D14" s="1"/>
      <c r="E14" s="1"/>
      <c r="F14" s="1"/>
      <c r="G14" s="1"/>
      <c r="H14" s="1"/>
      <c r="I14" s="1"/>
      <c r="J14" s="1"/>
    </row>
    <row r="15" spans="1:10" ht="1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5" customHeight="1" x14ac:dyDescent="0.2">
      <c r="A16" s="11" t="s">
        <v>256</v>
      </c>
      <c r="B16" s="1"/>
      <c r="C16" s="1"/>
      <c r="D16" s="1"/>
      <c r="E16" s="1"/>
      <c r="F16" s="1"/>
      <c r="G16" s="1"/>
      <c r="H16" s="1"/>
      <c r="I16" s="1"/>
      <c r="J16" s="1"/>
    </row>
    <row r="17" spans="1:10" ht="15" customHeight="1" x14ac:dyDescent="0.2">
      <c r="A17" s="25" t="s">
        <v>50</v>
      </c>
      <c r="B17" s="27">
        <v>0.45</v>
      </c>
      <c r="C17" s="1"/>
      <c r="D17" s="1"/>
      <c r="E17" s="1"/>
      <c r="F17" s="1"/>
      <c r="G17" s="1"/>
      <c r="H17" s="1"/>
      <c r="I17" s="1"/>
      <c r="J17" s="1"/>
    </row>
    <row r="18" spans="1:10" ht="15" customHeight="1" x14ac:dyDescent="0.2">
      <c r="A18" s="25" t="s">
        <v>51</v>
      </c>
      <c r="B18" s="27">
        <v>0.2</v>
      </c>
      <c r="C18" s="1"/>
      <c r="D18" s="1"/>
      <c r="E18" s="1"/>
      <c r="F18" s="1"/>
      <c r="G18" s="1"/>
      <c r="H18" s="1"/>
      <c r="I18" s="1"/>
      <c r="J18" s="1"/>
    </row>
    <row r="19" spans="1:10" ht="15" customHeight="1" x14ac:dyDescent="0.2">
      <c r="A19" s="25" t="s">
        <v>52</v>
      </c>
      <c r="B19" s="27">
        <v>0.2</v>
      </c>
      <c r="C19" s="1"/>
      <c r="D19" s="1"/>
      <c r="E19" s="1"/>
      <c r="F19" s="1"/>
      <c r="G19" s="1"/>
      <c r="H19" s="1"/>
      <c r="I19" s="1"/>
      <c r="J19" s="1"/>
    </row>
    <row r="20" spans="1:10" ht="15" customHeight="1" x14ac:dyDescent="0.2">
      <c r="A20" s="25" t="s">
        <v>53</v>
      </c>
      <c r="B20" s="27">
        <v>0.15</v>
      </c>
      <c r="C20" s="1"/>
      <c r="D20" s="1"/>
      <c r="E20" s="1"/>
      <c r="F20" s="1"/>
      <c r="G20" s="1"/>
      <c r="H20" s="1"/>
      <c r="I20" s="1"/>
      <c r="J20" s="1"/>
    </row>
    <row r="21" spans="1:10" ht="15" customHeight="1" x14ac:dyDescent="0.2">
      <c r="A21" s="18" t="s">
        <v>250</v>
      </c>
      <c r="B21" s="20">
        <f>SUM(B17:B20)</f>
        <v>1</v>
      </c>
      <c r="C21" s="1"/>
      <c r="D21" s="1"/>
      <c r="E21" s="1"/>
      <c r="F21" s="1"/>
      <c r="G21" s="1"/>
      <c r="H21" s="1"/>
      <c r="I21" s="1"/>
      <c r="J21" s="1"/>
    </row>
    <row r="22" spans="1:10" ht="30" customHeight="1" x14ac:dyDescent="0.2">
      <c r="A22" s="11" t="s">
        <v>257</v>
      </c>
      <c r="B22" s="22"/>
      <c r="C22" s="22"/>
      <c r="D22" s="22"/>
      <c r="E22" s="22"/>
      <c r="F22" s="22"/>
      <c r="G22" s="22"/>
      <c r="H22" s="22"/>
      <c r="I22" s="22"/>
      <c r="J22" s="1"/>
    </row>
    <row r="23" spans="1:10" ht="27.75" customHeight="1" x14ac:dyDescent="0.2">
      <c r="A23" s="12" t="s">
        <v>203</v>
      </c>
      <c r="B23" s="12" t="s">
        <v>258</v>
      </c>
      <c r="C23" s="12" t="s">
        <v>259</v>
      </c>
      <c r="D23" s="12" t="s">
        <v>260</v>
      </c>
      <c r="E23" s="12" t="s">
        <v>261</v>
      </c>
      <c r="F23" s="12" t="s">
        <v>262</v>
      </c>
      <c r="G23" s="12" t="s">
        <v>263</v>
      </c>
      <c r="H23" s="12" t="s">
        <v>264</v>
      </c>
      <c r="I23" s="12" t="s">
        <v>265</v>
      </c>
      <c r="J23" s="1"/>
    </row>
    <row r="24" spans="1:10" ht="15" customHeight="1" x14ac:dyDescent="0.2">
      <c r="A24" s="13" t="s">
        <v>212</v>
      </c>
      <c r="B24" s="51">
        <v>5</v>
      </c>
      <c r="C24" s="51">
        <v>5</v>
      </c>
      <c r="D24" s="51">
        <v>4</v>
      </c>
      <c r="E24" s="51">
        <v>5</v>
      </c>
      <c r="F24" s="51">
        <v>5</v>
      </c>
      <c r="G24" s="52">
        <f>B24*'Defense Supercycle'!$B$5+C24*'Defense Supercycle'!$B$6+D24*'Defense Supercycle'!$B$7+E24*'Defense Supercycle'!$B$8+F24*'Defense Supercycle'!$B$9</f>
        <v>4.8499999999999996</v>
      </c>
      <c r="H24" s="15">
        <f>(G24-'Defense Supercycle'!$B$13)*'Defense Supercycle'!$B$14</f>
        <v>0.18799999999999997</v>
      </c>
      <c r="I24" s="39">
        <f>Assumptions!F18+H24</f>
        <v>0.40799999999999997</v>
      </c>
      <c r="J24" s="1"/>
    </row>
    <row r="25" spans="1:10" ht="15" customHeight="1" x14ac:dyDescent="0.2">
      <c r="A25" s="13" t="s">
        <v>215</v>
      </c>
      <c r="B25" s="51">
        <v>5</v>
      </c>
      <c r="C25" s="51">
        <v>4</v>
      </c>
      <c r="D25" s="51">
        <v>4</v>
      </c>
      <c r="E25" s="51">
        <v>5</v>
      </c>
      <c r="F25" s="51">
        <v>5</v>
      </c>
      <c r="G25" s="52">
        <f>B25*'Defense Supercycle'!$B$5+C25*'Defense Supercycle'!$B$6+D25*'Defense Supercycle'!$B$7+E25*'Defense Supercycle'!$B$8+F25*'Defense Supercycle'!$B$9</f>
        <v>4.5500000000000007</v>
      </c>
      <c r="H25" s="15">
        <f>(G25-'Defense Supercycle'!$B$13)*'Defense Supercycle'!$B$14</f>
        <v>0.16400000000000006</v>
      </c>
      <c r="I25" s="39">
        <f>Assumptions!F19+H25</f>
        <v>0.30400000000000005</v>
      </c>
      <c r="J25" s="1"/>
    </row>
    <row r="26" spans="1:10" ht="15" customHeight="1" x14ac:dyDescent="0.2">
      <c r="A26" s="13" t="s">
        <v>218</v>
      </c>
      <c r="B26" s="51">
        <v>4</v>
      </c>
      <c r="C26" s="51">
        <v>5</v>
      </c>
      <c r="D26" s="51">
        <v>4</v>
      </c>
      <c r="E26" s="51">
        <v>5</v>
      </c>
      <c r="F26" s="51">
        <v>4</v>
      </c>
      <c r="G26" s="52">
        <f>B26*'Defense Supercycle'!$B$5+C26*'Defense Supercycle'!$B$6+D26*'Defense Supercycle'!$B$7+E26*'Defense Supercycle'!$B$8+F26*'Defense Supercycle'!$B$9</f>
        <v>4.45</v>
      </c>
      <c r="H26" s="15">
        <f>(G26-'Defense Supercycle'!$B$13)*'Defense Supercycle'!$B$14</f>
        <v>0.15600000000000003</v>
      </c>
      <c r="I26" s="39">
        <f>Assumptions!F20+H26</f>
        <v>0.41600000000000004</v>
      </c>
      <c r="J26" s="1"/>
    </row>
    <row r="27" spans="1:10" ht="15" customHeight="1" x14ac:dyDescent="0.2">
      <c r="A27" s="13" t="s">
        <v>220</v>
      </c>
      <c r="B27" s="51">
        <v>4</v>
      </c>
      <c r="C27" s="51">
        <v>2</v>
      </c>
      <c r="D27" s="51">
        <v>4</v>
      </c>
      <c r="E27" s="51">
        <v>2</v>
      </c>
      <c r="F27" s="51">
        <v>2</v>
      </c>
      <c r="G27" s="52">
        <f>B27*'Defense Supercycle'!$B$5+C27*'Defense Supercycle'!$B$6+D27*'Defense Supercycle'!$B$7+E27*'Defense Supercycle'!$B$8+F27*'Defense Supercycle'!$B$9</f>
        <v>2.8</v>
      </c>
      <c r="H27" s="15">
        <f>(G27-'Defense Supercycle'!$B$13)*'Defense Supercycle'!$B$14</f>
        <v>2.3999999999999987E-2</v>
      </c>
      <c r="I27" s="39">
        <f>Assumptions!F21+H27</f>
        <v>0.26399999999999996</v>
      </c>
      <c r="J27" s="1"/>
    </row>
    <row r="28" spans="1:10" ht="15" customHeight="1" x14ac:dyDescent="0.2">
      <c r="A28" s="13" t="s">
        <v>222</v>
      </c>
      <c r="B28" s="51">
        <v>4</v>
      </c>
      <c r="C28" s="51">
        <v>2</v>
      </c>
      <c r="D28" s="51">
        <v>4</v>
      </c>
      <c r="E28" s="51">
        <v>5</v>
      </c>
      <c r="F28" s="51">
        <v>2</v>
      </c>
      <c r="G28" s="52">
        <f>B28*'Defense Supercycle'!$B$5+C28*'Defense Supercycle'!$B$6+D28*'Defense Supercycle'!$B$7+E28*'Defense Supercycle'!$B$8+F28*'Defense Supercycle'!$B$9</f>
        <v>3.25</v>
      </c>
      <c r="H28" s="15">
        <f>(G28-'Defense Supercycle'!$B$13)*'Defense Supercycle'!$B$14</f>
        <v>0.06</v>
      </c>
      <c r="I28" s="39">
        <f>Assumptions!F22+H28</f>
        <v>0.22</v>
      </c>
      <c r="J28" s="1"/>
    </row>
    <row r="29" spans="1:10" ht="15" customHeight="1" x14ac:dyDescent="0.2">
      <c r="A29" s="13" t="s">
        <v>225</v>
      </c>
      <c r="B29" s="51">
        <v>4</v>
      </c>
      <c r="C29" s="51">
        <v>2</v>
      </c>
      <c r="D29" s="51">
        <v>4</v>
      </c>
      <c r="E29" s="51">
        <v>5</v>
      </c>
      <c r="F29" s="51">
        <v>3</v>
      </c>
      <c r="G29" s="52">
        <f>B29*'Defense Supercycle'!$B$5+C29*'Defense Supercycle'!$B$6+D29*'Defense Supercycle'!$B$7+E29*'Defense Supercycle'!$B$8+F29*'Defense Supercycle'!$B$9</f>
        <v>3.4000000000000004</v>
      </c>
      <c r="H29" s="15">
        <f>(G29-'Defense Supercycle'!$B$13)*'Defense Supercycle'!$B$14</f>
        <v>7.2000000000000036E-2</v>
      </c>
      <c r="I29" s="39">
        <f>Assumptions!F23+H29</f>
        <v>0.22200000000000003</v>
      </c>
      <c r="J29" s="1"/>
    </row>
    <row r="30" spans="1:10" ht="15" customHeight="1" x14ac:dyDescent="0.2">
      <c r="A30" s="13" t="s">
        <v>228</v>
      </c>
      <c r="B30" s="51">
        <v>4</v>
      </c>
      <c r="C30" s="51">
        <v>4</v>
      </c>
      <c r="D30" s="51">
        <v>4</v>
      </c>
      <c r="E30" s="51">
        <v>2</v>
      </c>
      <c r="F30" s="51">
        <v>3</v>
      </c>
      <c r="G30" s="52">
        <f>B30*'Defense Supercycle'!$B$5+C30*'Defense Supercycle'!$B$6+D30*'Defense Supercycle'!$B$7+E30*'Defense Supercycle'!$B$8+F30*'Defense Supercycle'!$B$9</f>
        <v>3.55</v>
      </c>
      <c r="H30" s="15">
        <f>(G30-'Defense Supercycle'!$B$13)*'Defense Supercycle'!$B$14</f>
        <v>8.3999999999999991E-2</v>
      </c>
      <c r="I30" s="39">
        <f>Assumptions!F24+H30</f>
        <v>0.38400000000000001</v>
      </c>
      <c r="J30" s="1"/>
    </row>
    <row r="31" spans="1:10" ht="15" customHeight="1" x14ac:dyDescent="0.2">
      <c r="A31" s="13" t="s">
        <v>231</v>
      </c>
      <c r="B31" s="51">
        <v>3</v>
      </c>
      <c r="C31" s="51">
        <v>3</v>
      </c>
      <c r="D31" s="51">
        <v>4</v>
      </c>
      <c r="E31" s="51">
        <v>5</v>
      </c>
      <c r="F31" s="51">
        <v>3</v>
      </c>
      <c r="G31" s="52">
        <f>B31*'Defense Supercycle'!$B$5+C31*'Defense Supercycle'!$B$6+D31*'Defense Supercycle'!$B$7+E31*'Defense Supercycle'!$B$8+F31*'Defense Supercycle'!$B$9</f>
        <v>3.45</v>
      </c>
      <c r="H31" s="15">
        <f>(G31-'Defense Supercycle'!$B$13)*'Defense Supercycle'!$B$14</f>
        <v>7.6000000000000012E-2</v>
      </c>
      <c r="I31" s="39">
        <f>Assumptions!F25+H31</f>
        <v>0.39600000000000002</v>
      </c>
      <c r="J31" s="1"/>
    </row>
    <row r="32" spans="1:10" ht="15" customHeight="1" x14ac:dyDescent="0.2">
      <c r="A32" s="13" t="s">
        <v>234</v>
      </c>
      <c r="B32" s="51">
        <v>2</v>
      </c>
      <c r="C32" s="51">
        <v>1</v>
      </c>
      <c r="D32" s="51">
        <v>3</v>
      </c>
      <c r="E32" s="51">
        <v>2</v>
      </c>
      <c r="F32" s="51">
        <v>1</v>
      </c>
      <c r="G32" s="52">
        <f>B32*'Defense Supercycle'!$B$5+C32*'Defense Supercycle'!$B$6+D32*'Defense Supercycle'!$B$7+E32*'Defense Supercycle'!$B$8+F32*'Defense Supercycle'!$B$9</f>
        <v>1.7</v>
      </c>
      <c r="H32" s="15">
        <f>(G32-'Defense Supercycle'!$B$13)*'Defense Supercycle'!$B$14</f>
        <v>-6.4000000000000001E-2</v>
      </c>
      <c r="I32" s="39">
        <f>Assumptions!F26+H32</f>
        <v>0.21600000000000003</v>
      </c>
      <c r="J32" s="1"/>
    </row>
    <row r="33" spans="1:10" ht="15" customHeight="1" x14ac:dyDescent="0.2">
      <c r="A33" s="53" t="s">
        <v>266</v>
      </c>
      <c r="B33" s="1"/>
      <c r="C33" s="1"/>
      <c r="D33" s="1"/>
      <c r="E33" s="1"/>
      <c r="F33" s="1"/>
      <c r="G33" s="54">
        <f>AVERAGE(G24:G32)</f>
        <v>3.5555555555555562</v>
      </c>
      <c r="H33" s="1"/>
      <c r="I33" s="1"/>
      <c r="J33" s="1"/>
    </row>
    <row r="34" spans="1:10" ht="1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5" customHeight="1" x14ac:dyDescent="0.2">
      <c r="A35" s="11" t="s">
        <v>267</v>
      </c>
      <c r="B35" s="1"/>
      <c r="C35" s="1"/>
      <c r="D35" s="1"/>
      <c r="E35" s="1"/>
      <c r="F35" s="1"/>
      <c r="G35" s="1"/>
      <c r="H35" s="1"/>
      <c r="I35" s="1"/>
      <c r="J35" s="1"/>
    </row>
    <row r="36" spans="1:10" ht="27.75" customHeight="1" x14ac:dyDescent="0.2">
      <c r="A36" s="100" t="s">
        <v>268</v>
      </c>
      <c r="B36" s="98"/>
      <c r="C36" s="98"/>
      <c r="D36" s="98"/>
      <c r="E36" s="98"/>
      <c r="F36" s="98"/>
      <c r="G36" s="98"/>
      <c r="H36" s="98"/>
      <c r="I36" s="98"/>
      <c r="J36" s="98"/>
    </row>
    <row r="37" spans="1:10" ht="40.5" customHeight="1" x14ac:dyDescent="0.2">
      <c r="A37" s="100" t="s">
        <v>269</v>
      </c>
      <c r="B37" s="98"/>
      <c r="C37" s="98"/>
      <c r="D37" s="98"/>
      <c r="E37" s="98"/>
      <c r="F37" s="98"/>
      <c r="G37" s="98"/>
      <c r="H37" s="98"/>
      <c r="I37" s="98"/>
      <c r="J37" s="98"/>
    </row>
    <row r="38" spans="1:10" ht="27.75" customHeight="1" x14ac:dyDescent="0.2">
      <c r="A38" s="100" t="s">
        <v>270</v>
      </c>
      <c r="B38" s="98"/>
      <c r="C38" s="98"/>
      <c r="D38" s="98"/>
      <c r="E38" s="98"/>
      <c r="F38" s="98"/>
      <c r="G38" s="98"/>
      <c r="H38" s="98"/>
      <c r="I38" s="98"/>
      <c r="J38" s="98"/>
    </row>
    <row r="39" spans="1:10" ht="27.75" customHeight="1" x14ac:dyDescent="0.2">
      <c r="A39" s="100" t="s">
        <v>271</v>
      </c>
      <c r="B39" s="98"/>
      <c r="C39" s="98"/>
      <c r="D39" s="98"/>
      <c r="E39" s="98"/>
      <c r="F39" s="98"/>
      <c r="G39" s="98"/>
      <c r="H39" s="98"/>
      <c r="I39" s="98"/>
      <c r="J39" s="98"/>
    </row>
    <row r="40" spans="1:10" ht="27.75" customHeight="1" x14ac:dyDescent="0.2">
      <c r="A40" s="100" t="s">
        <v>272</v>
      </c>
      <c r="B40" s="98"/>
      <c r="C40" s="98"/>
      <c r="D40" s="98"/>
      <c r="E40" s="98"/>
      <c r="F40" s="98"/>
      <c r="G40" s="98"/>
      <c r="H40" s="98"/>
      <c r="I40" s="98"/>
      <c r="J40" s="98"/>
    </row>
    <row r="41" spans="1:10" ht="1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5" customHeight="1" x14ac:dyDescent="0.2">
      <c r="A42" s="11" t="s">
        <v>273</v>
      </c>
      <c r="B42" s="1"/>
      <c r="C42" s="1"/>
      <c r="D42" s="1"/>
      <c r="E42" s="1"/>
      <c r="F42" s="1"/>
      <c r="G42" s="1"/>
      <c r="H42" s="1"/>
      <c r="I42" s="1"/>
      <c r="J42" s="1"/>
    </row>
    <row r="43" spans="1:10" ht="15" customHeight="1" x14ac:dyDescent="0.2">
      <c r="A43" s="12" t="s">
        <v>274</v>
      </c>
      <c r="B43" s="105" t="s">
        <v>275</v>
      </c>
      <c r="C43" s="104"/>
      <c r="D43" s="105" t="s">
        <v>276</v>
      </c>
      <c r="E43" s="103"/>
      <c r="F43" s="103"/>
      <c r="G43" s="103"/>
      <c r="H43" s="103"/>
      <c r="I43" s="103"/>
      <c r="J43" s="104"/>
    </row>
    <row r="44" spans="1:10" ht="40.5" customHeight="1" x14ac:dyDescent="0.2">
      <c r="A44" s="55" t="s">
        <v>277</v>
      </c>
      <c r="B44" s="102" t="s">
        <v>278</v>
      </c>
      <c r="C44" s="104"/>
      <c r="D44" s="102" t="s">
        <v>279</v>
      </c>
      <c r="E44" s="103"/>
      <c r="F44" s="103"/>
      <c r="G44" s="103"/>
      <c r="H44" s="103"/>
      <c r="I44" s="103"/>
      <c r="J44" s="104"/>
    </row>
    <row r="45" spans="1:10" ht="53.25" customHeight="1" x14ac:dyDescent="0.2">
      <c r="A45" s="55" t="s">
        <v>280</v>
      </c>
      <c r="B45" s="102" t="s">
        <v>281</v>
      </c>
      <c r="C45" s="104"/>
      <c r="D45" s="102" t="s">
        <v>282</v>
      </c>
      <c r="E45" s="103"/>
      <c r="F45" s="103"/>
      <c r="G45" s="103"/>
      <c r="H45" s="103"/>
      <c r="I45" s="103"/>
      <c r="J45" s="104"/>
    </row>
    <row r="46" spans="1:10" ht="40.5" customHeight="1" x14ac:dyDescent="0.2">
      <c r="A46" s="55" t="s">
        <v>283</v>
      </c>
      <c r="B46" s="102" t="s">
        <v>284</v>
      </c>
      <c r="C46" s="104"/>
      <c r="D46" s="102" t="s">
        <v>285</v>
      </c>
      <c r="E46" s="103"/>
      <c r="F46" s="103"/>
      <c r="G46" s="103"/>
      <c r="H46" s="103"/>
      <c r="I46" s="103"/>
      <c r="J46" s="104"/>
    </row>
    <row r="47" spans="1:10" ht="36.75" customHeight="1" x14ac:dyDescent="0.2">
      <c r="A47" s="101" t="s">
        <v>286</v>
      </c>
      <c r="B47" s="98"/>
      <c r="C47" s="98"/>
      <c r="D47" s="98"/>
      <c r="E47" s="98"/>
      <c r="F47" s="98"/>
      <c r="G47" s="98"/>
      <c r="H47" s="98"/>
      <c r="I47" s="98"/>
      <c r="J47" s="98"/>
    </row>
  </sheetData>
  <mergeCells count="14">
    <mergeCell ref="A47:J47"/>
    <mergeCell ref="D46:J46"/>
    <mergeCell ref="A37:J37"/>
    <mergeCell ref="B44:C44"/>
    <mergeCell ref="A36:J36"/>
    <mergeCell ref="A40:J40"/>
    <mergeCell ref="D44:J44"/>
    <mergeCell ref="D45:J45"/>
    <mergeCell ref="B45:C45"/>
    <mergeCell ref="A39:J39"/>
    <mergeCell ref="B46:C46"/>
    <mergeCell ref="A38:J38"/>
    <mergeCell ref="D43:J43"/>
    <mergeCell ref="B43:C43"/>
  </mergeCells>
  <printOptions horizontalCentered="1"/>
  <pageMargins left="0.4" right="0.4" top="1" bottom="1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4374"/>
    <pageSetUpPr fitToPage="1"/>
  </sheetPr>
  <dimension ref="A1:H14"/>
  <sheetViews>
    <sheetView showGridLines="0" zoomScaleNormal="100" workbookViewId="0"/>
  </sheetViews>
  <sheetFormatPr baseColWidth="10" defaultColWidth="8.6640625" defaultRowHeight="15" x14ac:dyDescent="0.2"/>
  <cols>
    <col min="1" max="1" width="22" customWidth="1"/>
    <col min="2" max="2" width="12" customWidth="1"/>
    <col min="3" max="3" width="11" customWidth="1"/>
    <col min="4" max="4" width="10" customWidth="1"/>
    <col min="5" max="5" width="16" customWidth="1"/>
    <col min="6" max="6" width="11" customWidth="1"/>
    <col min="7" max="7" width="17" customWidth="1"/>
    <col min="8" max="8" width="46" customWidth="1"/>
  </cols>
  <sheetData>
    <row r="1" spans="1:8" ht="18" customHeight="1" x14ac:dyDescent="0.2">
      <c r="A1" s="9" t="s">
        <v>287</v>
      </c>
      <c r="B1" s="1"/>
      <c r="C1" s="1"/>
      <c r="D1" s="1"/>
      <c r="E1" s="1"/>
      <c r="F1" s="1"/>
      <c r="G1" s="1"/>
      <c r="H1" s="1"/>
    </row>
    <row r="2" spans="1:8" ht="15" customHeight="1" x14ac:dyDescent="0.2">
      <c r="A2" s="10" t="s">
        <v>288</v>
      </c>
      <c r="B2" s="1"/>
      <c r="C2" s="1"/>
      <c r="D2" s="1"/>
      <c r="E2" s="1"/>
      <c r="F2" s="1"/>
      <c r="G2" s="1"/>
      <c r="H2" s="1"/>
    </row>
    <row r="3" spans="1:8" ht="15" customHeight="1" x14ac:dyDescent="0.2">
      <c r="A3" s="1"/>
      <c r="B3" s="1"/>
      <c r="C3" s="1"/>
      <c r="D3" s="1"/>
      <c r="E3" s="1"/>
      <c r="F3" s="1"/>
      <c r="G3" s="1"/>
      <c r="H3" s="1"/>
    </row>
    <row r="4" spans="1:8" ht="15" customHeight="1" x14ac:dyDescent="0.2">
      <c r="A4" s="12" t="s">
        <v>203</v>
      </c>
      <c r="B4" s="12" t="s">
        <v>205</v>
      </c>
      <c r="C4" s="12" t="s">
        <v>206</v>
      </c>
      <c r="D4" s="12" t="s">
        <v>289</v>
      </c>
      <c r="E4" s="12" t="s">
        <v>290</v>
      </c>
      <c r="F4" s="12" t="s">
        <v>207</v>
      </c>
      <c r="G4" s="12" t="s">
        <v>291</v>
      </c>
      <c r="H4" s="12" t="s">
        <v>292</v>
      </c>
    </row>
    <row r="5" spans="1:8" ht="27.75" customHeight="1" x14ac:dyDescent="0.2">
      <c r="A5" s="56" t="str">
        <f>Assumptions!A18</f>
        <v>Substrate (anchor)</v>
      </c>
      <c r="B5" s="57">
        <f>Assumptions!C18</f>
        <v>80</v>
      </c>
      <c r="C5" s="26">
        <f>Assumptions!D18</f>
        <v>7.6190476190476197E-2</v>
      </c>
      <c r="D5" s="15">
        <f>Assumptions!C18/Assumptions!$B$5</f>
        <v>0.32</v>
      </c>
      <c r="E5" s="58">
        <f>'Defense Supercycle'!G24</f>
        <v>4.8499999999999996</v>
      </c>
      <c r="F5" s="59" t="str">
        <f>Assumptions!E18</f>
        <v>Anchor / growth</v>
      </c>
      <c r="G5" s="16" t="s">
        <v>293</v>
      </c>
      <c r="H5" s="16" t="s">
        <v>294</v>
      </c>
    </row>
    <row r="6" spans="1:8" ht="40.5" customHeight="1" x14ac:dyDescent="0.2">
      <c r="A6" s="56" t="str">
        <f>Assumptions!A19</f>
        <v>EUV Tech</v>
      </c>
      <c r="B6" s="57">
        <f>Assumptions!C19</f>
        <v>30</v>
      </c>
      <c r="C6" s="26">
        <f>Assumptions!D19</f>
        <v>0.16666666666666666</v>
      </c>
      <c r="D6" s="15">
        <f>Assumptions!C19/Assumptions!$B$5</f>
        <v>0.12</v>
      </c>
      <c r="E6" s="58">
        <f>'Defense Supercycle'!G25</f>
        <v>4.5500000000000007</v>
      </c>
      <c r="F6" s="59" t="str">
        <f>Assumptions!E19</f>
        <v>Growth core</v>
      </c>
      <c r="G6" s="16" t="s">
        <v>295</v>
      </c>
      <c r="H6" s="16" t="s">
        <v>296</v>
      </c>
    </row>
    <row r="7" spans="1:8" ht="40.5" customHeight="1" x14ac:dyDescent="0.2">
      <c r="A7" s="56" t="str">
        <f>Assumptions!A20</f>
        <v>ThinTronics</v>
      </c>
      <c r="B7" s="57">
        <f>Assumptions!C20</f>
        <v>22.5</v>
      </c>
      <c r="C7" s="26">
        <f>Assumptions!D20</f>
        <v>0.1875</v>
      </c>
      <c r="D7" s="15">
        <f>Assumptions!C20/Assumptions!$B$5</f>
        <v>0.09</v>
      </c>
      <c r="E7" s="58">
        <f>'Defense Supercycle'!G26</f>
        <v>4.45</v>
      </c>
      <c r="F7" s="59" t="str">
        <f>Assumptions!E20</f>
        <v>Growth core</v>
      </c>
      <c r="G7" s="16" t="s">
        <v>295</v>
      </c>
      <c r="H7" s="16" t="s">
        <v>297</v>
      </c>
    </row>
    <row r="8" spans="1:8" ht="27.75" customHeight="1" x14ac:dyDescent="0.2">
      <c r="A8" s="56" t="str">
        <f>Assumptions!A21</f>
        <v>EdgeCortix</v>
      </c>
      <c r="B8" s="57">
        <f>Assumptions!C21</f>
        <v>30.5</v>
      </c>
      <c r="C8" s="26">
        <f>Assumptions!D21</f>
        <v>8.7142857142857147E-2</v>
      </c>
      <c r="D8" s="15">
        <f>Assumptions!C21/Assumptions!$B$5</f>
        <v>0.122</v>
      </c>
      <c r="E8" s="58">
        <f>'Defense Supercycle'!G27</f>
        <v>2.8</v>
      </c>
      <c r="F8" s="59" t="str">
        <f>Assumptions!E21</f>
        <v>Growth core</v>
      </c>
      <c r="G8" s="16" t="s">
        <v>298</v>
      </c>
      <c r="H8" s="16" t="s">
        <v>299</v>
      </c>
    </row>
    <row r="9" spans="1:8" ht="27.75" customHeight="1" x14ac:dyDescent="0.2">
      <c r="A9" s="56" t="str">
        <f>Assumptions!A22</f>
        <v>Syntiant</v>
      </c>
      <c r="B9" s="57">
        <f>Assumptions!C22</f>
        <v>31.5</v>
      </c>
      <c r="C9" s="26">
        <f>Assumptions!D22</f>
        <v>4.4999999999999998E-2</v>
      </c>
      <c r="D9" s="15">
        <f>Assumptions!C22/Assumptions!$B$5</f>
        <v>0.126</v>
      </c>
      <c r="E9" s="58">
        <f>'Defense Supercycle'!G28</f>
        <v>3.25</v>
      </c>
      <c r="F9" s="59" t="str">
        <f>Assumptions!E22</f>
        <v>Pre-IPO / liquid</v>
      </c>
      <c r="G9" s="16" t="s">
        <v>295</v>
      </c>
      <c r="H9" s="16" t="s">
        <v>300</v>
      </c>
    </row>
    <row r="10" spans="1:8" ht="27.75" customHeight="1" x14ac:dyDescent="0.2">
      <c r="A10" s="56" t="str">
        <f>Assumptions!A23</f>
        <v>Infleqtion</v>
      </c>
      <c r="B10" s="57">
        <f>Assumptions!C23</f>
        <v>25</v>
      </c>
      <c r="C10" s="26">
        <f>Assumptions!D23</f>
        <v>8.3333333333333332E-3</v>
      </c>
      <c r="D10" s="15">
        <f>Assumptions!C23/Assumptions!$B$5</f>
        <v>0.1</v>
      </c>
      <c r="E10" s="58">
        <f>'Defense Supercycle'!G29</f>
        <v>3.4000000000000004</v>
      </c>
      <c r="F10" s="59" t="str">
        <f>Assumptions!E23</f>
        <v>Public / liquid</v>
      </c>
      <c r="G10" s="16" t="s">
        <v>301</v>
      </c>
      <c r="H10" s="16" t="s">
        <v>302</v>
      </c>
    </row>
    <row r="11" spans="1:8" ht="27.75" customHeight="1" x14ac:dyDescent="0.2">
      <c r="A11" s="56" t="str">
        <f>Assumptions!A24</f>
        <v>Diraq</v>
      </c>
      <c r="B11" s="57">
        <f>Assumptions!C24</f>
        <v>14</v>
      </c>
      <c r="C11" s="26">
        <f>Assumptions!D24</f>
        <v>9.3333333333333338E-2</v>
      </c>
      <c r="D11" s="15">
        <f>Assumptions!C24/Assumptions!$B$5</f>
        <v>5.6000000000000001E-2</v>
      </c>
      <c r="E11" s="58">
        <f>'Defense Supercycle'!G30</f>
        <v>3.55</v>
      </c>
      <c r="F11" s="59" t="str">
        <f>Assumptions!E24</f>
        <v>Quantum venture</v>
      </c>
      <c r="G11" s="16" t="s">
        <v>303</v>
      </c>
      <c r="H11" s="16" t="s">
        <v>304</v>
      </c>
    </row>
    <row r="12" spans="1:8" ht="27.75" customHeight="1" x14ac:dyDescent="0.2">
      <c r="A12" s="56" t="str">
        <f>Assumptions!A25</f>
        <v>Mueon</v>
      </c>
      <c r="B12" s="57">
        <f>Assumptions!C25</f>
        <v>10</v>
      </c>
      <c r="C12" s="26">
        <f>Assumptions!D25</f>
        <v>0.15384615384615385</v>
      </c>
      <c r="D12" s="15">
        <f>Assumptions!C25/Assumptions!$B$5</f>
        <v>0.04</v>
      </c>
      <c r="E12" s="58">
        <f>'Defense Supercycle'!G31</f>
        <v>3.45</v>
      </c>
      <c r="F12" s="59" t="str">
        <f>Assumptions!E25</f>
        <v>Seed optionality</v>
      </c>
      <c r="G12" s="16" t="s">
        <v>305</v>
      </c>
      <c r="H12" s="16" t="s">
        <v>306</v>
      </c>
    </row>
    <row r="13" spans="1:8" ht="27.75" customHeight="1" x14ac:dyDescent="0.2">
      <c r="A13" s="56" t="str">
        <f>Assumptions!A26</f>
        <v>DefendEye</v>
      </c>
      <c r="B13" s="57">
        <f>Assumptions!C26</f>
        <v>6.5</v>
      </c>
      <c r="C13" s="26">
        <f>Assumptions!D26</f>
        <v>0.13</v>
      </c>
      <c r="D13" s="15">
        <f>Assumptions!C26/Assumptions!$B$5</f>
        <v>2.5999999999999999E-2</v>
      </c>
      <c r="E13" s="58">
        <f>'Defense Supercycle'!G32</f>
        <v>1.7</v>
      </c>
      <c r="F13" s="59" t="str">
        <f>Assumptions!E26</f>
        <v>Seed optionality</v>
      </c>
      <c r="G13" s="16" t="s">
        <v>307</v>
      </c>
      <c r="H13" s="16" t="s">
        <v>308</v>
      </c>
    </row>
    <row r="14" spans="1:8" ht="15" customHeight="1" x14ac:dyDescent="0.2">
      <c r="A14" s="18" t="s">
        <v>309</v>
      </c>
      <c r="B14" s="49">
        <f>SUM(B5:B13)</f>
        <v>250</v>
      </c>
      <c r="C14" s="1"/>
      <c r="D14" s="60">
        <f>SUM(D5:D13)</f>
        <v>1</v>
      </c>
      <c r="E14" s="1"/>
      <c r="F14" s="1"/>
      <c r="G14" s="1"/>
      <c r="H14" s="1"/>
    </row>
  </sheetData>
  <printOptions horizontalCentered="1"/>
  <pageMargins left="0.4" right="0.4" top="1" bottom="1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4374"/>
    <pageSetUpPr fitToPage="1"/>
  </sheetPr>
  <dimension ref="A1:N43"/>
  <sheetViews>
    <sheetView showGridLines="0" zoomScaleNormal="100" workbookViewId="0"/>
  </sheetViews>
  <sheetFormatPr baseColWidth="10" defaultColWidth="8.6640625" defaultRowHeight="15" x14ac:dyDescent="0.2"/>
  <cols>
    <col min="1" max="1" width="22" customWidth="1"/>
    <col min="2" max="2" width="10" customWidth="1"/>
    <col min="3" max="14" width="11" customWidth="1"/>
  </cols>
  <sheetData>
    <row r="1" spans="1:14" ht="18" customHeight="1" x14ac:dyDescent="0.2">
      <c r="A1" s="9" t="s">
        <v>310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" customHeight="1" x14ac:dyDescent="0.2">
      <c r="A2" s="10" t="s">
        <v>311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5" customHeight="1" x14ac:dyDescent="0.2">
      <c r="A4" s="28" t="s">
        <v>312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27.75" customHeight="1" x14ac:dyDescent="0.2">
      <c r="A5" s="12" t="s">
        <v>203</v>
      </c>
      <c r="B5" s="12" t="s">
        <v>205</v>
      </c>
      <c r="C5" s="12" t="s">
        <v>313</v>
      </c>
      <c r="D5" s="12" t="s">
        <v>314</v>
      </c>
      <c r="E5" s="12" t="s">
        <v>315</v>
      </c>
      <c r="F5" s="12" t="s">
        <v>316</v>
      </c>
      <c r="G5" s="12" t="s">
        <v>317</v>
      </c>
      <c r="H5" s="12" t="s">
        <v>318</v>
      </c>
      <c r="I5" s="12" t="s">
        <v>319</v>
      </c>
      <c r="J5" s="12" t="s">
        <v>320</v>
      </c>
      <c r="K5" s="12" t="s">
        <v>321</v>
      </c>
      <c r="L5" s="21" t="s">
        <v>322</v>
      </c>
      <c r="M5" s="21" t="s">
        <v>323</v>
      </c>
      <c r="N5" s="21" t="s">
        <v>324</v>
      </c>
    </row>
    <row r="6" spans="1:14" ht="15" customHeight="1" x14ac:dyDescent="0.2">
      <c r="A6" s="56" t="str">
        <f>Assumptions!A18</f>
        <v>Substrate (anchor)</v>
      </c>
      <c r="B6" s="57">
        <f>Assumptions!C18</f>
        <v>80</v>
      </c>
      <c r="C6" s="61">
        <f>Assumptions!C18*(1+Assumptions!F18)^5*Assumptions!$B$11</f>
        <v>183.78415509759998</v>
      </c>
      <c r="D6" s="36">
        <f t="shared" ref="D6:D15" si="0">C6/B6</f>
        <v>2.2973019387199995</v>
      </c>
      <c r="E6" s="15">
        <f t="shared" ref="E6:E15" si="1">(C6/B6)^(1/5)-1</f>
        <v>0.18098291770302732</v>
      </c>
      <c r="F6" s="61">
        <f>Assumptions!C18*(1+Assumptions!G18)^5*Assumptions!$B$11</f>
        <v>293.78722328320015</v>
      </c>
      <c r="G6" s="36">
        <f t="shared" ref="G6:G15" si="2">F6/B6</f>
        <v>3.672340291040002</v>
      </c>
      <c r="H6" s="15">
        <f t="shared" ref="H6:H15" si="3">(F6/B6)^(1/5)-1</f>
        <v>0.29714517190332512</v>
      </c>
      <c r="I6" s="61">
        <f>Assumptions!C18*(1+Assumptions!H18)^5*Assumptions!$B$11</f>
        <v>25.210309337600009</v>
      </c>
      <c r="J6" s="36">
        <f t="shared" ref="J6:J15" si="4">I6/B6</f>
        <v>0.31512886672000012</v>
      </c>
      <c r="K6" s="15">
        <f t="shared" ref="K6:K15" si="5">(I6/B6)^(1/5)-1</f>
        <v>-0.20622459629796519</v>
      </c>
      <c r="L6" s="62">
        <f>Assumptions!C18*(1+Assumptions!I18)^5*Assumptions!$B$11</f>
        <v>376.28957522552412</v>
      </c>
      <c r="M6" s="37">
        <f t="shared" ref="M6:M15" si="6">L6/B6</f>
        <v>4.7036196903190515</v>
      </c>
      <c r="N6" s="39">
        <f t="shared" ref="N6:N15" si="7">(L6/B6)^(1/5)-1</f>
        <v>0.36297044928349376</v>
      </c>
    </row>
    <row r="7" spans="1:14" ht="15" customHeight="1" x14ac:dyDescent="0.2">
      <c r="A7" s="56" t="str">
        <f>Assumptions!A19</f>
        <v>EUV Tech</v>
      </c>
      <c r="B7" s="57">
        <f>Assumptions!C19</f>
        <v>30</v>
      </c>
      <c r="C7" s="61">
        <f>Assumptions!C19*(1+Assumptions!F19)^5*Assumptions!$B$11</f>
        <v>49.098071851200025</v>
      </c>
      <c r="D7" s="36">
        <f t="shared" si="0"/>
        <v>1.6366023950400008</v>
      </c>
      <c r="E7" s="15">
        <f t="shared" si="1"/>
        <v>0.10354141490282887</v>
      </c>
      <c r="F7" s="61">
        <f>Assumptions!C19*(1+Assumptions!G19)^5*Assumptions!$B$11</f>
        <v>80.982821908800005</v>
      </c>
      <c r="G7" s="36">
        <f t="shared" si="2"/>
        <v>2.69942739696</v>
      </c>
      <c r="H7" s="15">
        <f t="shared" si="3"/>
        <v>0.21970366910312644</v>
      </c>
      <c r="I7" s="61">
        <f>Assumptions!C19*(1+Assumptions!H19)^5*Assumptions!$B$11</f>
        <v>29.561488894649994</v>
      </c>
      <c r="J7" s="36">
        <f t="shared" si="4"/>
        <v>0.98538296315499985</v>
      </c>
      <c r="K7" s="15">
        <f t="shared" si="5"/>
        <v>-2.9406514474442647E-3</v>
      </c>
      <c r="L7" s="62">
        <f>Assumptions!C19*(1+Assumptions!I19)^5*Assumptions!$B$11</f>
        <v>96.145317383258131</v>
      </c>
      <c r="M7" s="37">
        <f t="shared" si="6"/>
        <v>3.2048439127752713</v>
      </c>
      <c r="N7" s="39">
        <f t="shared" si="7"/>
        <v>0.26229649564323587</v>
      </c>
    </row>
    <row r="8" spans="1:14" ht="15" customHeight="1" x14ac:dyDescent="0.2">
      <c r="A8" s="56" t="str">
        <f>Assumptions!A20</f>
        <v>ThinTronics</v>
      </c>
      <c r="B8" s="57">
        <f>Assumptions!C20</f>
        <v>22.5</v>
      </c>
      <c r="C8" s="61">
        <f>Assumptions!C20*(1+Assumptions!F20)^5*Assumptions!$B$11</f>
        <v>60.737116431600008</v>
      </c>
      <c r="D8" s="36">
        <f t="shared" si="0"/>
        <v>2.6994273969600004</v>
      </c>
      <c r="E8" s="15">
        <f t="shared" si="1"/>
        <v>0.21970366910312644</v>
      </c>
      <c r="F8" s="61">
        <f>Assumptions!C20*(1+Assumptions!G20)^5*Assumptions!$B$11</f>
        <v>95.718718558799964</v>
      </c>
      <c r="G8" s="36">
        <f t="shared" si="2"/>
        <v>4.2541652692799987</v>
      </c>
      <c r="H8" s="15">
        <f t="shared" si="3"/>
        <v>0.33586592330342424</v>
      </c>
      <c r="I8" s="61">
        <f>Assumptions!C20*(1+Assumptions!H20)^5*Assumptions!$B$11</f>
        <v>11.293121250000002</v>
      </c>
      <c r="J8" s="36">
        <f t="shared" si="4"/>
        <v>0.5019165000000001</v>
      </c>
      <c r="K8" s="15">
        <f t="shared" si="5"/>
        <v>-0.12878309349776673</v>
      </c>
      <c r="L8" s="62">
        <f>Assumptions!C20*(1+Assumptions!I20)^5*Assumptions!$B$11</f>
        <v>108.87237841928598</v>
      </c>
      <c r="M8" s="37">
        <f t="shared" si="6"/>
        <v>4.838772374190488</v>
      </c>
      <c r="N8" s="39">
        <f t="shared" si="7"/>
        <v>0.37071459956351349</v>
      </c>
    </row>
    <row r="9" spans="1:14" ht="15" customHeight="1" x14ac:dyDescent="0.2">
      <c r="A9" s="56" t="str">
        <f>Assumptions!A21</f>
        <v>EdgeCortix</v>
      </c>
      <c r="B9" s="57">
        <f>Assumptions!C21</f>
        <v>30.5</v>
      </c>
      <c r="C9" s="61">
        <f>Assumptions!C21*(1+Assumptions!F21)^5*Assumptions!$B$11</f>
        <v>76.002379742719995</v>
      </c>
      <c r="D9" s="36">
        <f t="shared" si="0"/>
        <v>2.49188130304</v>
      </c>
      <c r="E9" s="15">
        <f t="shared" si="1"/>
        <v>0.20034329340307688</v>
      </c>
      <c r="F9" s="61">
        <f>Assumptions!C21*(1+Assumptions!G21)^5*Assumptions!$B$11</f>
        <v>120.61832880127994</v>
      </c>
      <c r="G9" s="36">
        <f t="shared" si="2"/>
        <v>3.9546993049599983</v>
      </c>
      <c r="H9" s="15">
        <f t="shared" si="3"/>
        <v>0.31650554760337446</v>
      </c>
      <c r="I9" s="61">
        <f>Assumptions!C21*(1+Assumptions!H21)^5*Assumptions!$B$11</f>
        <v>17.08668848896</v>
      </c>
      <c r="J9" s="36">
        <f t="shared" si="4"/>
        <v>0.56021929471999998</v>
      </c>
      <c r="K9" s="15">
        <f t="shared" si="5"/>
        <v>-0.10942271779771717</v>
      </c>
      <c r="L9" s="62">
        <f>Assumptions!C21*(1+Assumptions!I21)^5*Assumptions!$B$11</f>
        <v>83.647725194785579</v>
      </c>
      <c r="M9" s="37">
        <f t="shared" si="6"/>
        <v>2.7425483670421502</v>
      </c>
      <c r="N9" s="39">
        <f t="shared" si="7"/>
        <v>0.22357574424313631</v>
      </c>
    </row>
    <row r="10" spans="1:14" ht="15" customHeight="1" x14ac:dyDescent="0.2">
      <c r="A10" s="56" t="str">
        <f>Assumptions!A22</f>
        <v>Syntiant</v>
      </c>
      <c r="B10" s="57">
        <f>Assumptions!C22</f>
        <v>31.5</v>
      </c>
      <c r="C10" s="61">
        <f>Assumptions!C22*(1+Assumptions!F22)^5*Assumptions!$B$11</f>
        <v>56.236647882239978</v>
      </c>
      <c r="D10" s="36">
        <f t="shared" si="0"/>
        <v>1.7852904089599992</v>
      </c>
      <c r="E10" s="15">
        <f t="shared" si="1"/>
        <v>0.1229017906028782</v>
      </c>
      <c r="F10" s="61">
        <f>Assumptions!C22*(1+Assumptions!G22)^5*Assumptions!$B$11</f>
        <v>91.998199480319997</v>
      </c>
      <c r="G10" s="36">
        <f t="shared" si="2"/>
        <v>2.9205777612799997</v>
      </c>
      <c r="H10" s="15">
        <f t="shared" si="3"/>
        <v>0.239064044803176</v>
      </c>
      <c r="I10" s="61">
        <f>Assumptions!C22*(1+Assumptions!H22)^5*Assumptions!$B$11</f>
        <v>24.202479334319992</v>
      </c>
      <c r="J10" s="36">
        <f t="shared" si="4"/>
        <v>0.76833267727999977</v>
      </c>
      <c r="K10" s="15">
        <f t="shared" si="5"/>
        <v>-5.1341590697568273E-2</v>
      </c>
      <c r="L10" s="62">
        <f>Assumptions!C22*(1+Assumptions!I22)^5*Assumptions!$B$11</f>
        <v>72.365011069679994</v>
      </c>
      <c r="M10" s="37">
        <f t="shared" si="6"/>
        <v>2.29730193872</v>
      </c>
      <c r="N10" s="39">
        <f t="shared" si="7"/>
        <v>0.18098291770302732</v>
      </c>
    </row>
    <row r="11" spans="1:14" ht="15" customHeight="1" x14ac:dyDescent="0.2">
      <c r="A11" s="56" t="str">
        <f>Assumptions!A23</f>
        <v>Infleqtion</v>
      </c>
      <c r="B11" s="57">
        <f>Assumptions!C23</f>
        <v>25</v>
      </c>
      <c r="C11" s="61">
        <f>Assumptions!C23*(1+Assumptions!F23)^5*Assumptions!$B$11</f>
        <v>42.741340234374988</v>
      </c>
      <c r="D11" s="36">
        <f t="shared" si="0"/>
        <v>1.7096536093749994</v>
      </c>
      <c r="E11" s="15">
        <f t="shared" si="1"/>
        <v>0.11322160275285342</v>
      </c>
      <c r="F11" s="61">
        <f>Assumptions!C23*(1+Assumptions!G23)^5*Assumptions!$B$11</f>
        <v>70.206534989874996</v>
      </c>
      <c r="G11" s="36">
        <f t="shared" si="2"/>
        <v>2.8082613995949997</v>
      </c>
      <c r="H11" s="15">
        <f t="shared" si="3"/>
        <v>0.22938385695315122</v>
      </c>
      <c r="I11" s="61">
        <f>Assumptions!C23*(1+Assumptions!H23)^5*Assumptions!$B$11</f>
        <v>12.547912500000004</v>
      </c>
      <c r="J11" s="36">
        <f t="shared" si="4"/>
        <v>0.50191650000000021</v>
      </c>
      <c r="K11" s="15">
        <f t="shared" si="5"/>
        <v>-0.12878309349776673</v>
      </c>
      <c r="L11" s="62">
        <f>Assumptions!C23*(1+Assumptions!I23)^5*Assumptions!$B$11</f>
        <v>57.904853065154668</v>
      </c>
      <c r="M11" s="37">
        <f t="shared" si="6"/>
        <v>2.3161941226061868</v>
      </c>
      <c r="N11" s="39">
        <f t="shared" si="7"/>
        <v>0.18291895527303215</v>
      </c>
    </row>
    <row r="12" spans="1:14" ht="15" customHeight="1" x14ac:dyDescent="0.2">
      <c r="A12" s="56" t="str">
        <f>Assumptions!A24</f>
        <v>Diraq</v>
      </c>
      <c r="B12" s="57">
        <f>Assumptions!C24</f>
        <v>14</v>
      </c>
      <c r="C12" s="61">
        <f>Assumptions!C24*(1+Assumptions!F24)^5*Assumptions!$B$11</f>
        <v>44.183867000000014</v>
      </c>
      <c r="D12" s="36">
        <f t="shared" si="0"/>
        <v>3.155990500000001</v>
      </c>
      <c r="E12" s="15">
        <f t="shared" si="1"/>
        <v>0.25842442050322578</v>
      </c>
      <c r="F12" s="61">
        <f>Assumptions!C24*(1+Assumptions!G24)^5*Assumptions!$B$11</f>
        <v>68.705053686079978</v>
      </c>
      <c r="G12" s="36">
        <f t="shared" si="2"/>
        <v>4.9075038347199982</v>
      </c>
      <c r="H12" s="15">
        <f t="shared" si="3"/>
        <v>0.37458667470352336</v>
      </c>
      <c r="I12" s="61">
        <f>Assumptions!C24*(1+Assumptions!H24)^5*Assumptions!$B$11</f>
        <v>3.4357374979200008</v>
      </c>
      <c r="J12" s="36">
        <f t="shared" si="4"/>
        <v>0.24540982128000005</v>
      </c>
      <c r="K12" s="15">
        <f t="shared" si="5"/>
        <v>-0.24494534769806453</v>
      </c>
      <c r="L12" s="62">
        <f>Assumptions!C24*(1+Assumptions!I24)^5*Assumptions!$B$11</f>
        <v>60.426496111630733</v>
      </c>
      <c r="M12" s="37">
        <f t="shared" si="6"/>
        <v>4.3161782936879094</v>
      </c>
      <c r="N12" s="39">
        <f t="shared" si="7"/>
        <v>0.33973799844343411</v>
      </c>
    </row>
    <row r="13" spans="1:14" ht="15" customHeight="1" x14ac:dyDescent="0.2">
      <c r="A13" s="56" t="str">
        <f>Assumptions!A25</f>
        <v>Mueon</v>
      </c>
      <c r="B13" s="57">
        <f>Assumptions!C25</f>
        <v>10</v>
      </c>
      <c r="C13" s="61">
        <f>Assumptions!C25*(1+Assumptions!F25)^5*Assumptions!$B$11</f>
        <v>34.063446067200012</v>
      </c>
      <c r="D13" s="36">
        <f t="shared" si="0"/>
        <v>3.4063446067200012</v>
      </c>
      <c r="E13" s="15">
        <f t="shared" si="1"/>
        <v>0.27778479620327556</v>
      </c>
      <c r="F13" s="61">
        <f>Assumptions!C25*(1+Assumptions!G25)^5*Assumptions!$B$11</f>
        <v>52.629759590399992</v>
      </c>
      <c r="G13" s="36">
        <f t="shared" si="2"/>
        <v>5.2629759590399994</v>
      </c>
      <c r="H13" s="15">
        <f t="shared" si="3"/>
        <v>0.39394705040357314</v>
      </c>
      <c r="I13" s="61">
        <f>Assumptions!C25*(1+Assumptions!H25)^5*Assumptions!$B$11</f>
        <v>1.6446799871999997</v>
      </c>
      <c r="J13" s="36">
        <f t="shared" si="4"/>
        <v>0.16446799871999998</v>
      </c>
      <c r="K13" s="15">
        <f t="shared" si="5"/>
        <v>-0.30302647479821343</v>
      </c>
      <c r="L13" s="62">
        <f>Assumptions!C25*(1+Assumptions!I25)^5*Assumptions!$B$11</f>
        <v>45.065689192823278</v>
      </c>
      <c r="M13" s="37">
        <f t="shared" si="6"/>
        <v>4.5065689192823282</v>
      </c>
      <c r="N13" s="39">
        <f t="shared" si="7"/>
        <v>0.35135422386346393</v>
      </c>
    </row>
    <row r="14" spans="1:14" ht="15" customHeight="1" x14ac:dyDescent="0.2">
      <c r="A14" s="56" t="str">
        <f>Assumptions!A26</f>
        <v>DefendEye</v>
      </c>
      <c r="B14" s="57">
        <f>Assumptions!C26</f>
        <v>6.5</v>
      </c>
      <c r="C14" s="61">
        <f>Assumptions!C26*(1+Assumptions!F26)^5*Assumptions!$B$11</f>
        <v>18.98375544832</v>
      </c>
      <c r="D14" s="36">
        <f t="shared" si="0"/>
        <v>2.9205777612800001</v>
      </c>
      <c r="E14" s="15">
        <f t="shared" si="1"/>
        <v>0.23906404480317622</v>
      </c>
      <c r="F14" s="61">
        <f>Assumptions!C26*(1+Assumptions!G26)^5*Assumptions!$B$11</f>
        <v>29.714775999999993</v>
      </c>
      <c r="G14" s="36">
        <f t="shared" si="2"/>
        <v>4.5715039999999991</v>
      </c>
      <c r="H14" s="15">
        <f t="shared" si="3"/>
        <v>0.35522629900347402</v>
      </c>
      <c r="I14" s="61">
        <f>Assumptions!C26*(1+Assumptions!H26)^5*Assumptions!$B$11</f>
        <v>1.3111083984375</v>
      </c>
      <c r="J14" s="36">
        <f t="shared" si="4"/>
        <v>0.20170898437500001</v>
      </c>
      <c r="K14" s="15">
        <f t="shared" si="5"/>
        <v>-0.27398591124813898</v>
      </c>
      <c r="L14" s="62">
        <f>Assumptions!C26*(1+Assumptions!I26)^5*Assumptions!$B$11</f>
        <v>14.689268088071781</v>
      </c>
      <c r="M14" s="37">
        <f t="shared" si="6"/>
        <v>2.2598873981648895</v>
      </c>
      <c r="N14" s="39">
        <f t="shared" si="7"/>
        <v>0.17711084256301723</v>
      </c>
    </row>
    <row r="15" spans="1:14" ht="15" customHeight="1" x14ac:dyDescent="0.2">
      <c r="A15" s="53" t="s">
        <v>325</v>
      </c>
      <c r="B15" s="63">
        <f>SUM(B6:B14)</f>
        <v>250</v>
      </c>
      <c r="C15" s="63">
        <f>SUM(C6:C14)</f>
        <v>565.83077975525509</v>
      </c>
      <c r="D15" s="64">
        <f t="shared" si="0"/>
        <v>2.2633231190210203</v>
      </c>
      <c r="E15" s="65">
        <f t="shared" si="1"/>
        <v>0.17746853889181335</v>
      </c>
      <c r="F15" s="63">
        <f>SUM(F6:F14)</f>
        <v>904.36141629875499</v>
      </c>
      <c r="G15" s="64">
        <f t="shared" si="2"/>
        <v>3.61744566519502</v>
      </c>
      <c r="H15" s="65">
        <f t="shared" si="3"/>
        <v>0.29324379497958408</v>
      </c>
      <c r="I15" s="63">
        <f>SUM(I6:I14)</f>
        <v>126.2935256890875</v>
      </c>
      <c r="J15" s="64">
        <f t="shared" si="4"/>
        <v>0.50517410275635</v>
      </c>
      <c r="K15" s="65">
        <f t="shared" si="5"/>
        <v>-0.1276551213612328</v>
      </c>
      <c r="L15" s="66">
        <f>SUM(L6:L14)</f>
        <v>915.40631375021439</v>
      </c>
      <c r="M15" s="67">
        <f t="shared" si="6"/>
        <v>3.6616252550008577</v>
      </c>
      <c r="N15" s="68">
        <f t="shared" si="7"/>
        <v>0.29638733323967204</v>
      </c>
    </row>
    <row r="16" spans="1:14" ht="1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5" customHeight="1" x14ac:dyDescent="0.2">
      <c r="A18" s="28" t="s">
        <v>326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27.75" customHeight="1" x14ac:dyDescent="0.2">
      <c r="A19" s="12" t="s">
        <v>203</v>
      </c>
      <c r="B19" s="12" t="s">
        <v>205</v>
      </c>
      <c r="C19" s="12" t="s">
        <v>313</v>
      </c>
      <c r="D19" s="12" t="s">
        <v>314</v>
      </c>
      <c r="E19" s="12" t="s">
        <v>315</v>
      </c>
      <c r="F19" s="12" t="s">
        <v>316</v>
      </c>
      <c r="G19" s="12" t="s">
        <v>317</v>
      </c>
      <c r="H19" s="12" t="s">
        <v>318</v>
      </c>
      <c r="I19" s="12" t="s">
        <v>319</v>
      </c>
      <c r="J19" s="12" t="s">
        <v>320</v>
      </c>
      <c r="K19" s="12" t="s">
        <v>321</v>
      </c>
      <c r="L19" s="21" t="s">
        <v>322</v>
      </c>
      <c r="M19" s="21" t="s">
        <v>323</v>
      </c>
      <c r="N19" s="21" t="s">
        <v>324</v>
      </c>
    </row>
    <row r="20" spans="1:14" ht="15" customHeight="1" x14ac:dyDescent="0.2">
      <c r="A20" s="56" t="str">
        <f>Assumptions!A18</f>
        <v>Substrate (anchor)</v>
      </c>
      <c r="B20" s="57">
        <f>Assumptions!C18</f>
        <v>80</v>
      </c>
      <c r="C20" s="61">
        <f>Assumptions!C18*(1+Assumptions!F18)^7*Assumptions!$B$12</f>
        <v>251.01715579866931</v>
      </c>
      <c r="D20" s="36">
        <f t="shared" ref="D20:D29" si="8">C20/B20</f>
        <v>3.1377144474833663</v>
      </c>
      <c r="E20" s="15">
        <f t="shared" ref="E20:E29" si="9">(C20/B20)^(1/7)-1</f>
        <v>0.17745623541907873</v>
      </c>
      <c r="F20" s="61">
        <f>Assumptions!C18*(1+Assumptions!G18)^7*Assumptions!$B$12</f>
        <v>484.08115734035897</v>
      </c>
      <c r="G20" s="36">
        <f t="shared" ref="G20:G29" si="10">F20/B20</f>
        <v>6.051014466754487</v>
      </c>
      <c r="H20" s="15">
        <f t="shared" ref="H20:H29" si="11">(F20/B20)^(1/7)-1</f>
        <v>0.29327160283734877</v>
      </c>
      <c r="I20" s="61">
        <f>Assumptions!C18*(1+Assumptions!H18)^7*Assumptions!$B$12</f>
        <v>15.555413363423238</v>
      </c>
      <c r="J20" s="36">
        <f t="shared" ref="J20:J29" si="12">I20/B20</f>
        <v>0.19444266704279048</v>
      </c>
      <c r="K20" s="15">
        <f t="shared" ref="K20:K29" si="13">(I20/B20)^(1/7)-1</f>
        <v>-0.20859498930848808</v>
      </c>
      <c r="L20" s="62">
        <f>Assumptions!C18*(1+Assumptions!I18)^7*Assumptions!$B$12</f>
        <v>684.54684522201978</v>
      </c>
      <c r="M20" s="37">
        <f t="shared" ref="M20:M29" si="14">L20/B20</f>
        <v>8.5568355652752466</v>
      </c>
      <c r="N20" s="39">
        <f t="shared" ref="N20:N29" si="15">(L20/B20)^(1/7)-1</f>
        <v>0.35890031104103493</v>
      </c>
    </row>
    <row r="21" spans="1:14" ht="15" customHeight="1" x14ac:dyDescent="0.2">
      <c r="A21" s="56" t="str">
        <f>Assumptions!A19</f>
        <v>EUV Tech</v>
      </c>
      <c r="B21" s="57">
        <f>Assumptions!C19</f>
        <v>30</v>
      </c>
      <c r="C21" s="61">
        <f>Assumptions!C19*(1+Assumptions!F19)^7*Assumptions!$B$12</f>
        <v>58.55308971611678</v>
      </c>
      <c r="D21" s="36">
        <f t="shared" si="8"/>
        <v>1.9517696572038927</v>
      </c>
      <c r="E21" s="15">
        <f t="shared" si="9"/>
        <v>0.10024599047356553</v>
      </c>
      <c r="F21" s="61">
        <f>Assumptions!C19*(1+Assumptions!G19)^7*Assumptions!$B$12</f>
        <v>117.98034810433002</v>
      </c>
      <c r="G21" s="36">
        <f t="shared" si="10"/>
        <v>3.9326782701443341</v>
      </c>
      <c r="H21" s="15">
        <f t="shared" si="11"/>
        <v>0.21606135789183534</v>
      </c>
      <c r="I21" s="61">
        <f>Assumptions!C19*(1+Assumptions!H19)^7*Assumptions!$B$12</f>
        <v>28.779048450941957</v>
      </c>
      <c r="J21" s="36">
        <f t="shared" si="12"/>
        <v>0.95930161503139855</v>
      </c>
      <c r="K21" s="15">
        <f t="shared" si="13"/>
        <v>-5.9180963265155206E-3</v>
      </c>
      <c r="L21" s="62">
        <f>Assumptions!C19*(1+Assumptions!I19)^7*Assumptions!$B$12</f>
        <v>150.02339774445272</v>
      </c>
      <c r="M21" s="37">
        <f t="shared" si="14"/>
        <v>5.0007799248150908</v>
      </c>
      <c r="N21" s="39">
        <f t="shared" si="15"/>
        <v>0.25852699261186762</v>
      </c>
    </row>
    <row r="22" spans="1:14" ht="15" customHeight="1" x14ac:dyDescent="0.2">
      <c r="A22" s="56" t="str">
        <f>Assumptions!A20</f>
        <v>ThinTronics</v>
      </c>
      <c r="B22" s="57">
        <f>Assumptions!C20</f>
        <v>22.5</v>
      </c>
      <c r="C22" s="61">
        <f>Assumptions!C20*(1+Assumptions!F20)^7*Assumptions!$B$12</f>
        <v>88.485261078247504</v>
      </c>
      <c r="D22" s="36">
        <f t="shared" si="8"/>
        <v>3.9326782701443337</v>
      </c>
      <c r="E22" s="15">
        <f t="shared" si="9"/>
        <v>0.21606135789183534</v>
      </c>
      <c r="F22" s="61">
        <f>Assumptions!C20*(1+Assumptions!G20)^7*Assumptions!$B$12</f>
        <v>167.27487946615923</v>
      </c>
      <c r="G22" s="36">
        <f t="shared" si="10"/>
        <v>7.4344390873848551</v>
      </c>
      <c r="H22" s="15">
        <f t="shared" si="11"/>
        <v>0.33187672531010537</v>
      </c>
      <c r="I22" s="61">
        <f>Assumptions!C20*(1+Assumptions!H20)^7*Assumptions!$B$12</f>
        <v>8.3941105950000026</v>
      </c>
      <c r="J22" s="36">
        <f t="shared" si="12"/>
        <v>0.37307158200000012</v>
      </c>
      <c r="K22" s="15">
        <f t="shared" si="13"/>
        <v>-0.13138474436297465</v>
      </c>
      <c r="L22" s="62">
        <f>Assumptions!C20*(1+Assumptions!I20)^7*Assumptions!$B$12</f>
        <v>200.3179625357773</v>
      </c>
      <c r="M22" s="37">
        <f t="shared" si="14"/>
        <v>8.9030205571456573</v>
      </c>
      <c r="N22" s="39">
        <f t="shared" si="15"/>
        <v>0.36662133553558629</v>
      </c>
    </row>
    <row r="23" spans="1:14" ht="15" customHeight="1" x14ac:dyDescent="0.2">
      <c r="A23" s="56" t="str">
        <f>Assumptions!A21</f>
        <v>EdgeCortix</v>
      </c>
      <c r="B23" s="57">
        <f>Assumptions!C21</f>
        <v>30.5</v>
      </c>
      <c r="C23" s="61">
        <f>Assumptions!C21*(1+Assumptions!F21)^7*Assumptions!$B$12</f>
        <v>107.23739069656106</v>
      </c>
      <c r="D23" s="36">
        <f t="shared" si="8"/>
        <v>3.5159800228380678</v>
      </c>
      <c r="E23" s="15">
        <f t="shared" si="9"/>
        <v>0.19675879665545692</v>
      </c>
      <c r="F23" s="61">
        <f>Assumptions!C21*(1+Assumptions!G21)^7*Assumptions!$B$12</f>
        <v>204.72307710783639</v>
      </c>
      <c r="G23" s="36">
        <f t="shared" si="10"/>
        <v>6.7122320363225043</v>
      </c>
      <c r="H23" s="15">
        <f t="shared" si="11"/>
        <v>0.31257416407372696</v>
      </c>
      <c r="I23" s="61">
        <f>Assumptions!C21*(1+Assumptions!H21)^7*Assumptions!$B$12</f>
        <v>13.271170643415863</v>
      </c>
      <c r="J23" s="36">
        <f t="shared" si="12"/>
        <v>0.43512034896445451</v>
      </c>
      <c r="K23" s="15">
        <f t="shared" si="13"/>
        <v>-0.11208218312659635</v>
      </c>
      <c r="L23" s="62">
        <f>Assumptions!C21*(1+Assumptions!I21)^7*Assumptions!$B$12</f>
        <v>122.63768946257692</v>
      </c>
      <c r="M23" s="37">
        <f t="shared" si="14"/>
        <v>4.02090785123203</v>
      </c>
      <c r="N23" s="39">
        <f t="shared" si="15"/>
        <v>0.21992187013911102</v>
      </c>
    </row>
    <row r="24" spans="1:14" ht="15" customHeight="1" x14ac:dyDescent="0.2">
      <c r="A24" s="56" t="str">
        <f>Assumptions!A22</f>
        <v>Syntiant</v>
      </c>
      <c r="B24" s="57">
        <f>Assumptions!C22</f>
        <v>31.5</v>
      </c>
      <c r="C24" s="61">
        <f>Assumptions!C22*(1+Assumptions!F22)^7*Assumptions!$B$12</f>
        <v>69.440218875843371</v>
      </c>
      <c r="D24" s="36">
        <f t="shared" si="8"/>
        <v>2.2044513928839167</v>
      </c>
      <c r="E24" s="15">
        <f t="shared" si="9"/>
        <v>0.11954855170994372</v>
      </c>
      <c r="F24" s="61">
        <f>Assumptions!C22*(1+Assumptions!G22)^7*Assumptions!$B$12</f>
        <v>138.31680355561639</v>
      </c>
      <c r="G24" s="36">
        <f t="shared" si="10"/>
        <v>4.3910096366862348</v>
      </c>
      <c r="H24" s="15">
        <f t="shared" si="11"/>
        <v>0.23536391912821375</v>
      </c>
      <c r="I24" s="61">
        <f>Assumptions!C22*(1+Assumptions!H22)^7*Assumptions!$B$12</f>
        <v>21.329844351871905</v>
      </c>
      <c r="J24" s="36">
        <f t="shared" si="12"/>
        <v>0.67713791593244144</v>
      </c>
      <c r="K24" s="15">
        <f t="shared" si="13"/>
        <v>-5.4174499417461441E-2</v>
      </c>
      <c r="L24" s="62">
        <f>Assumptions!C22*(1+Assumptions!I22)^7*Assumptions!$B$12</f>
        <v>98.838005095726018</v>
      </c>
      <c r="M24" s="37">
        <f t="shared" si="14"/>
        <v>3.1377144474833658</v>
      </c>
      <c r="N24" s="39">
        <f t="shared" si="15"/>
        <v>0.17745623541907873</v>
      </c>
    </row>
    <row r="25" spans="1:14" ht="15" customHeight="1" x14ac:dyDescent="0.2">
      <c r="A25" s="56" t="str">
        <f>Assumptions!A23</f>
        <v>Infleqtion</v>
      </c>
      <c r="B25" s="57">
        <f>Assumptions!C23</f>
        <v>25</v>
      </c>
      <c r="C25" s="61">
        <f>Assumptions!C23*(1+Assumptions!F23)^7*Assumptions!$B$12</f>
        <v>51.870387669140591</v>
      </c>
      <c r="D25" s="36">
        <f t="shared" si="8"/>
        <v>2.0748155067656238</v>
      </c>
      <c r="E25" s="15">
        <f t="shared" si="9"/>
        <v>0.10989727109175429</v>
      </c>
      <c r="F25" s="61">
        <f>Assumptions!C23*(1+Assumptions!G23)^7*Assumptions!$B$12</f>
        <v>103.91079273227307</v>
      </c>
      <c r="G25" s="36">
        <f t="shared" si="10"/>
        <v>4.1564317092909224</v>
      </c>
      <c r="H25" s="15">
        <f t="shared" si="11"/>
        <v>0.22571263851002454</v>
      </c>
      <c r="I25" s="61">
        <f>Assumptions!C23*(1+Assumptions!H23)^7*Assumptions!$B$12</f>
        <v>9.3267895500000026</v>
      </c>
      <c r="J25" s="36">
        <f t="shared" si="12"/>
        <v>0.37307158200000012</v>
      </c>
      <c r="K25" s="15">
        <f t="shared" si="13"/>
        <v>-0.13138474436297465</v>
      </c>
      <c r="L25" s="62">
        <f>Assumptions!C23*(1+Assumptions!I23)^7*Assumptions!$B$12</f>
        <v>79.347464319466127</v>
      </c>
      <c r="M25" s="37">
        <f t="shared" si="14"/>
        <v>3.1738985727786453</v>
      </c>
      <c r="N25" s="39">
        <f t="shared" si="15"/>
        <v>0.17938649154271658</v>
      </c>
    </row>
    <row r="26" spans="1:14" ht="15" customHeight="1" x14ac:dyDescent="0.2">
      <c r="A26" s="56" t="str">
        <f>Assumptions!A24</f>
        <v>Diraq</v>
      </c>
      <c r="B26" s="57">
        <f>Assumptions!C24</f>
        <v>14</v>
      </c>
      <c r="C26" s="61">
        <f>Assumptions!C24*(1+Assumptions!F24)^7*Assumptions!$B$12</f>
        <v>68.52138056400004</v>
      </c>
      <c r="D26" s="36">
        <f t="shared" si="8"/>
        <v>4.8943843260000026</v>
      </c>
      <c r="E26" s="15">
        <f t="shared" si="9"/>
        <v>0.25466648036459216</v>
      </c>
      <c r="F26" s="61">
        <f>Assumptions!C24*(1+Assumptions!G24)^7*Assumptions!$B$12</f>
        <v>127.12795152592602</v>
      </c>
      <c r="G26" s="36">
        <f t="shared" si="10"/>
        <v>9.0805679661375738</v>
      </c>
      <c r="H26" s="15">
        <f t="shared" si="11"/>
        <v>0.37048184778286197</v>
      </c>
      <c r="I26" s="61">
        <f>Assumptions!C24*(1+Assumptions!H24)^7*Assumptions!$B$12</f>
        <v>1.918160118956391</v>
      </c>
      <c r="J26" s="36">
        <f t="shared" si="12"/>
        <v>0.13701143706831365</v>
      </c>
      <c r="K26" s="15">
        <f t="shared" si="13"/>
        <v>-0.24720011178124468</v>
      </c>
      <c r="L26" s="62">
        <f>Assumptions!C24*(1+Assumptions!I24)^7*Assumptions!$B$12</f>
        <v>106.21241145656448</v>
      </c>
      <c r="M26" s="37">
        <f t="shared" si="14"/>
        <v>7.5866008183260343</v>
      </c>
      <c r="N26" s="39">
        <f t="shared" si="15"/>
        <v>0.33573723755738105</v>
      </c>
    </row>
    <row r="27" spans="1:14" ht="15" customHeight="1" x14ac:dyDescent="0.2">
      <c r="A27" s="56" t="str">
        <f>Assumptions!A25</f>
        <v>Mueon</v>
      </c>
      <c r="B27" s="57">
        <f>Assumptions!C25</f>
        <v>10</v>
      </c>
      <c r="C27" s="61">
        <f>Assumptions!C25*(1+Assumptions!F25)^7*Assumptions!$B$12</f>
        <v>54.464324439343116</v>
      </c>
      <c r="D27" s="36">
        <f t="shared" si="8"/>
        <v>5.4464324439343113</v>
      </c>
      <c r="E27" s="15">
        <f t="shared" si="9"/>
        <v>0.27396904160097035</v>
      </c>
      <c r="F27" s="61">
        <f>Assumptions!C25*(1+Assumptions!G25)^7*Assumptions!$B$12</f>
        <v>100.14564023481138</v>
      </c>
      <c r="G27" s="36">
        <f t="shared" si="10"/>
        <v>10.014564023481139</v>
      </c>
      <c r="H27" s="15">
        <f t="shared" si="11"/>
        <v>0.38978440901924039</v>
      </c>
      <c r="I27" s="61">
        <f>Assumptions!C25*(1+Assumptions!H25)^7*Assumptions!$B$12</f>
        <v>0.78238781433446392</v>
      </c>
      <c r="J27" s="36">
        <f t="shared" si="12"/>
        <v>7.8238781433446397E-2</v>
      </c>
      <c r="K27" s="15">
        <f t="shared" si="13"/>
        <v>-0.30510779549037981</v>
      </c>
      <c r="L27" s="62">
        <f>Assumptions!C25*(1+Assumptions!I25)^7*Assumptions!$B$12</f>
        <v>80.592110820000983</v>
      </c>
      <c r="M27" s="37">
        <f t="shared" si="14"/>
        <v>8.0592110820000986</v>
      </c>
      <c r="N27" s="39">
        <f t="shared" si="15"/>
        <v>0.34731877429920788</v>
      </c>
    </row>
    <row r="28" spans="1:14" ht="15" customHeight="1" x14ac:dyDescent="0.2">
      <c r="A28" s="56" t="str">
        <f>Assumptions!A26</f>
        <v>DefendEye</v>
      </c>
      <c r="B28" s="57">
        <f>Assumptions!C26</f>
        <v>6.5</v>
      </c>
      <c r="C28" s="61">
        <f>Assumptions!C26*(1+Assumptions!F26)^7*Assumptions!$B$12</f>
        <v>28.541562638460526</v>
      </c>
      <c r="D28" s="36">
        <f t="shared" si="8"/>
        <v>4.3910096366862348</v>
      </c>
      <c r="E28" s="15">
        <f t="shared" si="9"/>
        <v>0.23536391912821375</v>
      </c>
      <c r="F28" s="61">
        <f>Assumptions!C26*(1+Assumptions!G26)^7*Assumptions!$B$12</f>
        <v>53.444646527999971</v>
      </c>
      <c r="G28" s="36">
        <f t="shared" si="10"/>
        <v>8.2222533119999959</v>
      </c>
      <c r="H28" s="15">
        <f t="shared" si="11"/>
        <v>0.35117928654648356</v>
      </c>
      <c r="I28" s="61">
        <f>Assumptions!C26*(1+Assumptions!H26)^7*Assumptions!$B$12</f>
        <v>0.67676330566406251</v>
      </c>
      <c r="J28" s="36">
        <f t="shared" si="12"/>
        <v>0.10411743164062501</v>
      </c>
      <c r="K28" s="15">
        <f t="shared" si="13"/>
        <v>-0.2761539536358123</v>
      </c>
      <c r="L28" s="62">
        <f>Assumptions!C26*(1+Assumptions!I26)^7*Assumptions!$B$12</f>
        <v>19.931637679232914</v>
      </c>
      <c r="M28" s="37">
        <f t="shared" si="14"/>
        <v>3.0664057968050638</v>
      </c>
      <c r="N28" s="39">
        <f t="shared" si="15"/>
        <v>0.17359572317180305</v>
      </c>
    </row>
    <row r="29" spans="1:14" ht="15" customHeight="1" x14ac:dyDescent="0.2">
      <c r="A29" s="53" t="s">
        <v>325</v>
      </c>
      <c r="B29" s="63">
        <f>SUM(B20:B28)</f>
        <v>250</v>
      </c>
      <c r="C29" s="63">
        <f>SUM(C20:C28)</f>
        <v>778.13077147638239</v>
      </c>
      <c r="D29" s="64">
        <f t="shared" si="8"/>
        <v>3.1125230859055297</v>
      </c>
      <c r="E29" s="65">
        <f t="shared" si="9"/>
        <v>0.17610109541967134</v>
      </c>
      <c r="F29" s="63">
        <f>SUM(F20:F28)</f>
        <v>1497.0052965953114</v>
      </c>
      <c r="G29" s="64">
        <f t="shared" si="10"/>
        <v>5.9880211863812454</v>
      </c>
      <c r="H29" s="65">
        <f t="shared" si="11"/>
        <v>0.29133961853989532</v>
      </c>
      <c r="I29" s="63">
        <f>SUM(I20:I28)</f>
        <v>100.03368819360789</v>
      </c>
      <c r="J29" s="64">
        <f t="shared" si="12"/>
        <v>0.40013475277443156</v>
      </c>
      <c r="K29" s="65">
        <f t="shared" si="13"/>
        <v>-0.12265112271839618</v>
      </c>
      <c r="L29" s="66">
        <f>SUM(L20:L28)</f>
        <v>1542.447524335817</v>
      </c>
      <c r="M29" s="67">
        <f t="shared" si="14"/>
        <v>6.1697900973432676</v>
      </c>
      <c r="N29" s="68">
        <f t="shared" si="15"/>
        <v>0.29686798696371408</v>
      </c>
    </row>
    <row r="30" spans="1:14" ht="1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5" customHeight="1" x14ac:dyDescent="0.2">
      <c r="A32" s="28" t="s">
        <v>327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27.75" customHeight="1" x14ac:dyDescent="0.2">
      <c r="A33" s="12" t="s">
        <v>203</v>
      </c>
      <c r="B33" s="12" t="s">
        <v>205</v>
      </c>
      <c r="C33" s="12" t="s">
        <v>313</v>
      </c>
      <c r="D33" s="12" t="s">
        <v>314</v>
      </c>
      <c r="E33" s="12" t="s">
        <v>315</v>
      </c>
      <c r="F33" s="12" t="s">
        <v>316</v>
      </c>
      <c r="G33" s="12" t="s">
        <v>317</v>
      </c>
      <c r="H33" s="12" t="s">
        <v>318</v>
      </c>
      <c r="I33" s="12" t="s">
        <v>319</v>
      </c>
      <c r="J33" s="12" t="s">
        <v>320</v>
      </c>
      <c r="K33" s="12" t="s">
        <v>321</v>
      </c>
      <c r="L33" s="21" t="s">
        <v>322</v>
      </c>
      <c r="M33" s="21" t="s">
        <v>323</v>
      </c>
      <c r="N33" s="21" t="s">
        <v>324</v>
      </c>
    </row>
    <row r="34" spans="1:14" ht="15" customHeight="1" x14ac:dyDescent="0.2">
      <c r="A34" s="56" t="str">
        <f>Assumptions!A18</f>
        <v>Substrate (anchor)</v>
      </c>
      <c r="B34" s="57">
        <f>Assumptions!C18</f>
        <v>80</v>
      </c>
      <c r="C34" s="61">
        <f>Assumptions!C18*(1+Assumptions!F18)^10*Assumptions!$B$13</f>
        <v>397.37194899927857</v>
      </c>
      <c r="D34" s="36">
        <f t="shared" ref="D34:D43" si="16">C34/B34</f>
        <v>4.9671493624909822</v>
      </c>
      <c r="E34" s="15">
        <f t="shared" ref="E34:E43" si="17">(C34/B34)^(1/10)-1</f>
        <v>0.17384491223357035</v>
      </c>
      <c r="F34" s="61">
        <f>Assumptions!C18*(1+Assumptions!G18)^10*Assumptions!$B$13</f>
        <v>1015.4227360523871</v>
      </c>
      <c r="G34" s="36">
        <f t="shared" ref="G34:G43" si="18">F34/B34</f>
        <v>12.692784200654838</v>
      </c>
      <c r="H34" s="15">
        <f t="shared" ref="H34:H43" si="19">(F34/B34)^(1/10)-1</f>
        <v>0.28930506753523311</v>
      </c>
      <c r="I34" s="61">
        <f>Assumptions!C18*(1+Assumptions!H18)^10*Assumptions!$B$13</f>
        <v>7.4771729046762632</v>
      </c>
      <c r="J34" s="36">
        <f t="shared" ref="J34:J43" si="20">I34/B34</f>
        <v>9.3464661308453295E-2</v>
      </c>
      <c r="K34" s="15">
        <f t="shared" ref="K34:K43" si="21">(I34/B34)^(1/10)-1</f>
        <v>-0.21102227210530511</v>
      </c>
      <c r="L34" s="62">
        <f>Assumptions!C18*(1+Assumptions!I18)^10*Assumptions!$B$13</f>
        <v>1665.8099343930044</v>
      </c>
      <c r="M34" s="37">
        <f t="shared" ref="M34:M43" si="22">L34/B34</f>
        <v>20.822624179912555</v>
      </c>
      <c r="N34" s="39">
        <f t="shared" ref="N34:N43" si="23">(L34/B34)^(1/10)-1</f>
        <v>0.35473248887284181</v>
      </c>
    </row>
    <row r="35" spans="1:14" ht="15" customHeight="1" x14ac:dyDescent="0.2">
      <c r="A35" s="56" t="str">
        <f>Assumptions!A19</f>
        <v>EUV Tech</v>
      </c>
      <c r="B35" s="57">
        <f>Assumptions!C19</f>
        <v>30</v>
      </c>
      <c r="C35" s="61">
        <f>Assumptions!C19*(1+Assumptions!F19)^10*Assumptions!$B$13</f>
        <v>75.627314808018852</v>
      </c>
      <c r="D35" s="36">
        <f t="shared" si="16"/>
        <v>2.5209104936006286</v>
      </c>
      <c r="E35" s="15">
        <f t="shared" si="17"/>
        <v>9.6871475365795323E-2</v>
      </c>
      <c r="F35" s="61">
        <f>Assumptions!C19*(1+Assumptions!G19)^10*Assumptions!$B$13</f>
        <v>205.74799825293866</v>
      </c>
      <c r="G35" s="36">
        <f t="shared" si="18"/>
        <v>6.8582666084312889</v>
      </c>
      <c r="H35" s="15">
        <f t="shared" si="19"/>
        <v>0.21233163066745786</v>
      </c>
      <c r="I35" s="61">
        <f>Assumptions!C19*(1+Assumptions!H19)^10*Assumptions!$B$13</f>
        <v>27.415894138620086</v>
      </c>
      <c r="J35" s="36">
        <f t="shared" si="20"/>
        <v>0.91386313795400287</v>
      </c>
      <c r="K35" s="15">
        <f t="shared" si="21"/>
        <v>-8.9670003273955023E-3</v>
      </c>
      <c r="L35" s="62">
        <f>Assumptions!C19*(1+Assumptions!I19)^10*Assumptions!$B$13</f>
        <v>290.00539779537064</v>
      </c>
      <c r="M35" s="37">
        <f t="shared" si="22"/>
        <v>9.666846593179022</v>
      </c>
      <c r="N35" s="39">
        <f t="shared" si="23"/>
        <v>0.25466702094473437</v>
      </c>
    </row>
    <row r="36" spans="1:14" ht="15" customHeight="1" x14ac:dyDescent="0.2">
      <c r="A36" s="56" t="str">
        <f>Assumptions!A20</f>
        <v>ThinTronics</v>
      </c>
      <c r="B36" s="57">
        <f>Assumptions!C20</f>
        <v>22.5</v>
      </c>
      <c r="C36" s="61">
        <f>Assumptions!C20*(1+Assumptions!F20)^10*Assumptions!$B$13</f>
        <v>154.31099868970398</v>
      </c>
      <c r="D36" s="36">
        <f t="shared" si="16"/>
        <v>6.858266608431288</v>
      </c>
      <c r="E36" s="15">
        <f t="shared" si="17"/>
        <v>0.21233163066745786</v>
      </c>
      <c r="F36" s="61">
        <f>Assumptions!C20*(1+Assumptions!G20)^10*Assumptions!$B$13</f>
        <v>383.25011587090222</v>
      </c>
      <c r="G36" s="36">
        <f t="shared" si="18"/>
        <v>17.033338483151208</v>
      </c>
      <c r="H36" s="15">
        <f t="shared" si="19"/>
        <v>0.3277917859691204</v>
      </c>
      <c r="I36" s="61">
        <f>Assumptions!C20*(1+Assumptions!H20)^10*Assumptions!$B$13</f>
        <v>5.3347801335300034</v>
      </c>
      <c r="J36" s="36">
        <f t="shared" si="20"/>
        <v>0.23710133926800014</v>
      </c>
      <c r="K36" s="15">
        <f t="shared" si="21"/>
        <v>-0.13404883523753008</v>
      </c>
      <c r="L36" s="62">
        <f>Assumptions!C20*(1+Assumptions!I20)^10*Assumptions!$B$13</f>
        <v>495.81991247779172</v>
      </c>
      <c r="M36" s="37">
        <f t="shared" si="22"/>
        <v>22.036440554568522</v>
      </c>
      <c r="N36" s="39">
        <f t="shared" si="23"/>
        <v>0.36242983255961936</v>
      </c>
    </row>
    <row r="37" spans="1:14" ht="15" customHeight="1" x14ac:dyDescent="0.2">
      <c r="A37" s="56" t="str">
        <f>Assumptions!A21</f>
        <v>EdgeCortix</v>
      </c>
      <c r="B37" s="57">
        <f>Assumptions!C21</f>
        <v>30.5</v>
      </c>
      <c r="C37" s="61">
        <f>Assumptions!C21*(1+Assumptions!F21)^10*Assumptions!$B$13</f>
        <v>178.24838500464008</v>
      </c>
      <c r="D37" s="36">
        <f t="shared" si="16"/>
        <v>5.8442093444144287</v>
      </c>
      <c r="E37" s="15">
        <f t="shared" si="17"/>
        <v>0.19308827145051422</v>
      </c>
      <c r="F37" s="61">
        <f>Assumptions!C21*(1+Assumptions!G21)^10*Assumptions!$B$13</f>
        <v>448.94985513021965</v>
      </c>
      <c r="G37" s="36">
        <f t="shared" si="18"/>
        <v>14.719667381318677</v>
      </c>
      <c r="H37" s="15">
        <f t="shared" si="19"/>
        <v>0.30854842675217675</v>
      </c>
      <c r="I37" s="61">
        <f>Assumptions!C21*(1+Assumptions!H21)^10*Assumptions!$B$13</f>
        <v>9.0092165405981355</v>
      </c>
      <c r="J37" s="36">
        <f t="shared" si="20"/>
        <v>0.29538414887207004</v>
      </c>
      <c r="K37" s="15">
        <f t="shared" si="21"/>
        <v>-0.11480547602058622</v>
      </c>
      <c r="L37" s="62">
        <f>Assumptions!C21*(1+Assumptions!I21)^10*Assumptions!$B$13</f>
        <v>215.91334789623508</v>
      </c>
      <c r="M37" s="37">
        <f t="shared" si="22"/>
        <v>7.0791261605322982</v>
      </c>
      <c r="N37" s="39">
        <f t="shared" si="23"/>
        <v>0.21618030251084663</v>
      </c>
    </row>
    <row r="38" spans="1:14" ht="15" customHeight="1" x14ac:dyDescent="0.2">
      <c r="A38" s="56" t="str">
        <f>Assumptions!A22</f>
        <v>Syntiant</v>
      </c>
      <c r="B38" s="57">
        <f>Assumptions!C22</f>
        <v>31.5</v>
      </c>
      <c r="C38" s="61">
        <f>Assumptions!C22*(1+Assumptions!F22)^10*Assumptions!$B$13</f>
        <v>94.492939384681165</v>
      </c>
      <c r="D38" s="36">
        <f t="shared" si="16"/>
        <v>2.9997758534819416</v>
      </c>
      <c r="E38" s="15">
        <f t="shared" si="17"/>
        <v>0.11611483458273897</v>
      </c>
      <c r="F38" s="61">
        <f>Assumptions!C22*(1+Assumptions!G22)^10*Assumptions!$B$13</f>
        <v>252.88272515766954</v>
      </c>
      <c r="G38" s="36">
        <f t="shared" si="18"/>
        <v>8.0280230208783987</v>
      </c>
      <c r="H38" s="15">
        <f t="shared" si="19"/>
        <v>0.23157498988440173</v>
      </c>
      <c r="I38" s="61">
        <f>Assumptions!C22*(1+Assumptions!H22)^10*Assumptions!$B$13</f>
        <v>17.501699523531251</v>
      </c>
      <c r="J38" s="36">
        <f t="shared" si="20"/>
        <v>0.55560950868353176</v>
      </c>
      <c r="K38" s="15">
        <f t="shared" si="21"/>
        <v>-5.7075398369755059E-2</v>
      </c>
      <c r="L38" s="62">
        <f>Assumptions!C22*(1+Assumptions!I22)^10*Assumptions!$B$13</f>
        <v>156.46520491846593</v>
      </c>
      <c r="M38" s="37">
        <f t="shared" si="22"/>
        <v>4.9671493624909822</v>
      </c>
      <c r="N38" s="39">
        <f t="shared" si="23"/>
        <v>0.17384491223357035</v>
      </c>
    </row>
    <row r="39" spans="1:14" ht="15" customHeight="1" x14ac:dyDescent="0.2">
      <c r="A39" s="56" t="str">
        <f>Assumptions!A23</f>
        <v>Infleqtion</v>
      </c>
      <c r="B39" s="57">
        <f>Assumptions!C23</f>
        <v>25</v>
      </c>
      <c r="C39" s="61">
        <f>Assumptions!C23*(1+Assumptions!F23)^10*Assumptions!$B$13</f>
        <v>68.774481507034423</v>
      </c>
      <c r="D39" s="36">
        <f t="shared" si="16"/>
        <v>2.750979260281377</v>
      </c>
      <c r="E39" s="15">
        <f t="shared" si="17"/>
        <v>0.10649315497426692</v>
      </c>
      <c r="F39" s="61">
        <f>Assumptions!C23*(1+Assumptions!G23)^10*Assumptions!$B$13</f>
        <v>185.56075502247694</v>
      </c>
      <c r="G39" s="36">
        <f t="shared" si="18"/>
        <v>7.4224302008990772</v>
      </c>
      <c r="H39" s="15">
        <f t="shared" si="19"/>
        <v>0.22195331027592968</v>
      </c>
      <c r="I39" s="61">
        <f>Assumptions!C23*(1+Assumptions!H23)^10*Assumptions!$B$13</f>
        <v>5.9275334817000029</v>
      </c>
      <c r="J39" s="36">
        <f t="shared" si="20"/>
        <v>0.23710133926800012</v>
      </c>
      <c r="K39" s="15">
        <f t="shared" si="21"/>
        <v>-0.13404883523753008</v>
      </c>
      <c r="L39" s="62">
        <f>Assumptions!C23*(1+Assumptions!I23)^10*Assumptions!$B$13</f>
        <v>126.22953443753984</v>
      </c>
      <c r="M39" s="37">
        <f t="shared" si="22"/>
        <v>5.0491813775015935</v>
      </c>
      <c r="N39" s="39">
        <f t="shared" si="23"/>
        <v>0.17576924815526462</v>
      </c>
    </row>
    <row r="40" spans="1:14" ht="15" customHeight="1" x14ac:dyDescent="0.2">
      <c r="A40" s="56" t="str">
        <f>Assumptions!A24</f>
        <v>Diraq</v>
      </c>
      <c r="B40" s="57">
        <f>Assumptions!C24</f>
        <v>14</v>
      </c>
      <c r="C40" s="61">
        <f>Assumptions!C24*(1+Assumptions!F24)^10*Assumptions!$B$13</f>
        <v>131.24128424024806</v>
      </c>
      <c r="D40" s="36">
        <f t="shared" si="16"/>
        <v>9.374377445732005</v>
      </c>
      <c r="E40" s="15">
        <f t="shared" si="17"/>
        <v>0.25081834910134537</v>
      </c>
      <c r="F40" s="61">
        <f>Assumptions!C24*(1+Assumptions!G24)^10*Assumptions!$B$13</f>
        <v>317.33676652148802</v>
      </c>
      <c r="G40" s="36">
        <f t="shared" si="18"/>
        <v>22.666911894392001</v>
      </c>
      <c r="H40" s="15">
        <f t="shared" si="19"/>
        <v>0.36627850440300813</v>
      </c>
      <c r="I40" s="61">
        <f>Assumptions!C24*(1+Assumptions!H24)^10*Assumptions!$B$13</f>
        <v>0.7935658591336866</v>
      </c>
      <c r="J40" s="36">
        <f t="shared" si="20"/>
        <v>5.6683275652406183E-2</v>
      </c>
      <c r="K40" s="15">
        <f t="shared" si="21"/>
        <v>-0.24950899053919273</v>
      </c>
      <c r="L40" s="62">
        <f>Assumptions!C24*(1+Assumptions!I24)^10*Assumptions!$B$13</f>
        <v>245.4696761229529</v>
      </c>
      <c r="M40" s="37">
        <f t="shared" si="22"/>
        <v>17.533548294496637</v>
      </c>
      <c r="N40" s="39">
        <f t="shared" si="23"/>
        <v>0.33164045781250939</v>
      </c>
    </row>
    <row r="41" spans="1:14" ht="15" customHeight="1" x14ac:dyDescent="0.2">
      <c r="A41" s="56" t="str">
        <f>Assumptions!A25</f>
        <v>Mueon</v>
      </c>
      <c r="B41" s="57">
        <f>Assumptions!C25</f>
        <v>10</v>
      </c>
      <c r="C41" s="61">
        <f>Assumptions!C25*(1+Assumptions!F25)^10*Assumptions!$B$13</f>
        <v>109.20643369158059</v>
      </c>
      <c r="D41" s="36">
        <f t="shared" si="16"/>
        <v>10.920643369158059</v>
      </c>
      <c r="E41" s="15">
        <f t="shared" si="17"/>
        <v>0.27006170831828924</v>
      </c>
      <c r="F41" s="61">
        <f>Assumptions!C25*(1+Assumptions!G25)^10*Assumptions!$B$13</f>
        <v>260.69567948642822</v>
      </c>
      <c r="G41" s="36">
        <f t="shared" si="18"/>
        <v>26.06956794864282</v>
      </c>
      <c r="H41" s="15">
        <f t="shared" si="19"/>
        <v>0.38552186361995178</v>
      </c>
      <c r="I41" s="61">
        <f>Assumptions!C25*(1+Assumptions!H25)^10*Assumptions!$B$13</f>
        <v>0.25458562449846506</v>
      </c>
      <c r="J41" s="36">
        <f t="shared" si="20"/>
        <v>2.5458562449846504E-2</v>
      </c>
      <c r="K41" s="15">
        <f t="shared" si="21"/>
        <v>-0.30723906819002411</v>
      </c>
      <c r="L41" s="62">
        <f>Assumptions!C25*(1+Assumptions!I25)^10*Assumptions!$B$13</f>
        <v>191.14506752227283</v>
      </c>
      <c r="M41" s="37">
        <f t="shared" si="22"/>
        <v>19.114506752227282</v>
      </c>
      <c r="N41" s="39">
        <f t="shared" si="23"/>
        <v>0.34318647334267549</v>
      </c>
    </row>
    <row r="42" spans="1:14" ht="15" customHeight="1" x14ac:dyDescent="0.2">
      <c r="A42" s="56" t="str">
        <f>Assumptions!A26</f>
        <v>DefendEye</v>
      </c>
      <c r="B42" s="57">
        <f>Assumptions!C26</f>
        <v>6.5</v>
      </c>
      <c r="C42" s="61">
        <f>Assumptions!C26*(1+Assumptions!F26)^10*Assumptions!$B$13</f>
        <v>52.182149635709585</v>
      </c>
      <c r="D42" s="36">
        <f t="shared" si="16"/>
        <v>8.0280230208783969</v>
      </c>
      <c r="E42" s="15">
        <f t="shared" si="17"/>
        <v>0.23157498988440173</v>
      </c>
      <c r="F42" s="61">
        <f>Assumptions!C26*(1+Assumptions!G26)^10*Assumptions!$B$13</f>
        <v>127.85055749939191</v>
      </c>
      <c r="G42" s="36">
        <f t="shared" si="18"/>
        <v>19.669316538367987</v>
      </c>
      <c r="H42" s="15">
        <f t="shared" si="19"/>
        <v>0.34703514518606426</v>
      </c>
      <c r="I42" s="61">
        <f>Assumptions!C26*(1+Assumptions!H26)^10*Assumptions!$B$13</f>
        <v>0.24890573501586916</v>
      </c>
      <c r="J42" s="36">
        <f t="shared" si="20"/>
        <v>3.8293190002441406E-2</v>
      </c>
      <c r="K42" s="15">
        <f t="shared" si="21"/>
        <v>-0.27837402936460842</v>
      </c>
      <c r="L42" s="62">
        <f>Assumptions!C26*(1+Assumptions!I26)^10*Assumptions!$B$13</f>
        <v>31.243380555763839</v>
      </c>
      <c r="M42" s="37">
        <f t="shared" si="22"/>
        <v>4.8066739316559755</v>
      </c>
      <c r="N42" s="39">
        <f t="shared" si="23"/>
        <v>0.16999624039018157</v>
      </c>
    </row>
    <row r="43" spans="1:14" ht="15" customHeight="1" x14ac:dyDescent="0.2">
      <c r="A43" s="53" t="s">
        <v>325</v>
      </c>
      <c r="B43" s="63">
        <f>SUM(B34:B42)</f>
        <v>250</v>
      </c>
      <c r="C43" s="63">
        <f>SUM(C34:C42)</f>
        <v>1261.4559359608952</v>
      </c>
      <c r="D43" s="64">
        <f t="shared" si="16"/>
        <v>5.0458237438435809</v>
      </c>
      <c r="E43" s="65">
        <f t="shared" si="17"/>
        <v>0.17569103776909034</v>
      </c>
      <c r="F43" s="63">
        <f>SUM(F34:F42)</f>
        <v>3197.6971889939018</v>
      </c>
      <c r="G43" s="64">
        <f t="shared" si="18"/>
        <v>12.790788755975607</v>
      </c>
      <c r="H43" s="65">
        <f t="shared" si="19"/>
        <v>0.29029713407562086</v>
      </c>
      <c r="I43" s="63">
        <f>SUM(I34:I42)</f>
        <v>73.963353941303765</v>
      </c>
      <c r="J43" s="64">
        <f t="shared" si="20"/>
        <v>0.29585341576521507</v>
      </c>
      <c r="K43" s="65">
        <f t="shared" si="21"/>
        <v>-0.11466494856842613</v>
      </c>
      <c r="L43" s="66">
        <f>SUM(L34:L42)</f>
        <v>3418.101456119397</v>
      </c>
      <c r="M43" s="67">
        <f t="shared" si="22"/>
        <v>13.672405824477588</v>
      </c>
      <c r="N43" s="68">
        <f t="shared" si="23"/>
        <v>0.2989262515476212</v>
      </c>
    </row>
  </sheetData>
  <printOptions horizontalCentered="1"/>
  <pageMargins left="0.4" right="0.4" top="1" bottom="1" header="0.511811023622047" footer="0.511811023622047"/>
  <pageSetup paperSize="9" scale="79"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E4374"/>
    <pageSetUpPr fitToPage="1"/>
  </sheetPr>
  <dimension ref="A1:F49"/>
  <sheetViews>
    <sheetView showGridLines="0" zoomScaleNormal="100" workbookViewId="0"/>
  </sheetViews>
  <sheetFormatPr baseColWidth="10" defaultColWidth="8.6640625" defaultRowHeight="15" x14ac:dyDescent="0.2"/>
  <cols>
    <col min="1" max="1" width="30" customWidth="1"/>
    <col min="2" max="5" width="13" customWidth="1"/>
    <col min="6" max="6" width="14" customWidth="1"/>
  </cols>
  <sheetData>
    <row r="1" spans="1:6" ht="18" customHeight="1" x14ac:dyDescent="0.2">
      <c r="A1" s="9" t="s">
        <v>328</v>
      </c>
      <c r="B1" s="1"/>
      <c r="C1" s="1"/>
      <c r="D1" s="1"/>
      <c r="E1" s="1"/>
      <c r="F1" s="1"/>
    </row>
    <row r="2" spans="1:6" ht="15" customHeight="1" x14ac:dyDescent="0.2">
      <c r="A2" s="10" t="s">
        <v>329</v>
      </c>
      <c r="B2" s="1"/>
      <c r="C2" s="1"/>
      <c r="D2" s="1"/>
      <c r="E2" s="1"/>
      <c r="F2" s="1"/>
    </row>
    <row r="3" spans="1:6" ht="15" customHeight="1" x14ac:dyDescent="0.2">
      <c r="A3" s="1"/>
      <c r="B3" s="1"/>
      <c r="C3" s="1"/>
      <c r="D3" s="1"/>
      <c r="E3" s="1"/>
      <c r="F3" s="1"/>
    </row>
    <row r="4" spans="1:6" ht="15" customHeight="1" x14ac:dyDescent="0.2">
      <c r="A4" s="28" t="s">
        <v>330</v>
      </c>
      <c r="B4" s="1"/>
      <c r="C4" s="1"/>
      <c r="D4" s="1"/>
      <c r="E4" s="1"/>
      <c r="F4" s="1"/>
    </row>
    <row r="5" spans="1:6" ht="15" customHeight="1" x14ac:dyDescent="0.2">
      <c r="A5" s="12" t="s">
        <v>63</v>
      </c>
      <c r="B5" s="12" t="s">
        <v>50</v>
      </c>
      <c r="C5" s="12" t="s">
        <v>51</v>
      </c>
      <c r="D5" s="12" t="s">
        <v>52</v>
      </c>
      <c r="E5" s="21" t="s">
        <v>53</v>
      </c>
      <c r="F5" s="29" t="s">
        <v>64</v>
      </c>
    </row>
    <row r="6" spans="1:6" ht="15" customHeight="1" x14ac:dyDescent="0.2">
      <c r="A6" s="13" t="s">
        <v>331</v>
      </c>
      <c r="B6" s="30">
        <f>'Portfolio Returns'!C15</f>
        <v>565.83077975525509</v>
      </c>
      <c r="C6" s="30">
        <f>'Portfolio Returns'!F15</f>
        <v>904.36141629875499</v>
      </c>
      <c r="D6" s="30">
        <f>'Portfolio Returns'!I15</f>
        <v>126.2935256890875</v>
      </c>
      <c r="E6" s="31">
        <f>'Portfolio Returns'!L15</f>
        <v>915.40631375021439</v>
      </c>
      <c r="F6" s="30">
        <f>B6*'Defense Supercycle'!$B$17+C6*'Defense Supercycle'!$B$18+D6*'Defense Supercycle'!$B$19+E6*'Defense Supercycle'!$B$20</f>
        <v>598.06578634996549</v>
      </c>
    </row>
    <row r="7" spans="1:6" ht="15" customHeight="1" x14ac:dyDescent="0.2">
      <c r="A7" s="13" t="s">
        <v>332</v>
      </c>
      <c r="B7" s="30">
        <f>-Assumptions!$B$5</f>
        <v>-250</v>
      </c>
      <c r="C7" s="30">
        <f>-Assumptions!$B$5</f>
        <v>-250</v>
      </c>
      <c r="D7" s="30">
        <f>-Assumptions!$B$5</f>
        <v>-250</v>
      </c>
      <c r="E7" s="31">
        <f>-Assumptions!$B$5</f>
        <v>-250</v>
      </c>
      <c r="F7" s="30">
        <f>B7*'Defense Supercycle'!$B$17+C7*'Defense Supercycle'!$B$18+D7*'Defense Supercycle'!$B$19+E7*'Defense Supercycle'!$B$20</f>
        <v>-250</v>
      </c>
    </row>
    <row r="8" spans="1:6" ht="15" customHeight="1" x14ac:dyDescent="0.2">
      <c r="A8" s="13" t="s">
        <v>333</v>
      </c>
      <c r="B8" s="30">
        <f>-Assumptions!$B$5*((1+Assumptions!$B$10)^5-1)</f>
        <v>-117.33201920000008</v>
      </c>
      <c r="C8" s="30">
        <f>-Assumptions!$B$5*((1+Assumptions!$B$10)^5-1)</f>
        <v>-117.33201920000008</v>
      </c>
      <c r="D8" s="30">
        <f>-Assumptions!$B$5*((1+Assumptions!$B$10)^5-1)</f>
        <v>-117.33201920000008</v>
      </c>
      <c r="E8" s="31">
        <f>-Assumptions!$B$5*((1+Assumptions!$B$10)^5-1)</f>
        <v>-117.33201920000008</v>
      </c>
      <c r="F8" s="30">
        <f>B8*'Defense Supercycle'!$B$17+C8*'Defense Supercycle'!$B$18+D8*'Defense Supercycle'!$B$19+E8*'Defense Supercycle'!$B$20</f>
        <v>-117.33201920000008</v>
      </c>
    </row>
    <row r="9" spans="1:6" ht="15" customHeight="1" x14ac:dyDescent="0.2">
      <c r="A9" s="13" t="s">
        <v>334</v>
      </c>
      <c r="B9" s="30">
        <f>MAX(0,B6+B7+B8)</f>
        <v>198.49876055525502</v>
      </c>
      <c r="C9" s="30">
        <f>MAX(0,C6+C7+C8)</f>
        <v>537.02939709875488</v>
      </c>
      <c r="D9" s="30">
        <f>MAX(0,D6+D7+D8)</f>
        <v>0</v>
      </c>
      <c r="E9" s="31">
        <f>MAX(0,E6+E7+E8)</f>
        <v>548.07429455021429</v>
      </c>
      <c r="F9" s="30">
        <f>B9*'Defense Supercycle'!$B$17+C9*'Defense Supercycle'!$B$18+D9*'Defense Supercycle'!$B$19+E9*'Defense Supercycle'!$B$20</f>
        <v>278.94146585214787</v>
      </c>
    </row>
    <row r="10" spans="1:6" ht="15" customHeight="1" x14ac:dyDescent="0.2">
      <c r="A10" s="13" t="s">
        <v>335</v>
      </c>
      <c r="B10" s="30">
        <f>-Assumptions!$B$9*B9</f>
        <v>-39.699752111051005</v>
      </c>
      <c r="C10" s="30">
        <f>-Assumptions!$B$9*C9</f>
        <v>-107.40587941975099</v>
      </c>
      <c r="D10" s="30">
        <f>-Assumptions!$B$9*D9</f>
        <v>0</v>
      </c>
      <c r="E10" s="31">
        <f>-Assumptions!$B$9*E9</f>
        <v>-109.61485891004287</v>
      </c>
      <c r="F10" s="30">
        <f>B10*'Defense Supercycle'!$B$17+C10*'Defense Supercycle'!$B$18+D10*'Defense Supercycle'!$B$19+E10*'Defense Supercycle'!$B$20</f>
        <v>-55.788293170429583</v>
      </c>
    </row>
    <row r="11" spans="1:6" ht="15" customHeight="1" x14ac:dyDescent="0.2">
      <c r="A11" s="13" t="s">
        <v>336</v>
      </c>
      <c r="B11" s="30">
        <f>-Assumptions!$B$5*Assumptions!$B$8*5</f>
        <v>-25</v>
      </c>
      <c r="C11" s="30">
        <f>-Assumptions!$B$5*Assumptions!$B$8*5</f>
        <v>-25</v>
      </c>
      <c r="D11" s="30">
        <f>-Assumptions!$B$5*Assumptions!$B$8*5</f>
        <v>-25</v>
      </c>
      <c r="E11" s="31">
        <f>-Assumptions!$B$5*Assumptions!$B$8*5</f>
        <v>-25</v>
      </c>
      <c r="F11" s="30">
        <f>B11*'Defense Supercycle'!$B$17+C11*'Defense Supercycle'!$B$18+D11*'Defense Supercycle'!$B$19+E11*'Defense Supercycle'!$B$20</f>
        <v>-25</v>
      </c>
    </row>
    <row r="12" spans="1:6" ht="15" customHeight="1" x14ac:dyDescent="0.2">
      <c r="A12" s="33" t="s">
        <v>337</v>
      </c>
      <c r="B12" s="34">
        <f>B6+B10+B11</f>
        <v>501.1310276442041</v>
      </c>
      <c r="C12" s="34">
        <f>C6+C10+C11</f>
        <v>771.95553687900406</v>
      </c>
      <c r="D12" s="34">
        <f>D6+D10+D11</f>
        <v>101.2935256890875</v>
      </c>
      <c r="E12" s="34">
        <f>E6+E10+E11</f>
        <v>780.79145484017158</v>
      </c>
      <c r="F12" s="69">
        <f>B12*'Defense Supercycle'!$B$17+C12*'Defense Supercycle'!$B$18+D12*'Defense Supercycle'!$B$19+E12*'Defense Supercycle'!$B$20</f>
        <v>517.2774931795359</v>
      </c>
    </row>
    <row r="13" spans="1:6" ht="15" customHeight="1" x14ac:dyDescent="0.2">
      <c r="A13" s="13" t="s">
        <v>338</v>
      </c>
      <c r="B13" s="36">
        <f>B6/Assumptions!$B$5</f>
        <v>2.2633231190210203</v>
      </c>
      <c r="C13" s="36">
        <f>C6/Assumptions!$B$5</f>
        <v>3.61744566519502</v>
      </c>
      <c r="D13" s="36">
        <f>D6/Assumptions!$B$5</f>
        <v>0.50517410275635</v>
      </c>
      <c r="E13" s="37">
        <f>E6/Assumptions!$B$5</f>
        <v>3.6616252550008577</v>
      </c>
      <c r="F13" s="36">
        <f>F6/Assumptions!$B$5</f>
        <v>2.3922631453998622</v>
      </c>
    </row>
    <row r="14" spans="1:6" ht="15" customHeight="1" x14ac:dyDescent="0.2">
      <c r="A14" s="33" t="s">
        <v>339</v>
      </c>
      <c r="B14" s="35">
        <f>B12/Assumptions!$B$5</f>
        <v>2.0045241105768166</v>
      </c>
      <c r="C14" s="35">
        <f>C12/Assumptions!$B$5</f>
        <v>3.0878221475160164</v>
      </c>
      <c r="D14" s="35">
        <f>D12/Assumptions!$B$5</f>
        <v>0.40517410275635002</v>
      </c>
      <c r="E14" s="35">
        <f>E12/Assumptions!$B$5</f>
        <v>3.1231658193606862</v>
      </c>
      <c r="F14" s="70">
        <f>F12/Assumptions!$B$5</f>
        <v>2.0691099727181435</v>
      </c>
    </row>
    <row r="15" spans="1:6" ht="15" customHeight="1" x14ac:dyDescent="0.2">
      <c r="A15" s="13" t="s">
        <v>340</v>
      </c>
      <c r="B15" s="15">
        <f>(B6/Assumptions!$B$5)^(1/5)-1</f>
        <v>0.17746853889181335</v>
      </c>
      <c r="C15" s="15">
        <f>(C6/Assumptions!$B$5)^(1/5)-1</f>
        <v>0.29324379497958408</v>
      </c>
      <c r="D15" s="15">
        <f>(D6/Assumptions!$B$5)^(1/5)-1</f>
        <v>-0.1276551213612328</v>
      </c>
      <c r="E15" s="39">
        <f>(E6/Assumptions!$B$5)^(1/5)-1</f>
        <v>0.29638733323967204</v>
      </c>
      <c r="F15" s="15">
        <f>(F6/Assumptions!$B$5)^(1/5)-1</f>
        <v>0.19058879221358493</v>
      </c>
    </row>
    <row r="16" spans="1:6" ht="15" customHeight="1" x14ac:dyDescent="0.2">
      <c r="A16" s="33" t="s">
        <v>341</v>
      </c>
      <c r="B16" s="20">
        <f>(B12/Assumptions!$B$5)^(1/5)-1</f>
        <v>0.14921756925053842</v>
      </c>
      <c r="C16" s="20">
        <f>(C12/Assumptions!$B$5)^(1/5)-1</f>
        <v>0.2529405230598698</v>
      </c>
      <c r="D16" s="20">
        <f>(D12/Assumptions!$B$5)^(1/5)-1</f>
        <v>-0.1653039932407776</v>
      </c>
      <c r="E16" s="20">
        <f>(E12/Assumptions!$B$5)^(1/5)-1</f>
        <v>0.25579574901845725</v>
      </c>
      <c r="F16" s="71">
        <f>(F12/Assumptions!$B$5)^(1/5)-1</f>
        <v>0.15652949956835926</v>
      </c>
    </row>
    <row r="17" spans="1:6" ht="15" customHeight="1" x14ac:dyDescent="0.2">
      <c r="A17" s="13" t="s">
        <v>342</v>
      </c>
      <c r="B17" s="36">
        <f>B12/Assumptions!$B$5</f>
        <v>2.0045241105768166</v>
      </c>
      <c r="C17" s="36">
        <f>C12/Assumptions!$B$5</f>
        <v>3.0878221475160164</v>
      </c>
      <c r="D17" s="36">
        <f>D12/Assumptions!$B$5</f>
        <v>0.40517410275635002</v>
      </c>
      <c r="E17" s="37">
        <f>E12/Assumptions!$B$5</f>
        <v>3.1231658193606862</v>
      </c>
      <c r="F17" s="36">
        <f>F12/Assumptions!$B$5</f>
        <v>2.0691099727181435</v>
      </c>
    </row>
    <row r="18" spans="1:6" ht="15" customHeight="1" x14ac:dyDescent="0.2">
      <c r="A18" s="1"/>
      <c r="B18" s="1"/>
      <c r="C18" s="1"/>
      <c r="D18" s="1"/>
      <c r="E18" s="1"/>
      <c r="F18" s="1"/>
    </row>
    <row r="19" spans="1:6" ht="15" customHeight="1" x14ac:dyDescent="0.2">
      <c r="A19" s="1"/>
      <c r="B19" s="1"/>
      <c r="C19" s="1"/>
      <c r="D19" s="1"/>
      <c r="E19" s="1"/>
      <c r="F19" s="1"/>
    </row>
    <row r="20" spans="1:6" ht="15" customHeight="1" x14ac:dyDescent="0.2">
      <c r="A20" s="28" t="s">
        <v>343</v>
      </c>
      <c r="B20" s="1"/>
      <c r="C20" s="1"/>
      <c r="D20" s="1"/>
      <c r="E20" s="1"/>
      <c r="F20" s="1"/>
    </row>
    <row r="21" spans="1:6" ht="15" customHeight="1" x14ac:dyDescent="0.2">
      <c r="A21" s="12" t="s">
        <v>63</v>
      </c>
      <c r="B21" s="12" t="s">
        <v>50</v>
      </c>
      <c r="C21" s="12" t="s">
        <v>51</v>
      </c>
      <c r="D21" s="12" t="s">
        <v>52</v>
      </c>
      <c r="E21" s="21" t="s">
        <v>53</v>
      </c>
      <c r="F21" s="29" t="s">
        <v>64</v>
      </c>
    </row>
    <row r="22" spans="1:6" ht="15" customHeight="1" x14ac:dyDescent="0.2">
      <c r="A22" s="13" t="s">
        <v>331</v>
      </c>
      <c r="B22" s="30">
        <f>'Portfolio Returns'!C29</f>
        <v>778.13077147638239</v>
      </c>
      <c r="C22" s="30">
        <f>'Portfolio Returns'!F29</f>
        <v>1497.0052965953114</v>
      </c>
      <c r="D22" s="30">
        <f>'Portfolio Returns'!I29</f>
        <v>100.03368819360789</v>
      </c>
      <c r="E22" s="31">
        <f>'Portfolio Returns'!L29</f>
        <v>1542.447524335817</v>
      </c>
      <c r="F22" s="30">
        <f>B22*'Defense Supercycle'!$B$17+C22*'Defense Supercycle'!$B$18+D22*'Defense Supercycle'!$B$19+E22*'Defense Supercycle'!$B$20</f>
        <v>900.93377277252853</v>
      </c>
    </row>
    <row r="23" spans="1:6" ht="15" customHeight="1" x14ac:dyDescent="0.2">
      <c r="A23" s="13" t="s">
        <v>332</v>
      </c>
      <c r="B23" s="30">
        <f>-Assumptions!$B$5</f>
        <v>-250</v>
      </c>
      <c r="C23" s="30">
        <f>-Assumptions!$B$5</f>
        <v>-250</v>
      </c>
      <c r="D23" s="30">
        <f>-Assumptions!$B$5</f>
        <v>-250</v>
      </c>
      <c r="E23" s="31">
        <f>-Assumptions!$B$5</f>
        <v>-250</v>
      </c>
      <c r="F23" s="30">
        <f>B23*'Defense Supercycle'!$B$17+C23*'Defense Supercycle'!$B$18+D23*'Defense Supercycle'!$B$19+E23*'Defense Supercycle'!$B$20</f>
        <v>-250</v>
      </c>
    </row>
    <row r="24" spans="1:6" ht="15" customHeight="1" x14ac:dyDescent="0.2">
      <c r="A24" s="13" t="s">
        <v>333</v>
      </c>
      <c r="B24" s="30">
        <f>-Assumptions!$B$5*((1+Assumptions!$B$10)^7-1)</f>
        <v>-178.45606719488018</v>
      </c>
      <c r="C24" s="30">
        <f>-Assumptions!$B$5*((1+Assumptions!$B$10)^7-1)</f>
        <v>-178.45606719488018</v>
      </c>
      <c r="D24" s="30">
        <f>-Assumptions!$B$5*((1+Assumptions!$B$10)^7-1)</f>
        <v>-178.45606719488018</v>
      </c>
      <c r="E24" s="31">
        <f>-Assumptions!$B$5*((1+Assumptions!$B$10)^7-1)</f>
        <v>-178.45606719488018</v>
      </c>
      <c r="F24" s="30">
        <f>B24*'Defense Supercycle'!$B$17+C24*'Defense Supercycle'!$B$18+D24*'Defense Supercycle'!$B$19+E24*'Defense Supercycle'!$B$20</f>
        <v>-178.45606719488018</v>
      </c>
    </row>
    <row r="25" spans="1:6" ht="15" customHeight="1" x14ac:dyDescent="0.2">
      <c r="A25" s="13" t="s">
        <v>334</v>
      </c>
      <c r="B25" s="30">
        <f>MAX(0,B22+B23+B24)</f>
        <v>349.67470428150222</v>
      </c>
      <c r="C25" s="30">
        <f>MAX(0,C22+C23+C24)</f>
        <v>1068.5492294004312</v>
      </c>
      <c r="D25" s="30">
        <f>MAX(0,D22+D23+D24)</f>
        <v>0</v>
      </c>
      <c r="E25" s="31">
        <f>MAX(0,E22+E23+E24)</f>
        <v>1113.9914571409367</v>
      </c>
      <c r="F25" s="30">
        <f>B25*'Defense Supercycle'!$B$17+C25*'Defense Supercycle'!$B$18+D25*'Defense Supercycle'!$B$19+E25*'Defense Supercycle'!$B$20</f>
        <v>538.1621813779027</v>
      </c>
    </row>
    <row r="26" spans="1:6" ht="15" customHeight="1" x14ac:dyDescent="0.2">
      <c r="A26" s="13" t="s">
        <v>335</v>
      </c>
      <c r="B26" s="30">
        <f>-Assumptions!$B$9*B25</f>
        <v>-69.934940856300443</v>
      </c>
      <c r="C26" s="30">
        <f>-Assumptions!$B$9*C25</f>
        <v>-213.70984588008625</v>
      </c>
      <c r="D26" s="30">
        <f>-Assumptions!$B$9*D25</f>
        <v>0</v>
      </c>
      <c r="E26" s="31">
        <f>-Assumptions!$B$9*E25</f>
        <v>-222.79829142818735</v>
      </c>
      <c r="F26" s="30">
        <f>B26*'Defense Supercycle'!$B$17+C26*'Defense Supercycle'!$B$18+D26*'Defense Supercycle'!$B$19+E26*'Defense Supercycle'!$B$20</f>
        <v>-107.63243627558056</v>
      </c>
    </row>
    <row r="27" spans="1:6" ht="15" customHeight="1" x14ac:dyDescent="0.2">
      <c r="A27" s="13" t="s">
        <v>336</v>
      </c>
      <c r="B27" s="30">
        <f>-Assumptions!$B$5*Assumptions!$B$8*7</f>
        <v>-35</v>
      </c>
      <c r="C27" s="30">
        <f>-Assumptions!$B$5*Assumptions!$B$8*7</f>
        <v>-35</v>
      </c>
      <c r="D27" s="30">
        <f>-Assumptions!$B$5*Assumptions!$B$8*7</f>
        <v>-35</v>
      </c>
      <c r="E27" s="31">
        <f>-Assumptions!$B$5*Assumptions!$B$8*7</f>
        <v>-35</v>
      </c>
      <c r="F27" s="30">
        <f>B27*'Defense Supercycle'!$B$17+C27*'Defense Supercycle'!$B$18+D27*'Defense Supercycle'!$B$19+E27*'Defense Supercycle'!$B$20</f>
        <v>-35</v>
      </c>
    </row>
    <row r="28" spans="1:6" ht="15" customHeight="1" x14ac:dyDescent="0.2">
      <c r="A28" s="33" t="s">
        <v>337</v>
      </c>
      <c r="B28" s="34">
        <f>B22+B26+B27</f>
        <v>673.19583062008201</v>
      </c>
      <c r="C28" s="34">
        <f>C22+C26+C27</f>
        <v>1248.2954507152251</v>
      </c>
      <c r="D28" s="34">
        <f>D22+D26+D27</f>
        <v>65.033688193607887</v>
      </c>
      <c r="E28" s="34">
        <f>E22+E26+E27</f>
        <v>1284.6492329076295</v>
      </c>
      <c r="F28" s="69">
        <f>B28*'Defense Supercycle'!$B$17+C28*'Defense Supercycle'!$B$18+D28*'Defense Supercycle'!$B$19+E28*'Defense Supercycle'!$B$20</f>
        <v>758.3013364969479</v>
      </c>
    </row>
    <row r="29" spans="1:6" ht="15" customHeight="1" x14ac:dyDescent="0.2">
      <c r="A29" s="13" t="s">
        <v>338</v>
      </c>
      <c r="B29" s="36">
        <f>B22/Assumptions!$B$5</f>
        <v>3.1125230859055297</v>
      </c>
      <c r="C29" s="36">
        <f>C22/Assumptions!$B$5</f>
        <v>5.9880211863812454</v>
      </c>
      <c r="D29" s="36">
        <f>D22/Assumptions!$B$5</f>
        <v>0.40013475277443156</v>
      </c>
      <c r="E29" s="37">
        <f>E22/Assumptions!$B$5</f>
        <v>6.1697900973432676</v>
      </c>
      <c r="F29" s="36">
        <f>F22/Assumptions!$B$5</f>
        <v>3.603735091090114</v>
      </c>
    </row>
    <row r="30" spans="1:6" ht="15" customHeight="1" x14ac:dyDescent="0.2">
      <c r="A30" s="33" t="s">
        <v>339</v>
      </c>
      <c r="B30" s="35">
        <f>B28/Assumptions!$B$5</f>
        <v>2.6927833224803281</v>
      </c>
      <c r="C30" s="35">
        <f>C28/Assumptions!$B$5</f>
        <v>4.9931818028609003</v>
      </c>
      <c r="D30" s="35">
        <f>D28/Assumptions!$B$5</f>
        <v>0.26013475277443154</v>
      </c>
      <c r="E30" s="35">
        <f>E28/Assumptions!$B$5</f>
        <v>5.1385969316305182</v>
      </c>
      <c r="F30" s="70">
        <f>F28/Assumptions!$B$5</f>
        <v>3.0332053459877915</v>
      </c>
    </row>
    <row r="31" spans="1:6" ht="15" customHeight="1" x14ac:dyDescent="0.2">
      <c r="A31" s="13" t="s">
        <v>340</v>
      </c>
      <c r="B31" s="15">
        <f>(B22/Assumptions!$B$5)^(1/7)-1</f>
        <v>0.17610109541967134</v>
      </c>
      <c r="C31" s="15">
        <f>(C22/Assumptions!$B$5)^(1/7)-1</f>
        <v>0.29133961853989532</v>
      </c>
      <c r="D31" s="15">
        <f>(D22/Assumptions!$B$5)^(1/7)-1</f>
        <v>-0.12265112271839618</v>
      </c>
      <c r="E31" s="39">
        <f>(E22/Assumptions!$B$5)^(1/7)-1</f>
        <v>0.29686798696371408</v>
      </c>
      <c r="F31" s="15">
        <f>(F22/Assumptions!$B$5)^(1/7)-1</f>
        <v>0.20098096107923813</v>
      </c>
    </row>
    <row r="32" spans="1:6" ht="15" customHeight="1" x14ac:dyDescent="0.2">
      <c r="A32" s="33" t="s">
        <v>341</v>
      </c>
      <c r="B32" s="20">
        <f>(B28/Assumptions!$B$5)^(1/7)-1</f>
        <v>0.15201290496463771</v>
      </c>
      <c r="C32" s="20">
        <f>(C28/Assumptions!$B$5)^(1/7)-1</f>
        <v>0.25825364455940703</v>
      </c>
      <c r="D32" s="20">
        <f>(D28/Assumptions!$B$5)^(1/7)-1</f>
        <v>-0.17499437274931617</v>
      </c>
      <c r="E32" s="20">
        <f>(E28/Assumptions!$B$5)^(1/7)-1</f>
        <v>0.26342428915744498</v>
      </c>
      <c r="F32" s="71">
        <f>(F28/Assumptions!$B$5)^(1/7)-1</f>
        <v>0.17177199991143088</v>
      </c>
    </row>
    <row r="33" spans="1:6" ht="15" customHeight="1" x14ac:dyDescent="0.2">
      <c r="A33" s="13" t="s">
        <v>342</v>
      </c>
      <c r="B33" s="36">
        <f>B28/Assumptions!$B$5</f>
        <v>2.6927833224803281</v>
      </c>
      <c r="C33" s="36">
        <f>C28/Assumptions!$B$5</f>
        <v>4.9931818028609003</v>
      </c>
      <c r="D33" s="36">
        <f>D28/Assumptions!$B$5</f>
        <v>0.26013475277443154</v>
      </c>
      <c r="E33" s="37">
        <f>E28/Assumptions!$B$5</f>
        <v>5.1385969316305182</v>
      </c>
      <c r="F33" s="36">
        <f>F28/Assumptions!$B$5</f>
        <v>3.0332053459877915</v>
      </c>
    </row>
    <row r="34" spans="1:6" ht="15" customHeight="1" x14ac:dyDescent="0.2">
      <c r="A34" s="1"/>
      <c r="B34" s="1"/>
      <c r="C34" s="1"/>
      <c r="D34" s="1"/>
      <c r="E34" s="1"/>
      <c r="F34" s="1"/>
    </row>
    <row r="35" spans="1:6" ht="15" customHeight="1" x14ac:dyDescent="0.2">
      <c r="A35" s="1"/>
      <c r="B35" s="1"/>
      <c r="C35" s="1"/>
      <c r="D35" s="1"/>
      <c r="E35" s="1"/>
      <c r="F35" s="1"/>
    </row>
    <row r="36" spans="1:6" ht="15" customHeight="1" x14ac:dyDescent="0.2">
      <c r="A36" s="28" t="s">
        <v>344</v>
      </c>
      <c r="B36" s="1"/>
      <c r="C36" s="1"/>
      <c r="D36" s="1"/>
      <c r="E36" s="1"/>
      <c r="F36" s="1"/>
    </row>
    <row r="37" spans="1:6" ht="15" customHeight="1" x14ac:dyDescent="0.2">
      <c r="A37" s="12" t="s">
        <v>63</v>
      </c>
      <c r="B37" s="12" t="s">
        <v>50</v>
      </c>
      <c r="C37" s="12" t="s">
        <v>51</v>
      </c>
      <c r="D37" s="12" t="s">
        <v>52</v>
      </c>
      <c r="E37" s="21" t="s">
        <v>53</v>
      </c>
      <c r="F37" s="29" t="s">
        <v>64</v>
      </c>
    </row>
    <row r="38" spans="1:6" ht="15" customHeight="1" x14ac:dyDescent="0.2">
      <c r="A38" s="13" t="s">
        <v>331</v>
      </c>
      <c r="B38" s="30">
        <f>'Portfolio Returns'!C43</f>
        <v>1261.4559359608952</v>
      </c>
      <c r="C38" s="30">
        <f>'Portfolio Returns'!F43</f>
        <v>3197.6971889939018</v>
      </c>
      <c r="D38" s="30">
        <f>'Portfolio Returns'!I43</f>
        <v>73.963353941303765</v>
      </c>
      <c r="E38" s="31">
        <f>'Portfolio Returns'!L43</f>
        <v>3418.101456119397</v>
      </c>
      <c r="F38" s="30">
        <f>B38*'Defense Supercycle'!$B$17+C38*'Defense Supercycle'!$B$18+D38*'Defense Supercycle'!$B$19+E38*'Defense Supercycle'!$B$20</f>
        <v>1734.7024981873537</v>
      </c>
    </row>
    <row r="39" spans="1:6" ht="15" customHeight="1" x14ac:dyDescent="0.2">
      <c r="A39" s="13" t="s">
        <v>332</v>
      </c>
      <c r="B39" s="30">
        <f>-Assumptions!$B$5</f>
        <v>-250</v>
      </c>
      <c r="C39" s="30">
        <f>-Assumptions!$B$5</f>
        <v>-250</v>
      </c>
      <c r="D39" s="30">
        <f>-Assumptions!$B$5</f>
        <v>-250</v>
      </c>
      <c r="E39" s="31">
        <f>-Assumptions!$B$5</f>
        <v>-250</v>
      </c>
      <c r="F39" s="30">
        <f>B39*'Defense Supercycle'!$B$17+C39*'Defense Supercycle'!$B$18+D39*'Defense Supercycle'!$B$19+E39*'Defense Supercycle'!$B$20</f>
        <v>-250</v>
      </c>
    </row>
    <row r="40" spans="1:6" ht="15" customHeight="1" x14ac:dyDescent="0.2">
      <c r="A40" s="13" t="s">
        <v>333</v>
      </c>
      <c r="B40" s="30">
        <f>-Assumptions!$B$5*((1+Assumptions!$B$10)^10-1)</f>
        <v>-289.73124931819694</v>
      </c>
      <c r="C40" s="30">
        <f>-Assumptions!$B$5*((1+Assumptions!$B$10)^10-1)</f>
        <v>-289.73124931819694</v>
      </c>
      <c r="D40" s="30">
        <f>-Assumptions!$B$5*((1+Assumptions!$B$10)^10-1)</f>
        <v>-289.73124931819694</v>
      </c>
      <c r="E40" s="31">
        <f>-Assumptions!$B$5*((1+Assumptions!$B$10)^10-1)</f>
        <v>-289.73124931819694</v>
      </c>
      <c r="F40" s="30">
        <f>B40*'Defense Supercycle'!$B$17+C40*'Defense Supercycle'!$B$18+D40*'Defense Supercycle'!$B$19+E40*'Defense Supercycle'!$B$20</f>
        <v>-289.73124931819694</v>
      </c>
    </row>
    <row r="41" spans="1:6" ht="15" customHeight="1" x14ac:dyDescent="0.2">
      <c r="A41" s="13" t="s">
        <v>334</v>
      </c>
      <c r="B41" s="30">
        <f>MAX(0,B38+B39+B40)</f>
        <v>721.72468664269832</v>
      </c>
      <c r="C41" s="30">
        <f>MAX(0,C38+C39+C40)</f>
        <v>2657.9659396757047</v>
      </c>
      <c r="D41" s="30">
        <f>MAX(0,D38+D39+D40)</f>
        <v>0</v>
      </c>
      <c r="E41" s="31">
        <f>MAX(0,E38+E39+E40)</f>
        <v>2878.3702068011999</v>
      </c>
      <c r="F41" s="30">
        <f>B41*'Defense Supercycle'!$B$17+C41*'Defense Supercycle'!$B$18+D41*'Defense Supercycle'!$B$19+E41*'Defense Supercycle'!$B$20</f>
        <v>1288.1248279445351</v>
      </c>
    </row>
    <row r="42" spans="1:6" ht="15" customHeight="1" x14ac:dyDescent="0.2">
      <c r="A42" s="13" t="s">
        <v>335</v>
      </c>
      <c r="B42" s="30">
        <f>-Assumptions!$B$9*B41</f>
        <v>-144.34493732853966</v>
      </c>
      <c r="C42" s="30">
        <f>-Assumptions!$B$9*C41</f>
        <v>-531.59318793514092</v>
      </c>
      <c r="D42" s="30">
        <f>-Assumptions!$B$9*D41</f>
        <v>0</v>
      </c>
      <c r="E42" s="31">
        <f>-Assumptions!$B$9*E41</f>
        <v>-575.67404136024004</v>
      </c>
      <c r="F42" s="30">
        <f>B42*'Defense Supercycle'!$B$17+C42*'Defense Supercycle'!$B$18+D42*'Defense Supercycle'!$B$19+E42*'Defense Supercycle'!$B$20</f>
        <v>-257.62496558890706</v>
      </c>
    </row>
    <row r="43" spans="1:6" ht="15" customHeight="1" x14ac:dyDescent="0.2">
      <c r="A43" s="13" t="s">
        <v>336</v>
      </c>
      <c r="B43" s="30">
        <f>-Assumptions!$B$5*Assumptions!$B$8*10</f>
        <v>-50</v>
      </c>
      <c r="C43" s="30">
        <f>-Assumptions!$B$5*Assumptions!$B$8*10</f>
        <v>-50</v>
      </c>
      <c r="D43" s="30">
        <f>-Assumptions!$B$5*Assumptions!$B$8*10</f>
        <v>-50</v>
      </c>
      <c r="E43" s="31">
        <f>-Assumptions!$B$5*Assumptions!$B$8*10</f>
        <v>-50</v>
      </c>
      <c r="F43" s="30">
        <f>B43*'Defense Supercycle'!$B$17+C43*'Defense Supercycle'!$B$18+D43*'Defense Supercycle'!$B$19+E43*'Defense Supercycle'!$B$20</f>
        <v>-50</v>
      </c>
    </row>
    <row r="44" spans="1:6" ht="15" customHeight="1" x14ac:dyDescent="0.2">
      <c r="A44" s="33" t="s">
        <v>337</v>
      </c>
      <c r="B44" s="34">
        <f>B38+B42+B43</f>
        <v>1067.1109986323556</v>
      </c>
      <c r="C44" s="34">
        <f>C38+C42+C43</f>
        <v>2616.1040010587608</v>
      </c>
      <c r="D44" s="34">
        <f>D38+D42+D43</f>
        <v>23.963353941303765</v>
      </c>
      <c r="E44" s="34">
        <f>E38+E42+E43</f>
        <v>2792.4274147591568</v>
      </c>
      <c r="F44" s="69">
        <f>B44*'Defense Supercycle'!$B$17+C44*'Defense Supercycle'!$B$18+D44*'Defense Supercycle'!$B$19+E44*'Defense Supercycle'!$B$20</f>
        <v>1427.0775325984464</v>
      </c>
    </row>
    <row r="45" spans="1:6" ht="15" customHeight="1" x14ac:dyDescent="0.2">
      <c r="A45" s="13" t="s">
        <v>338</v>
      </c>
      <c r="B45" s="36">
        <f>B38/Assumptions!$B$5</f>
        <v>5.0458237438435809</v>
      </c>
      <c r="C45" s="36">
        <f>C38/Assumptions!$B$5</f>
        <v>12.790788755975607</v>
      </c>
      <c r="D45" s="36">
        <f>D38/Assumptions!$B$5</f>
        <v>0.29585341576521507</v>
      </c>
      <c r="E45" s="37">
        <f>E38/Assumptions!$B$5</f>
        <v>13.672405824477588</v>
      </c>
      <c r="F45" s="36">
        <f>F38/Assumptions!$B$5</f>
        <v>6.9388099927494151</v>
      </c>
    </row>
    <row r="46" spans="1:6" ht="15" customHeight="1" x14ac:dyDescent="0.2">
      <c r="A46" s="33" t="s">
        <v>339</v>
      </c>
      <c r="B46" s="35">
        <f>B44/Assumptions!$B$5</f>
        <v>4.2684439945294228</v>
      </c>
      <c r="C46" s="35">
        <f>C44/Assumptions!$B$5</f>
        <v>10.464416004235042</v>
      </c>
      <c r="D46" s="35">
        <f>D44/Assumptions!$B$5</f>
        <v>9.5853415765215055E-2</v>
      </c>
      <c r="E46" s="35">
        <f>E44/Assumptions!$B$5</f>
        <v>11.169709659036627</v>
      </c>
      <c r="F46" s="70">
        <f>F44/Assumptions!$B$5</f>
        <v>5.7083101303937855</v>
      </c>
    </row>
    <row r="47" spans="1:6" ht="15" customHeight="1" x14ac:dyDescent="0.2">
      <c r="A47" s="13" t="s">
        <v>340</v>
      </c>
      <c r="B47" s="15">
        <f>(B38/Assumptions!$B$5)^(1/10)-1</f>
        <v>0.17569103776909034</v>
      </c>
      <c r="C47" s="15">
        <f>(C38/Assumptions!$B$5)^(1/10)-1</f>
        <v>0.29029713407562086</v>
      </c>
      <c r="D47" s="15">
        <f>(D38/Assumptions!$B$5)^(1/10)-1</f>
        <v>-0.11466494856842613</v>
      </c>
      <c r="E47" s="39">
        <f>(E38/Assumptions!$B$5)^(1/10)-1</f>
        <v>0.2989262515476212</v>
      </c>
      <c r="F47" s="15">
        <f>(F38/Assumptions!$B$5)^(1/10)-1</f>
        <v>0.21374792240120999</v>
      </c>
    </row>
    <row r="48" spans="1:6" ht="15" customHeight="1" x14ac:dyDescent="0.2">
      <c r="A48" s="33" t="s">
        <v>341</v>
      </c>
      <c r="B48" s="20">
        <f>(B44/Assumptions!$B$5)^(1/10)-1</f>
        <v>0.15618400987328629</v>
      </c>
      <c r="C48" s="20">
        <f>(C44/Assumptions!$B$5)^(1/10)-1</f>
        <v>0.26465335248213018</v>
      </c>
      <c r="D48" s="20">
        <f>(D44/Assumptions!$B$5)^(1/10)-1</f>
        <v>-0.20902863853914744</v>
      </c>
      <c r="E48" s="20">
        <f>(E44/Assumptions!$B$5)^(1/10)-1</f>
        <v>0.27292902256243501</v>
      </c>
      <c r="F48" s="71">
        <f>(F44/Assumptions!$B$5)^(1/10)-1</f>
        <v>0.19028443916774207</v>
      </c>
    </row>
    <row r="49" spans="1:6" ht="15" customHeight="1" x14ac:dyDescent="0.2">
      <c r="A49" s="13" t="s">
        <v>342</v>
      </c>
      <c r="B49" s="36">
        <f>B44/Assumptions!$B$5</f>
        <v>4.2684439945294228</v>
      </c>
      <c r="C49" s="36">
        <f>C44/Assumptions!$B$5</f>
        <v>10.464416004235042</v>
      </c>
      <c r="D49" s="36">
        <f>D44/Assumptions!$B$5</f>
        <v>9.5853415765215055E-2</v>
      </c>
      <c r="E49" s="37">
        <f>E44/Assumptions!$B$5</f>
        <v>11.169709659036627</v>
      </c>
      <c r="F49" s="36">
        <f>F44/Assumptions!$B$5</f>
        <v>5.7083101303937855</v>
      </c>
    </row>
  </sheetData>
  <printOptions horizontalCentered="1"/>
  <pageMargins left="0.4" right="0.4" top="1" bottom="1" header="0.511811023622047" footer="0.511811023622047"/>
  <pageSetup paperSize="9"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E4374"/>
    <pageSetUpPr fitToPage="1"/>
  </sheetPr>
  <dimension ref="A1:J36"/>
  <sheetViews>
    <sheetView showGridLines="0" zoomScaleNormal="100" workbookViewId="0"/>
  </sheetViews>
  <sheetFormatPr baseColWidth="10" defaultColWidth="8.6640625" defaultRowHeight="15" x14ac:dyDescent="0.2"/>
  <cols>
    <col min="1" max="1" width="36" customWidth="1"/>
    <col min="2" max="2" width="28" customWidth="1"/>
    <col min="3" max="3" width="12" customWidth="1"/>
    <col min="4" max="5" width="11" customWidth="1"/>
    <col min="6" max="6" width="13" customWidth="1"/>
    <col min="7" max="7" width="14" customWidth="1"/>
    <col min="8" max="8" width="11" customWidth="1"/>
    <col min="9" max="9" width="12" customWidth="1"/>
    <col min="10" max="10" width="11" customWidth="1"/>
  </cols>
  <sheetData>
    <row r="1" spans="1:10" ht="18" customHeight="1" x14ac:dyDescent="0.2">
      <c r="A1" s="9" t="s">
        <v>345</v>
      </c>
      <c r="B1" s="1"/>
      <c r="C1" s="1"/>
      <c r="D1" s="1"/>
      <c r="E1" s="1"/>
      <c r="F1" s="1"/>
      <c r="G1" s="1"/>
      <c r="H1" s="1"/>
      <c r="I1" s="1"/>
      <c r="J1" s="1"/>
    </row>
    <row r="2" spans="1:10" ht="15" customHeight="1" x14ac:dyDescent="0.2">
      <c r="A2" s="10" t="s">
        <v>346</v>
      </c>
      <c r="B2" s="1"/>
      <c r="C2" s="1"/>
      <c r="D2" s="1"/>
      <c r="E2" s="1"/>
      <c r="F2" s="1"/>
      <c r="G2" s="1"/>
      <c r="H2" s="1"/>
      <c r="I2" s="1"/>
      <c r="J2" s="1"/>
    </row>
    <row r="3" spans="1:10" ht="1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5" customHeight="1" x14ac:dyDescent="0.2">
      <c r="A4" s="11" t="s">
        <v>347</v>
      </c>
      <c r="B4" s="1"/>
      <c r="C4" s="1"/>
      <c r="D4" s="1"/>
      <c r="E4" s="1"/>
      <c r="F4" s="1"/>
      <c r="G4" s="1"/>
      <c r="H4" s="1"/>
      <c r="I4" s="1"/>
      <c r="J4" s="1"/>
    </row>
    <row r="5" spans="1:10" ht="27.75" customHeight="1" x14ac:dyDescent="0.2">
      <c r="A5" s="12" t="s">
        <v>274</v>
      </c>
      <c r="B5" s="12" t="s">
        <v>275</v>
      </c>
      <c r="C5" s="12" t="s">
        <v>205</v>
      </c>
      <c r="D5" s="12" t="s">
        <v>348</v>
      </c>
      <c r="E5" s="12" t="s">
        <v>28</v>
      </c>
      <c r="F5" s="12" t="s">
        <v>349</v>
      </c>
      <c r="G5" s="12" t="s">
        <v>350</v>
      </c>
      <c r="H5" s="1"/>
      <c r="I5" s="1"/>
      <c r="J5" s="1"/>
    </row>
    <row r="6" spans="1:10" ht="27.75" customHeight="1" x14ac:dyDescent="0.2">
      <c r="A6" s="55" t="s">
        <v>277</v>
      </c>
      <c r="B6" s="16" t="s">
        <v>278</v>
      </c>
      <c r="C6" s="57">
        <f>Assumptions!C18+Assumptions!C19+Assumptions!C20</f>
        <v>132.5</v>
      </c>
      <c r="D6" s="15">
        <f>C6/Assumptions!$B$5</f>
        <v>0.53</v>
      </c>
      <c r="E6" s="15">
        <f>C6/'Holdco Summary'!$B$9</f>
        <v>0.17666666666666667</v>
      </c>
      <c r="F6" s="58">
        <f>AVERAGE('Defense Supercycle'!G24,'Defense Supercycle'!G25,'Defense Supercycle'!G26)</f>
        <v>4.6166666666666671</v>
      </c>
      <c r="G6" s="72">
        <f>AVERAGE('Defense Supercycle'!I24,'Defense Supercycle'!I25,'Defense Supercycle'!I26)</f>
        <v>0.37600000000000006</v>
      </c>
      <c r="H6" s="1"/>
      <c r="I6" s="1"/>
      <c r="J6" s="1"/>
    </row>
    <row r="7" spans="1:10" ht="15" customHeight="1" x14ac:dyDescent="0.2">
      <c r="A7" s="55" t="s">
        <v>280</v>
      </c>
      <c r="B7" s="16" t="s">
        <v>281</v>
      </c>
      <c r="C7" s="57">
        <f>Assumptions!C21+Assumptions!C22</f>
        <v>62</v>
      </c>
      <c r="D7" s="15">
        <f>C7/Assumptions!$B$5</f>
        <v>0.248</v>
      </c>
      <c r="E7" s="15">
        <f>C7/'Holdco Summary'!$B$9</f>
        <v>8.2666666666666666E-2</v>
      </c>
      <c r="F7" s="58">
        <f>AVERAGE('Defense Supercycle'!G27,'Defense Supercycle'!G28)</f>
        <v>3.0249999999999999</v>
      </c>
      <c r="G7" s="72">
        <f>AVERAGE('Defense Supercycle'!I27,'Defense Supercycle'!I28)</f>
        <v>0.24199999999999999</v>
      </c>
      <c r="H7" s="1"/>
      <c r="I7" s="1"/>
      <c r="J7" s="1"/>
    </row>
    <row r="8" spans="1:10" ht="15" customHeight="1" x14ac:dyDescent="0.2">
      <c r="A8" s="55" t="s">
        <v>283</v>
      </c>
      <c r="B8" s="16" t="s">
        <v>351</v>
      </c>
      <c r="C8" s="57">
        <f>Assumptions!C23+Assumptions!C24+Assumptions!C25</f>
        <v>49</v>
      </c>
      <c r="D8" s="15">
        <f>C8/Assumptions!$B$5</f>
        <v>0.19600000000000001</v>
      </c>
      <c r="E8" s="15">
        <f>C8/'Holdco Summary'!$B$9</f>
        <v>6.5333333333333327E-2</v>
      </c>
      <c r="F8" s="58">
        <f>AVERAGE('Defense Supercycle'!G29,'Defense Supercycle'!G30,'Defense Supercycle'!G31)</f>
        <v>3.4666666666666668</v>
      </c>
      <c r="G8" s="72">
        <f>AVERAGE('Defense Supercycle'!I29,'Defense Supercycle'!I30,'Defense Supercycle'!I31)</f>
        <v>0.33400000000000007</v>
      </c>
      <c r="H8" s="1"/>
      <c r="I8" s="1"/>
      <c r="J8" s="1"/>
    </row>
    <row r="9" spans="1:10" ht="15" customHeight="1" x14ac:dyDescent="0.2">
      <c r="A9" s="55" t="s">
        <v>352</v>
      </c>
      <c r="B9" s="16" t="s">
        <v>234</v>
      </c>
      <c r="C9" s="57">
        <f>Assumptions!C26</f>
        <v>6.5</v>
      </c>
      <c r="D9" s="15">
        <f>C9/Assumptions!$B$5</f>
        <v>2.5999999999999999E-2</v>
      </c>
      <c r="E9" s="15">
        <f>C9/'Holdco Summary'!$B$9</f>
        <v>8.6666666666666663E-3</v>
      </c>
      <c r="F9" s="58">
        <f>AVERAGE('Defense Supercycle'!G32)</f>
        <v>1.7</v>
      </c>
      <c r="G9" s="72">
        <f>AVERAGE('Defense Supercycle'!I32)</f>
        <v>0.21600000000000003</v>
      </c>
      <c r="H9" s="1"/>
      <c r="I9" s="1"/>
      <c r="J9" s="1"/>
    </row>
    <row r="10" spans="1:10" ht="15" customHeight="1" x14ac:dyDescent="0.2">
      <c r="A10" s="53" t="s">
        <v>353</v>
      </c>
      <c r="B10" s="1"/>
      <c r="C10" s="19">
        <f>SUM(C6:C9)</f>
        <v>250</v>
      </c>
      <c r="D10" s="20">
        <f>SUM(D6:D9)</f>
        <v>1</v>
      </c>
      <c r="E10" s="1"/>
      <c r="F10" s="54">
        <f>AVERAGE('Defense Supercycle'!G24,'Defense Supercycle'!G25,'Defense Supercycle'!G26,'Defense Supercycle'!G27,'Defense Supercycle'!G28,'Defense Supercycle'!G29,'Defense Supercycle'!G30,'Defense Supercycle'!G31,'Defense Supercycle'!G32)</f>
        <v>3.5555555555555562</v>
      </c>
      <c r="G10" s="1"/>
      <c r="H10" s="1"/>
      <c r="I10" s="1"/>
      <c r="J10" s="1"/>
    </row>
    <row r="11" spans="1:10" ht="1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5" customHeight="1" x14ac:dyDescent="0.2">
      <c r="A12" s="28" t="s">
        <v>354</v>
      </c>
      <c r="B12" s="1"/>
      <c r="C12" s="1"/>
      <c r="D12" s="1"/>
      <c r="E12" s="1"/>
      <c r="F12" s="1"/>
      <c r="G12" s="1"/>
      <c r="H12" s="1"/>
      <c r="I12" s="1"/>
      <c r="J12" s="1"/>
    </row>
    <row r="13" spans="1:10" ht="27.75" customHeight="1" x14ac:dyDescent="0.2">
      <c r="A13" s="12" t="s">
        <v>355</v>
      </c>
      <c r="B13" s="12" t="s">
        <v>205</v>
      </c>
      <c r="C13" s="12" t="s">
        <v>313</v>
      </c>
      <c r="D13" s="12" t="s">
        <v>314</v>
      </c>
      <c r="E13" s="12" t="s">
        <v>316</v>
      </c>
      <c r="F13" s="12" t="s">
        <v>317</v>
      </c>
      <c r="G13" s="12" t="s">
        <v>319</v>
      </c>
      <c r="H13" s="12" t="s">
        <v>320</v>
      </c>
      <c r="I13" s="21" t="s">
        <v>322</v>
      </c>
      <c r="J13" s="21" t="s">
        <v>323</v>
      </c>
    </row>
    <row r="14" spans="1:10" ht="27.75" customHeight="1" x14ac:dyDescent="0.2">
      <c r="A14" s="16" t="s">
        <v>277</v>
      </c>
      <c r="B14" s="57">
        <f>Assumptions!C18+Assumptions!C19+Assumptions!C20</f>
        <v>132.5</v>
      </c>
      <c r="C14" s="61">
        <f>'Portfolio Returns'!C6+'Portfolio Returns'!C7+'Portfolio Returns'!C8</f>
        <v>293.61934338039998</v>
      </c>
      <c r="D14" s="36">
        <f>C14/B14</f>
        <v>2.2159950443803771</v>
      </c>
      <c r="E14" s="61">
        <f>'Portfolio Returns'!F6+'Portfolio Returns'!F7+'Portfolio Returns'!F8</f>
        <v>470.4887637508001</v>
      </c>
      <c r="F14" s="36">
        <f>E14/B14</f>
        <v>3.550858594345661</v>
      </c>
      <c r="G14" s="61">
        <f>'Portfolio Returns'!I6+'Portfolio Returns'!I7+'Portfolio Returns'!I8</f>
        <v>66.064919482250005</v>
      </c>
      <c r="H14" s="36">
        <f>G14/B14</f>
        <v>0.49860316590377363</v>
      </c>
      <c r="I14" s="62">
        <f>'Portfolio Returns'!L6+'Portfolio Returns'!L7+'Portfolio Returns'!L8</f>
        <v>581.30727102806827</v>
      </c>
      <c r="J14" s="37">
        <f>I14/B14</f>
        <v>4.3872246870042888</v>
      </c>
    </row>
    <row r="15" spans="1:10" ht="15" customHeight="1" x14ac:dyDescent="0.2">
      <c r="A15" s="16" t="s">
        <v>280</v>
      </c>
      <c r="B15" s="57">
        <f>Assumptions!C21+Assumptions!C22</f>
        <v>62</v>
      </c>
      <c r="C15" s="61">
        <f>'Portfolio Returns'!C9+'Portfolio Returns'!C10</f>
        <v>132.23902762495999</v>
      </c>
      <c r="D15" s="36">
        <f>C15/B15</f>
        <v>2.1328875423380644</v>
      </c>
      <c r="E15" s="61">
        <f>'Portfolio Returns'!F9+'Portfolio Returns'!F10</f>
        <v>212.61652828159993</v>
      </c>
      <c r="F15" s="36">
        <f>E15/B15</f>
        <v>3.4292988432516118</v>
      </c>
      <c r="G15" s="61">
        <f>'Portfolio Returns'!I9+'Portfolio Returns'!I10</f>
        <v>41.289167823279996</v>
      </c>
      <c r="H15" s="36">
        <f>G15/B15</f>
        <v>0.66595431973032249</v>
      </c>
      <c r="I15" s="62">
        <f>'Portfolio Returns'!L9+'Portfolio Returns'!L10</f>
        <v>156.01273626446556</v>
      </c>
      <c r="J15" s="37">
        <f>I15/B15</f>
        <v>2.5163344558784768</v>
      </c>
    </row>
    <row r="16" spans="1:10" ht="15" customHeight="1" x14ac:dyDescent="0.2">
      <c r="A16" s="16" t="s">
        <v>283</v>
      </c>
      <c r="B16" s="57">
        <f>Assumptions!C23+Assumptions!C24+Assumptions!C25</f>
        <v>49</v>
      </c>
      <c r="C16" s="61">
        <f>'Portfolio Returns'!C11+'Portfolio Returns'!C12+'Portfolio Returns'!C13</f>
        <v>120.988653301575</v>
      </c>
      <c r="D16" s="36">
        <f>C16/B16</f>
        <v>2.4691561898280612</v>
      </c>
      <c r="E16" s="61">
        <f>'Portfolio Returns'!F11+'Portfolio Returns'!F12+'Portfolio Returns'!F13</f>
        <v>191.54134826635499</v>
      </c>
      <c r="F16" s="36">
        <f>E16/B16</f>
        <v>3.9090071074766324</v>
      </c>
      <c r="G16" s="61">
        <f>'Portfolio Returns'!I11+'Portfolio Returns'!I12+'Portfolio Returns'!I13</f>
        <v>17.628329985120004</v>
      </c>
      <c r="H16" s="36">
        <f>G16/B16</f>
        <v>0.3597618364310205</v>
      </c>
      <c r="I16" s="62">
        <f>'Portfolio Returns'!L11+'Portfolio Returns'!L12+'Portfolio Returns'!L13</f>
        <v>163.39703836960868</v>
      </c>
      <c r="J16" s="37">
        <f>I16/B16</f>
        <v>3.3346334361144629</v>
      </c>
    </row>
    <row r="17" spans="1:10" ht="15" customHeight="1" x14ac:dyDescent="0.2">
      <c r="A17" s="16" t="s">
        <v>352</v>
      </c>
      <c r="B17" s="57">
        <f>Assumptions!C26</f>
        <v>6.5</v>
      </c>
      <c r="C17" s="61">
        <f>'Portfolio Returns'!C14</f>
        <v>18.98375544832</v>
      </c>
      <c r="D17" s="36">
        <f>C17/B17</f>
        <v>2.9205777612800001</v>
      </c>
      <c r="E17" s="61">
        <f>'Portfolio Returns'!F14</f>
        <v>29.714775999999993</v>
      </c>
      <c r="F17" s="36">
        <f>E17/B17</f>
        <v>4.5715039999999991</v>
      </c>
      <c r="G17" s="61">
        <f>'Portfolio Returns'!I14</f>
        <v>1.3111083984375</v>
      </c>
      <c r="H17" s="36">
        <f>G17/B17</f>
        <v>0.20170898437500001</v>
      </c>
      <c r="I17" s="62">
        <f>'Portfolio Returns'!L14</f>
        <v>14.689268088071781</v>
      </c>
      <c r="J17" s="37">
        <f>I17/B17</f>
        <v>2.2598873981648895</v>
      </c>
    </row>
    <row r="18" spans="1:10" ht="15" customHeight="1" x14ac:dyDescent="0.2">
      <c r="A18" s="53" t="s">
        <v>356</v>
      </c>
      <c r="B18" s="73">
        <f>SUM(B14:B17)</f>
        <v>250</v>
      </c>
      <c r="C18" s="73">
        <f>SUM(C14:C17)</f>
        <v>565.83077975525498</v>
      </c>
      <c r="D18" s="74">
        <f>C18/B18</f>
        <v>2.2633231190210199</v>
      </c>
      <c r="E18" s="73">
        <f>SUM(E14:E17)</f>
        <v>904.3614162987551</v>
      </c>
      <c r="F18" s="74">
        <f>E18/B18</f>
        <v>3.6174456651950204</v>
      </c>
      <c r="G18" s="73">
        <f>SUM(G14:G17)</f>
        <v>126.2935256890875</v>
      </c>
      <c r="H18" s="74">
        <f>G18/B18</f>
        <v>0.50517410275635</v>
      </c>
      <c r="I18" s="75">
        <f>SUM(I14:I17)</f>
        <v>915.40631375021428</v>
      </c>
      <c r="J18" s="76">
        <f>I18/B18</f>
        <v>3.6616252550008572</v>
      </c>
    </row>
    <row r="19" spans="1:10" ht="1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5" customHeight="1" x14ac:dyDescent="0.2">
      <c r="A20" s="28" t="s">
        <v>357</v>
      </c>
      <c r="B20" s="1"/>
      <c r="C20" s="1"/>
      <c r="D20" s="1"/>
      <c r="E20" s="1"/>
      <c r="F20" s="1"/>
      <c r="G20" s="1"/>
      <c r="H20" s="1"/>
      <c r="I20" s="1"/>
      <c r="J20" s="1"/>
    </row>
    <row r="21" spans="1:10" ht="27.75" customHeight="1" x14ac:dyDescent="0.2">
      <c r="A21" s="12" t="s">
        <v>355</v>
      </c>
      <c r="B21" s="12" t="s">
        <v>205</v>
      </c>
      <c r="C21" s="12" t="s">
        <v>313</v>
      </c>
      <c r="D21" s="12" t="s">
        <v>314</v>
      </c>
      <c r="E21" s="12" t="s">
        <v>316</v>
      </c>
      <c r="F21" s="12" t="s">
        <v>317</v>
      </c>
      <c r="G21" s="12" t="s">
        <v>319</v>
      </c>
      <c r="H21" s="12" t="s">
        <v>320</v>
      </c>
      <c r="I21" s="21" t="s">
        <v>322</v>
      </c>
      <c r="J21" s="21" t="s">
        <v>323</v>
      </c>
    </row>
    <row r="22" spans="1:10" ht="27.75" customHeight="1" x14ac:dyDescent="0.2">
      <c r="A22" s="16" t="s">
        <v>277</v>
      </c>
      <c r="B22" s="57">
        <f>Assumptions!C18+Assumptions!C19+Assumptions!C20</f>
        <v>132.5</v>
      </c>
      <c r="C22" s="61">
        <f>'Portfolio Returns'!C20+'Portfolio Returns'!C21+'Portfolio Returns'!C22</f>
        <v>398.05550659303361</v>
      </c>
      <c r="D22" s="36">
        <f>C22/B22</f>
        <v>3.0041925025889329</v>
      </c>
      <c r="E22" s="61">
        <f>'Portfolio Returns'!F20+'Portfolio Returns'!F21+'Portfolio Returns'!F22</f>
        <v>769.33638491084821</v>
      </c>
      <c r="F22" s="36">
        <f>E22/B22</f>
        <v>5.8063123389497981</v>
      </c>
      <c r="G22" s="61">
        <f>'Portfolio Returns'!I20+'Portfolio Returns'!I21+'Portfolio Returns'!I22</f>
        <v>52.728572409365199</v>
      </c>
      <c r="H22" s="36">
        <f>G22/B22</f>
        <v>0.39795148988200152</v>
      </c>
      <c r="I22" s="62">
        <f>'Portfolio Returns'!L20+'Portfolio Returns'!L21+'Portfolio Returns'!L22</f>
        <v>1034.8882055022498</v>
      </c>
      <c r="J22" s="37">
        <f>I22/B22</f>
        <v>7.810477022658489</v>
      </c>
    </row>
    <row r="23" spans="1:10" ht="15" customHeight="1" x14ac:dyDescent="0.2">
      <c r="A23" s="16" t="s">
        <v>280</v>
      </c>
      <c r="B23" s="57">
        <f>Assumptions!C21+Assumptions!C22</f>
        <v>62</v>
      </c>
      <c r="C23" s="61">
        <f>'Portfolio Returns'!C23+'Portfolio Returns'!C24</f>
        <v>176.67760957240444</v>
      </c>
      <c r="D23" s="36">
        <f>C23/B23</f>
        <v>2.8496388640710393</v>
      </c>
      <c r="E23" s="61">
        <f>'Portfolio Returns'!F23+'Portfolio Returns'!F24</f>
        <v>343.03988066345278</v>
      </c>
      <c r="F23" s="36">
        <f>E23/B23</f>
        <v>5.5329013010234318</v>
      </c>
      <c r="G23" s="61">
        <f>'Portfolio Returns'!I23+'Portfolio Returns'!I24</f>
        <v>34.60101499528777</v>
      </c>
      <c r="H23" s="36">
        <f>G23/B23</f>
        <v>0.55808088702077052</v>
      </c>
      <c r="I23" s="62">
        <f>'Portfolio Returns'!L23+'Portfolio Returns'!L24</f>
        <v>221.47569455830293</v>
      </c>
      <c r="J23" s="37">
        <f>I23/B23</f>
        <v>3.5721886219081118</v>
      </c>
    </row>
    <row r="24" spans="1:10" ht="15" customHeight="1" x14ac:dyDescent="0.2">
      <c r="A24" s="16" t="s">
        <v>283</v>
      </c>
      <c r="B24" s="57">
        <f>Assumptions!C23+Assumptions!C24+Assumptions!C25</f>
        <v>49</v>
      </c>
      <c r="C24" s="61">
        <f>'Portfolio Returns'!C25+'Portfolio Returns'!C26+'Portfolio Returns'!C27</f>
        <v>174.85609267248373</v>
      </c>
      <c r="D24" s="36">
        <f>C24/B24</f>
        <v>3.5684916871935455</v>
      </c>
      <c r="E24" s="61">
        <f>'Portfolio Returns'!F25+'Portfolio Returns'!F26+'Portfolio Returns'!F27</f>
        <v>331.18438449301044</v>
      </c>
      <c r="F24" s="36">
        <f>E24/B24</f>
        <v>6.758864989653274</v>
      </c>
      <c r="G24" s="61">
        <f>'Portfolio Returns'!I25+'Portfolio Returns'!I26+'Portfolio Returns'!I27</f>
        <v>12.027337483290859</v>
      </c>
      <c r="H24" s="36">
        <f>G24/B24</f>
        <v>0.24545586700593591</v>
      </c>
      <c r="I24" s="62">
        <f>'Portfolio Returns'!L25+'Portfolio Returns'!L26+'Portfolio Returns'!L27</f>
        <v>266.15198659603158</v>
      </c>
      <c r="J24" s="37">
        <f>I24/B24</f>
        <v>5.4316731958373792</v>
      </c>
    </row>
    <row r="25" spans="1:10" ht="15" customHeight="1" x14ac:dyDescent="0.2">
      <c r="A25" s="16" t="s">
        <v>352</v>
      </c>
      <c r="B25" s="57">
        <f>Assumptions!C26</f>
        <v>6.5</v>
      </c>
      <c r="C25" s="61">
        <f>'Portfolio Returns'!C28</f>
        <v>28.541562638460526</v>
      </c>
      <c r="D25" s="36">
        <f>C25/B25</f>
        <v>4.3910096366862348</v>
      </c>
      <c r="E25" s="61">
        <f>'Portfolio Returns'!F28</f>
        <v>53.444646527999971</v>
      </c>
      <c r="F25" s="36">
        <f>E25/B25</f>
        <v>8.2222533119999959</v>
      </c>
      <c r="G25" s="61">
        <f>'Portfolio Returns'!I28</f>
        <v>0.67676330566406251</v>
      </c>
      <c r="H25" s="36">
        <f>G25/B25</f>
        <v>0.10411743164062501</v>
      </c>
      <c r="I25" s="62">
        <f>'Portfolio Returns'!L28</f>
        <v>19.931637679232914</v>
      </c>
      <c r="J25" s="37">
        <f>I25/B25</f>
        <v>3.0664057968050638</v>
      </c>
    </row>
    <row r="26" spans="1:10" ht="15" customHeight="1" x14ac:dyDescent="0.2">
      <c r="A26" s="53" t="s">
        <v>356</v>
      </c>
      <c r="B26" s="73">
        <f>SUM(B22:B25)</f>
        <v>250</v>
      </c>
      <c r="C26" s="73">
        <f>SUM(C22:C25)</f>
        <v>778.13077147638239</v>
      </c>
      <c r="D26" s="74">
        <f>C26/B26</f>
        <v>3.1125230859055297</v>
      </c>
      <c r="E26" s="73">
        <f>SUM(E22:E25)</f>
        <v>1497.0052965953114</v>
      </c>
      <c r="F26" s="74">
        <f>E26/B26</f>
        <v>5.9880211863812454</v>
      </c>
      <c r="G26" s="73">
        <f>SUM(G22:G25)</f>
        <v>100.0336881936079</v>
      </c>
      <c r="H26" s="74">
        <f>G26/B26</f>
        <v>0.40013475277443161</v>
      </c>
      <c r="I26" s="75">
        <f>SUM(I22:I25)</f>
        <v>1542.447524335817</v>
      </c>
      <c r="J26" s="76">
        <f>I26/B26</f>
        <v>6.1697900973432676</v>
      </c>
    </row>
    <row r="27" spans="1:10" ht="1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5" customHeight="1" x14ac:dyDescent="0.2">
      <c r="A28" s="28" t="s">
        <v>358</v>
      </c>
      <c r="B28" s="1"/>
      <c r="C28" s="1"/>
      <c r="D28" s="1"/>
      <c r="E28" s="1"/>
      <c r="F28" s="1"/>
      <c r="G28" s="1"/>
      <c r="H28" s="1"/>
      <c r="I28" s="1"/>
      <c r="J28" s="1"/>
    </row>
    <row r="29" spans="1:10" ht="27.75" customHeight="1" x14ac:dyDescent="0.2">
      <c r="A29" s="12" t="s">
        <v>355</v>
      </c>
      <c r="B29" s="12" t="s">
        <v>205</v>
      </c>
      <c r="C29" s="12" t="s">
        <v>313</v>
      </c>
      <c r="D29" s="12" t="s">
        <v>314</v>
      </c>
      <c r="E29" s="12" t="s">
        <v>316</v>
      </c>
      <c r="F29" s="12" t="s">
        <v>317</v>
      </c>
      <c r="G29" s="12" t="s">
        <v>319</v>
      </c>
      <c r="H29" s="12" t="s">
        <v>320</v>
      </c>
      <c r="I29" s="21" t="s">
        <v>322</v>
      </c>
      <c r="J29" s="21" t="s">
        <v>323</v>
      </c>
    </row>
    <row r="30" spans="1:10" ht="27.75" customHeight="1" x14ac:dyDescent="0.2">
      <c r="A30" s="16" t="s">
        <v>277</v>
      </c>
      <c r="B30" s="57">
        <f>Assumptions!C18+Assumptions!C19+Assumptions!C20</f>
        <v>132.5</v>
      </c>
      <c r="C30" s="61">
        <f>'Portfolio Returns'!C34+'Portfolio Returns'!C35+'Portfolio Returns'!C36</f>
        <v>627.31026249700142</v>
      </c>
      <c r="D30" s="36">
        <f>C30/B30</f>
        <v>4.7344170754490671</v>
      </c>
      <c r="E30" s="61">
        <f>'Portfolio Returns'!F34+'Portfolio Returns'!F35+'Portfolio Returns'!F36</f>
        <v>1604.420850176228</v>
      </c>
      <c r="F30" s="36">
        <f>E30/B30</f>
        <v>12.108836605103608</v>
      </c>
      <c r="G30" s="61">
        <f>'Portfolio Returns'!I34+'Portfolio Returns'!I35+'Portfolio Returns'!I36</f>
        <v>40.227847176826351</v>
      </c>
      <c r="H30" s="36">
        <f>G30/B30</f>
        <v>0.3036063937873687</v>
      </c>
      <c r="I30" s="62">
        <f>'Portfolio Returns'!L34+'Portfolio Returns'!L35+'Portfolio Returns'!L36</f>
        <v>2451.6352446661667</v>
      </c>
      <c r="J30" s="37">
        <f>I30/B30</f>
        <v>18.502907506914465</v>
      </c>
    </row>
    <row r="31" spans="1:10" ht="15" customHeight="1" x14ac:dyDescent="0.2">
      <c r="A31" s="16" t="s">
        <v>280</v>
      </c>
      <c r="B31" s="57">
        <f>Assumptions!C21+Assumptions!C22</f>
        <v>62</v>
      </c>
      <c r="C31" s="61">
        <f>'Portfolio Returns'!C37+'Portfolio Returns'!C38</f>
        <v>272.74132438932122</v>
      </c>
      <c r="D31" s="36">
        <f>C31/B31</f>
        <v>4.3990536191826006</v>
      </c>
      <c r="E31" s="61">
        <f>'Portfolio Returns'!F37+'Portfolio Returns'!F38</f>
        <v>701.83258028788919</v>
      </c>
      <c r="F31" s="36">
        <f>E31/B31</f>
        <v>11.31988032722402</v>
      </c>
      <c r="G31" s="61">
        <f>'Portfolio Returns'!I37+'Portfolio Returns'!I38</f>
        <v>26.510916064129386</v>
      </c>
      <c r="H31" s="36">
        <f>G31/B31</f>
        <v>0.42759542038918363</v>
      </c>
      <c r="I31" s="62">
        <f>'Portfolio Returns'!L37+'Portfolio Returns'!L38</f>
        <v>372.37855281470104</v>
      </c>
      <c r="J31" s="37">
        <f>I31/B31</f>
        <v>6.0061056905596946</v>
      </c>
    </row>
    <row r="32" spans="1:10" ht="15" customHeight="1" x14ac:dyDescent="0.2">
      <c r="A32" s="16" t="s">
        <v>283</v>
      </c>
      <c r="B32" s="57">
        <f>Assumptions!C23+Assumptions!C24+Assumptions!C25</f>
        <v>49</v>
      </c>
      <c r="C32" s="61">
        <f>'Portfolio Returns'!C39+'Portfolio Returns'!C40+'Portfolio Returns'!C41</f>
        <v>309.22219943886307</v>
      </c>
      <c r="D32" s="36">
        <f>C32/B32</f>
        <v>6.3106571314053692</v>
      </c>
      <c r="E32" s="61">
        <f>'Portfolio Returns'!F39+'Portfolio Returns'!F40+'Portfolio Returns'!F41</f>
        <v>763.59320103039317</v>
      </c>
      <c r="F32" s="36">
        <f>E32/B32</f>
        <v>15.583534714905984</v>
      </c>
      <c r="G32" s="61">
        <f>'Portfolio Returns'!I39+'Portfolio Returns'!I40+'Portfolio Returns'!I41</f>
        <v>6.9756849653321549</v>
      </c>
      <c r="H32" s="36">
        <f>G32/B32</f>
        <v>0.14236091765983991</v>
      </c>
      <c r="I32" s="62">
        <f>'Portfolio Returns'!L39+'Portfolio Returns'!L40+'Portfolio Returns'!L41</f>
        <v>562.84427808276564</v>
      </c>
      <c r="J32" s="37">
        <f>I32/B32</f>
        <v>11.486617920056442</v>
      </c>
    </row>
    <row r="33" spans="1:10" ht="15" customHeight="1" x14ac:dyDescent="0.2">
      <c r="A33" s="16" t="s">
        <v>352</v>
      </c>
      <c r="B33" s="57">
        <f>Assumptions!C26</f>
        <v>6.5</v>
      </c>
      <c r="C33" s="61">
        <f>'Portfolio Returns'!C42</f>
        <v>52.182149635709585</v>
      </c>
      <c r="D33" s="36">
        <f>C33/B33</f>
        <v>8.0280230208783969</v>
      </c>
      <c r="E33" s="61">
        <f>'Portfolio Returns'!F42</f>
        <v>127.85055749939191</v>
      </c>
      <c r="F33" s="36">
        <f>E33/B33</f>
        <v>19.669316538367987</v>
      </c>
      <c r="G33" s="61">
        <f>'Portfolio Returns'!I42</f>
        <v>0.24890573501586916</v>
      </c>
      <c r="H33" s="36">
        <f>G33/B33</f>
        <v>3.8293190002441406E-2</v>
      </c>
      <c r="I33" s="62">
        <f>'Portfolio Returns'!L42</f>
        <v>31.243380555763839</v>
      </c>
      <c r="J33" s="37">
        <f>I33/B33</f>
        <v>4.8066739316559755</v>
      </c>
    </row>
    <row r="34" spans="1:10" ht="15" customHeight="1" x14ac:dyDescent="0.2">
      <c r="A34" s="53" t="s">
        <v>356</v>
      </c>
      <c r="B34" s="73">
        <f>SUM(B30:B33)</f>
        <v>250</v>
      </c>
      <c r="C34" s="73">
        <f>SUM(C30:C33)</f>
        <v>1261.4559359608952</v>
      </c>
      <c r="D34" s="74">
        <f>C34/B34</f>
        <v>5.0458237438435809</v>
      </c>
      <c r="E34" s="73">
        <f>SUM(E30:E33)</f>
        <v>3197.6971889939023</v>
      </c>
      <c r="F34" s="74">
        <f>E34/B34</f>
        <v>12.790788755975608</v>
      </c>
      <c r="G34" s="73">
        <f>SUM(G30:G33)</f>
        <v>73.963353941303751</v>
      </c>
      <c r="H34" s="74">
        <f>G34/B34</f>
        <v>0.29585341576521501</v>
      </c>
      <c r="I34" s="75">
        <f>SUM(I30:I33)</f>
        <v>3418.101456119397</v>
      </c>
      <c r="J34" s="76">
        <f>I34/B34</f>
        <v>13.672405824477588</v>
      </c>
    </row>
    <row r="35" spans="1:10" ht="1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25.5" customHeight="1" x14ac:dyDescent="0.2">
      <c r="A36" s="97" t="s">
        <v>359</v>
      </c>
      <c r="B36" s="98"/>
      <c r="C36" s="98"/>
      <c r="D36" s="98"/>
      <c r="E36" s="98"/>
      <c r="F36" s="98"/>
      <c r="G36" s="98"/>
      <c r="H36" s="98"/>
      <c r="I36" s="98"/>
      <c r="J36" s="98"/>
    </row>
  </sheetData>
  <mergeCells count="1">
    <mergeCell ref="A36:J36"/>
  </mergeCells>
  <printOptions horizontalCentered="1"/>
  <pageMargins left="0.4" right="0.4" top="1" bottom="1" header="0.511811023622047" footer="0.511811023622047"/>
  <pageSetup paperSize="9" fitToHeight="0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A3B2E"/>
    <pageSetUpPr fitToPage="1"/>
  </sheetPr>
  <dimension ref="A1:N54"/>
  <sheetViews>
    <sheetView showGridLines="0" zoomScaleNormal="100" workbookViewId="0"/>
  </sheetViews>
  <sheetFormatPr baseColWidth="10" defaultColWidth="8.6640625" defaultRowHeight="15" x14ac:dyDescent="0.2"/>
  <cols>
    <col min="1" max="1" width="24" customWidth="1"/>
    <col min="2" max="2" width="12" customWidth="1"/>
    <col min="3" max="4" width="10" customWidth="1"/>
    <col min="5" max="5" width="24" customWidth="1"/>
    <col min="6" max="6" width="9" customWidth="1"/>
    <col min="7" max="9" width="10" customWidth="1"/>
    <col min="10" max="10" width="24" customWidth="1"/>
    <col min="11" max="11" width="10" customWidth="1"/>
    <col min="12" max="14" width="11" customWidth="1"/>
  </cols>
  <sheetData>
    <row r="1" spans="1:14" ht="18" customHeight="1" x14ac:dyDescent="0.2">
      <c r="A1" s="9" t="s">
        <v>360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" customHeight="1" x14ac:dyDescent="0.2">
      <c r="A2" s="10" t="s">
        <v>361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5" customHeight="1" x14ac:dyDescent="0.2">
      <c r="A4" s="11" t="s">
        <v>362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5" customHeight="1" x14ac:dyDescent="0.2">
      <c r="A5" s="25" t="s">
        <v>363</v>
      </c>
      <c r="B5" s="45">
        <f>'Holdco Summary'!$B$7</f>
        <v>300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5" customHeight="1" x14ac:dyDescent="0.2">
      <c r="A6" s="25" t="s">
        <v>364</v>
      </c>
      <c r="B6" s="27">
        <v>0.92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5" customHeight="1" x14ac:dyDescent="0.2">
      <c r="A7" s="25" t="s">
        <v>365</v>
      </c>
      <c r="B7" s="27">
        <v>0.88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5" customHeight="1" x14ac:dyDescent="0.2">
      <c r="A8" s="25" t="s">
        <v>366</v>
      </c>
      <c r="B8" s="27">
        <v>0.82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1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5" customHeight="1" x14ac:dyDescent="0.2">
      <c r="A10" s="11" t="s">
        <v>367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27.75" customHeight="1" x14ac:dyDescent="0.2">
      <c r="A11" s="12" t="s">
        <v>203</v>
      </c>
      <c r="B11" s="12" t="s">
        <v>204</v>
      </c>
      <c r="C11" s="12" t="s">
        <v>205</v>
      </c>
      <c r="D11" s="12" t="s">
        <v>206</v>
      </c>
      <c r="E11" s="12" t="s">
        <v>368</v>
      </c>
      <c r="F11" s="12" t="s">
        <v>50</v>
      </c>
      <c r="G11" s="12" t="s">
        <v>51</v>
      </c>
      <c r="H11" s="12" t="s">
        <v>52</v>
      </c>
      <c r="I11" s="21" t="s">
        <v>369</v>
      </c>
      <c r="J11" s="12" t="s">
        <v>211</v>
      </c>
      <c r="K11" s="1"/>
      <c r="L11" s="1"/>
      <c r="M11" s="1"/>
      <c r="N11" s="1"/>
    </row>
    <row r="12" spans="1:14" ht="40.5" customHeight="1" x14ac:dyDescent="0.2">
      <c r="A12" s="13" t="s">
        <v>370</v>
      </c>
      <c r="B12" s="46">
        <v>9250</v>
      </c>
      <c r="C12" s="46">
        <v>70</v>
      </c>
      <c r="D12" s="15">
        <f t="shared" ref="D12:D18" si="0">C12/B12</f>
        <v>7.5675675675675675E-3</v>
      </c>
      <c r="E12" s="16" t="s">
        <v>371</v>
      </c>
      <c r="F12" s="47">
        <v>0.26</v>
      </c>
      <c r="G12" s="47">
        <v>0.4</v>
      </c>
      <c r="H12" s="47">
        <v>0</v>
      </c>
      <c r="I12" s="77">
        <v>0.38</v>
      </c>
      <c r="J12" s="42" t="s">
        <v>372</v>
      </c>
      <c r="K12" s="1"/>
      <c r="L12" s="1"/>
      <c r="M12" s="1"/>
      <c r="N12" s="1"/>
    </row>
    <row r="13" spans="1:14" ht="27.75" customHeight="1" x14ac:dyDescent="0.2">
      <c r="A13" s="13" t="s">
        <v>373</v>
      </c>
      <c r="B13" s="46">
        <v>1350</v>
      </c>
      <c r="C13" s="46">
        <v>45</v>
      </c>
      <c r="D13" s="15">
        <f t="shared" si="0"/>
        <v>3.3333333333333333E-2</v>
      </c>
      <c r="E13" s="16" t="s">
        <v>374</v>
      </c>
      <c r="F13" s="47">
        <v>0.24</v>
      </c>
      <c r="G13" s="47">
        <v>0.38</v>
      </c>
      <c r="H13" s="47">
        <v>-0.02</v>
      </c>
      <c r="I13" s="77">
        <v>0.4</v>
      </c>
      <c r="J13" s="42" t="s">
        <v>375</v>
      </c>
      <c r="K13" s="1"/>
      <c r="L13" s="1"/>
      <c r="M13" s="1"/>
      <c r="N13" s="1"/>
    </row>
    <row r="14" spans="1:14" ht="53.25" customHeight="1" x14ac:dyDescent="0.2">
      <c r="A14" s="13" t="s">
        <v>376</v>
      </c>
      <c r="B14" s="46">
        <v>16000</v>
      </c>
      <c r="C14" s="46">
        <v>40</v>
      </c>
      <c r="D14" s="15">
        <f t="shared" si="0"/>
        <v>2.5000000000000001E-3</v>
      </c>
      <c r="E14" s="16" t="s">
        <v>377</v>
      </c>
      <c r="F14" s="47">
        <v>0.17</v>
      </c>
      <c r="G14" s="47">
        <v>0.28000000000000003</v>
      </c>
      <c r="H14" s="47">
        <v>0.06</v>
      </c>
      <c r="I14" s="77">
        <v>0.28000000000000003</v>
      </c>
      <c r="J14" s="42" t="s">
        <v>378</v>
      </c>
      <c r="K14" s="1"/>
      <c r="L14" s="1"/>
      <c r="M14" s="1"/>
      <c r="N14" s="1"/>
    </row>
    <row r="15" spans="1:14" ht="40.5" customHeight="1" x14ac:dyDescent="0.2">
      <c r="A15" s="13" t="s">
        <v>379</v>
      </c>
      <c r="B15" s="46">
        <v>3000</v>
      </c>
      <c r="C15" s="46">
        <v>30</v>
      </c>
      <c r="D15" s="15">
        <f t="shared" si="0"/>
        <v>0.01</v>
      </c>
      <c r="E15" s="16" t="s">
        <v>380</v>
      </c>
      <c r="F15" s="47">
        <v>0.16</v>
      </c>
      <c r="G15" s="47">
        <v>0.26</v>
      </c>
      <c r="H15" s="47">
        <v>0.05</v>
      </c>
      <c r="I15" s="77">
        <v>0.28000000000000003</v>
      </c>
      <c r="J15" s="42" t="s">
        <v>381</v>
      </c>
      <c r="K15" s="1"/>
      <c r="L15" s="1"/>
      <c r="M15" s="1"/>
      <c r="N15" s="1"/>
    </row>
    <row r="16" spans="1:14" ht="27.75" customHeight="1" x14ac:dyDescent="0.2">
      <c r="A16" s="13" t="s">
        <v>382</v>
      </c>
      <c r="B16" s="46">
        <v>1800</v>
      </c>
      <c r="C16" s="46">
        <v>35</v>
      </c>
      <c r="D16" s="15">
        <f t="shared" si="0"/>
        <v>1.9444444444444445E-2</v>
      </c>
      <c r="E16" s="16" t="s">
        <v>383</v>
      </c>
      <c r="F16" s="47">
        <v>0.12</v>
      </c>
      <c r="G16" s="47">
        <v>0.2</v>
      </c>
      <c r="H16" s="47">
        <v>0.04</v>
      </c>
      <c r="I16" s="77">
        <v>0.22</v>
      </c>
      <c r="J16" s="42" t="s">
        <v>384</v>
      </c>
      <c r="K16" s="1"/>
      <c r="L16" s="1"/>
      <c r="M16" s="1"/>
      <c r="N16" s="1"/>
    </row>
    <row r="17" spans="1:14" ht="27.75" customHeight="1" x14ac:dyDescent="0.2">
      <c r="A17" s="13" t="s">
        <v>385</v>
      </c>
      <c r="B17" s="46">
        <v>150</v>
      </c>
      <c r="C17" s="46">
        <v>40</v>
      </c>
      <c r="D17" s="15">
        <f t="shared" si="0"/>
        <v>0.26666666666666666</v>
      </c>
      <c r="E17" s="16" t="s">
        <v>386</v>
      </c>
      <c r="F17" s="47">
        <v>0.28000000000000003</v>
      </c>
      <c r="G17" s="47">
        <v>0.44</v>
      </c>
      <c r="H17" s="47">
        <v>0.02</v>
      </c>
      <c r="I17" s="77">
        <v>0.46</v>
      </c>
      <c r="J17" s="42" t="s">
        <v>387</v>
      </c>
      <c r="K17" s="1"/>
      <c r="L17" s="1"/>
      <c r="M17" s="1"/>
      <c r="N17" s="1"/>
    </row>
    <row r="18" spans="1:14" ht="27.75" customHeight="1" x14ac:dyDescent="0.2">
      <c r="A18" s="13" t="s">
        <v>388</v>
      </c>
      <c r="B18" s="46">
        <v>1200</v>
      </c>
      <c r="C18" s="46">
        <v>40</v>
      </c>
      <c r="D18" s="15">
        <f t="shared" si="0"/>
        <v>3.3333333333333333E-2</v>
      </c>
      <c r="E18" s="16" t="s">
        <v>389</v>
      </c>
      <c r="F18" s="47">
        <v>0.14000000000000001</v>
      </c>
      <c r="G18" s="47">
        <v>0.22</v>
      </c>
      <c r="H18" s="47">
        <v>0.06</v>
      </c>
      <c r="I18" s="77">
        <v>0.24</v>
      </c>
      <c r="J18" s="42" t="s">
        <v>390</v>
      </c>
      <c r="K18" s="1"/>
      <c r="L18" s="1"/>
      <c r="M18" s="1"/>
      <c r="N18" s="1"/>
    </row>
    <row r="19" spans="1:14" ht="15" customHeight="1" x14ac:dyDescent="0.2">
      <c r="A19" s="18" t="s">
        <v>391</v>
      </c>
      <c r="B19" s="1"/>
      <c r="C19" s="19">
        <f>SUM(C12:C18)</f>
        <v>300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5" customHeight="1" x14ac:dyDescent="0.2">
      <c r="A21" s="28" t="s">
        <v>392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27.75" customHeight="1" x14ac:dyDescent="0.2">
      <c r="A22" s="12" t="s">
        <v>203</v>
      </c>
      <c r="B22" s="12" t="s">
        <v>205</v>
      </c>
      <c r="C22" s="12" t="s">
        <v>313</v>
      </c>
      <c r="D22" s="12" t="s">
        <v>314</v>
      </c>
      <c r="E22" s="12" t="s">
        <v>315</v>
      </c>
      <c r="F22" s="12" t="s">
        <v>316</v>
      </c>
      <c r="G22" s="12" t="s">
        <v>317</v>
      </c>
      <c r="H22" s="12" t="s">
        <v>318</v>
      </c>
      <c r="I22" s="12" t="s">
        <v>319</v>
      </c>
      <c r="J22" s="12" t="s">
        <v>320</v>
      </c>
      <c r="K22" s="12" t="s">
        <v>321</v>
      </c>
      <c r="L22" s="21" t="s">
        <v>322</v>
      </c>
      <c r="M22" s="21" t="s">
        <v>323</v>
      </c>
      <c r="N22" s="21" t="s">
        <v>324</v>
      </c>
    </row>
    <row r="23" spans="1:14" ht="15" customHeight="1" x14ac:dyDescent="0.2">
      <c r="A23" s="56" t="str">
        <f t="shared" ref="A23:A29" si="1">A12</f>
        <v>Saronic</v>
      </c>
      <c r="B23" s="57">
        <f t="shared" ref="B23:B29" si="2">C12</f>
        <v>70</v>
      </c>
      <c r="C23" s="61">
        <f>B23*(1+F12)^5*'Weapons Sleeve'!$B$6</f>
        <v>204.52132278144003</v>
      </c>
      <c r="D23" s="36">
        <f t="shared" ref="D23:D30" si="3">C23/B23</f>
        <v>2.9217331825920003</v>
      </c>
      <c r="E23" s="15">
        <f t="shared" ref="E23:E30" si="4">(C23/B23)^(1/5)-1</f>
        <v>0.2391620674976016</v>
      </c>
      <c r="F23" s="61">
        <f>B23*(1+G12)^5*'Weapons Sleeve'!$B$6</f>
        <v>346.35865599999988</v>
      </c>
      <c r="G23" s="36">
        <f t="shared" ref="G23:G30" si="5">F23/B23</f>
        <v>4.9479807999999981</v>
      </c>
      <c r="H23" s="15">
        <f t="shared" ref="H23:H30" si="6">(F23/B23)^(1/5)-1</f>
        <v>0.37684674166400156</v>
      </c>
      <c r="I23" s="61">
        <f>B23*(1+H12)^5*'Weapons Sleeve'!$B$6</f>
        <v>64.400000000000006</v>
      </c>
      <c r="J23" s="36">
        <f t="shared" ref="J23:J30" si="7">I23/B23</f>
        <v>0.92</v>
      </c>
      <c r="K23" s="15">
        <f t="shared" ref="K23:K30" si="8">(I23/B23)^(1/5)-1</f>
        <v>-1.6538041668570203E-2</v>
      </c>
      <c r="L23" s="62">
        <f>B23*(1+I12)^5*'Weapons Sleeve'!$B$6</f>
        <v>322.31558040191987</v>
      </c>
      <c r="M23" s="37">
        <f t="shared" ref="M23:M30" si="9">L23/B23</f>
        <v>4.604508291455998</v>
      </c>
      <c r="N23" s="39">
        <f t="shared" ref="N23:N30" si="10">(L23/B23)^(1/5)-1</f>
        <v>0.3571775024973729</v>
      </c>
    </row>
    <row r="24" spans="1:14" ht="15" customHeight="1" x14ac:dyDescent="0.2">
      <c r="A24" s="56" t="str">
        <f t="shared" si="1"/>
        <v>Epirus</v>
      </c>
      <c r="B24" s="57">
        <f t="shared" si="2"/>
        <v>45</v>
      </c>
      <c r="C24" s="61">
        <f>B24*(1+F13)^5*'Weapons Sleeve'!$B$6</f>
        <v>121.36927758336</v>
      </c>
      <c r="D24" s="36">
        <f t="shared" si="3"/>
        <v>2.6970950574080002</v>
      </c>
      <c r="E24" s="15">
        <f t="shared" si="4"/>
        <v>0.21949282833097294</v>
      </c>
      <c r="F24" s="61">
        <f>B24*(1+G13)^5*'Weapons Sleeve'!$B$6</f>
        <v>207.20287311551994</v>
      </c>
      <c r="G24" s="36">
        <f t="shared" si="5"/>
        <v>4.6045082914559989</v>
      </c>
      <c r="H24" s="15">
        <f t="shared" si="6"/>
        <v>0.3571775024973729</v>
      </c>
      <c r="I24" s="61">
        <f>B24*(1+H13)^5*'Weapons Sleeve'!$B$6</f>
        <v>37.422320987519996</v>
      </c>
      <c r="J24" s="36">
        <f t="shared" si="7"/>
        <v>0.83160713305599987</v>
      </c>
      <c r="K24" s="15">
        <f t="shared" si="8"/>
        <v>-3.6207280835198863E-2</v>
      </c>
      <c r="L24" s="62">
        <f>B24*(1+I13)^5*'Weapons Sleeve'!$B$6</f>
        <v>222.65913599999993</v>
      </c>
      <c r="M24" s="37">
        <f t="shared" si="9"/>
        <v>4.9479807999999981</v>
      </c>
      <c r="N24" s="39">
        <f t="shared" si="10"/>
        <v>0.37684674166400156</v>
      </c>
    </row>
    <row r="25" spans="1:14" ht="15" customHeight="1" x14ac:dyDescent="0.2">
      <c r="A25" s="56" t="str">
        <f t="shared" si="1"/>
        <v>Israel Aerospace Ind.</v>
      </c>
      <c r="B25" s="57">
        <f t="shared" si="2"/>
        <v>40</v>
      </c>
      <c r="C25" s="61">
        <f>B25*(1+F14)^5*'Weapons Sleeve'!$B$6</f>
        <v>80.682087713759984</v>
      </c>
      <c r="D25" s="36">
        <f t="shared" si="3"/>
        <v>2.0170521928439995</v>
      </c>
      <c r="E25" s="15">
        <f t="shared" si="4"/>
        <v>0.15065049124777286</v>
      </c>
      <c r="F25" s="61">
        <f>B25*(1+G14)^5*'Weapons Sleeve'!$B$6</f>
        <v>126.44383719424002</v>
      </c>
      <c r="G25" s="36">
        <f t="shared" si="5"/>
        <v>3.1610959298560006</v>
      </c>
      <c r="H25" s="15">
        <f t="shared" si="6"/>
        <v>0.25883130666423004</v>
      </c>
      <c r="I25" s="61">
        <f>B25*(1+H14)^5*'Weapons Sleeve'!$B$6</f>
        <v>49.246701255680016</v>
      </c>
      <c r="J25" s="36">
        <f t="shared" si="7"/>
        <v>1.2311675313920003</v>
      </c>
      <c r="K25" s="15">
        <f t="shared" si="8"/>
        <v>4.2469675831315667E-2</v>
      </c>
      <c r="L25" s="62">
        <f>B25*(1+I14)^5*'Weapons Sleeve'!$B$6</f>
        <v>126.44383719424002</v>
      </c>
      <c r="M25" s="37">
        <f t="shared" si="9"/>
        <v>3.1610959298560006</v>
      </c>
      <c r="N25" s="39">
        <f t="shared" si="10"/>
        <v>0.25883130666423004</v>
      </c>
    </row>
    <row r="26" spans="1:14" ht="15" customHeight="1" x14ac:dyDescent="0.2">
      <c r="A26" s="56" t="str">
        <f t="shared" si="1"/>
        <v>Elta Systems</v>
      </c>
      <c r="B26" s="57">
        <f t="shared" si="2"/>
        <v>30</v>
      </c>
      <c r="C26" s="61">
        <f>B26*(1+F15)^5*'Weapons Sleeve'!$B$6</f>
        <v>57.969429749759996</v>
      </c>
      <c r="D26" s="36">
        <f t="shared" si="3"/>
        <v>1.9323143249919998</v>
      </c>
      <c r="E26" s="15">
        <f t="shared" si="4"/>
        <v>0.14081587166445853</v>
      </c>
      <c r="F26" s="61">
        <f>B26*(1+G15)^5*'Weapons Sleeve'!$B$6</f>
        <v>87.651995477760025</v>
      </c>
      <c r="G26" s="36">
        <f t="shared" si="5"/>
        <v>2.9217331825920008</v>
      </c>
      <c r="H26" s="15">
        <f t="shared" si="6"/>
        <v>0.2391620674976016</v>
      </c>
      <c r="I26" s="61">
        <f>B26*(1+H15)^5*'Weapons Sleeve'!$B$6</f>
        <v>35.225371125000009</v>
      </c>
      <c r="J26" s="36">
        <f t="shared" si="7"/>
        <v>1.1741790375000003</v>
      </c>
      <c r="K26" s="15">
        <f t="shared" si="8"/>
        <v>3.2635056248001337E-2</v>
      </c>
      <c r="L26" s="62">
        <f>B26*(1+I15)^5*'Weapons Sleeve'!$B$6</f>
        <v>94.832877895679999</v>
      </c>
      <c r="M26" s="37">
        <f t="shared" si="9"/>
        <v>3.1610959298560002</v>
      </c>
      <c r="N26" s="39">
        <f t="shared" si="10"/>
        <v>0.25883130666423004</v>
      </c>
    </row>
    <row r="27" spans="1:14" ht="15" customHeight="1" x14ac:dyDescent="0.2">
      <c r="A27" s="56" t="str">
        <f t="shared" si="1"/>
        <v>Heckler &amp; Koch</v>
      </c>
      <c r="B27" s="57">
        <f t="shared" si="2"/>
        <v>35</v>
      </c>
      <c r="C27" s="61">
        <f>B27*(1+F16)^5*'Weapons Sleeve'!$B$6</f>
        <v>56.747402199040025</v>
      </c>
      <c r="D27" s="36">
        <f t="shared" si="3"/>
        <v>1.6213543485440007</v>
      </c>
      <c r="E27" s="15">
        <f t="shared" si="4"/>
        <v>0.10147739333120143</v>
      </c>
      <c r="F27" s="61">
        <f>B27*(1+G16)^5*'Weapons Sleeve'!$B$6</f>
        <v>80.12390400000001</v>
      </c>
      <c r="G27" s="36">
        <f t="shared" si="5"/>
        <v>2.2892544000000004</v>
      </c>
      <c r="H27" s="15">
        <f t="shared" si="6"/>
        <v>0.18015434999771585</v>
      </c>
      <c r="I27" s="61">
        <f>B27*(1+H16)^5*'Weapons Sleeve'!$B$6</f>
        <v>39.17622345728001</v>
      </c>
      <c r="J27" s="36">
        <f t="shared" si="7"/>
        <v>1.1193206702080003</v>
      </c>
      <c r="K27" s="15">
        <f t="shared" si="8"/>
        <v>2.2800436664687007E-2</v>
      </c>
      <c r="L27" s="62">
        <f>B27*(1+I16)^5*'Weapons Sleeve'!$B$6</f>
        <v>87.027202855039988</v>
      </c>
      <c r="M27" s="37">
        <f t="shared" si="9"/>
        <v>2.4864915101439995</v>
      </c>
      <c r="N27" s="39">
        <f t="shared" si="10"/>
        <v>0.19982358916434428</v>
      </c>
    </row>
    <row r="28" spans="1:14" ht="15" customHeight="1" x14ac:dyDescent="0.2">
      <c r="A28" s="56" t="str">
        <f t="shared" si="1"/>
        <v>Helicon Chemical</v>
      </c>
      <c r="B28" s="57">
        <f t="shared" si="2"/>
        <v>40</v>
      </c>
      <c r="C28" s="61">
        <f>B28*(1+F17)^5*'Weapons Sleeve'!$B$6</f>
        <v>126.44383719424002</v>
      </c>
      <c r="D28" s="36">
        <f t="shared" si="3"/>
        <v>3.1610959298560006</v>
      </c>
      <c r="E28" s="15">
        <f t="shared" si="4"/>
        <v>0.25883130666423004</v>
      </c>
      <c r="F28" s="61">
        <f>B28*(1+G17)^5*'Weapons Sleeve'!$B$6</f>
        <v>227.85590034431996</v>
      </c>
      <c r="G28" s="36">
        <f t="shared" si="5"/>
        <v>5.6963975086079994</v>
      </c>
      <c r="H28" s="15">
        <f t="shared" si="6"/>
        <v>0.41618521999725888</v>
      </c>
      <c r="I28" s="61">
        <f>B28*(1+H17)^5*'Weapons Sleeve'!$B$6</f>
        <v>40.630173557760003</v>
      </c>
      <c r="J28" s="36">
        <f t="shared" si="7"/>
        <v>1.015754338944</v>
      </c>
      <c r="K28" s="15">
        <f t="shared" si="8"/>
        <v>3.1311974980583468E-3</v>
      </c>
      <c r="L28" s="62">
        <f>B28*(1+I17)^5*'Weapons Sleeve'!$B$6</f>
        <v>244.12491079167995</v>
      </c>
      <c r="M28" s="37">
        <f t="shared" si="9"/>
        <v>6.103122769791999</v>
      </c>
      <c r="N28" s="39">
        <f t="shared" si="10"/>
        <v>0.43585445916388732</v>
      </c>
    </row>
    <row r="29" spans="1:14" ht="15" customHeight="1" x14ac:dyDescent="0.2">
      <c r="A29" s="56" t="str">
        <f t="shared" si="1"/>
        <v>Applied Research Assoc.</v>
      </c>
      <c r="B29" s="57">
        <f t="shared" si="2"/>
        <v>40</v>
      </c>
      <c r="C29" s="61">
        <f>B29*(1+F18)^5*'Weapons Sleeve'!$B$6</f>
        <v>70.855256632320049</v>
      </c>
      <c r="D29" s="36">
        <f t="shared" si="3"/>
        <v>1.7713814158080012</v>
      </c>
      <c r="E29" s="15">
        <f t="shared" si="4"/>
        <v>0.12114663249783009</v>
      </c>
      <c r="F29" s="61">
        <f>B29*(1+G18)^5*'Weapons Sleeve'!$B$6</f>
        <v>99.45966040575999</v>
      </c>
      <c r="G29" s="36">
        <f t="shared" si="5"/>
        <v>2.4864915101439999</v>
      </c>
      <c r="H29" s="15">
        <f t="shared" si="6"/>
        <v>0.19982358916434428</v>
      </c>
      <c r="I29" s="61">
        <f>B29*(1+H18)^5*'Weapons Sleeve'!$B$6</f>
        <v>49.246701255680016</v>
      </c>
      <c r="J29" s="36">
        <f t="shared" si="7"/>
        <v>1.2311675313920003</v>
      </c>
      <c r="K29" s="15">
        <f t="shared" si="8"/>
        <v>4.2469675831315667E-2</v>
      </c>
      <c r="L29" s="62">
        <f>B29*(1+I18)^5*'Weapons Sleeve'!$B$6</f>
        <v>107.88380229632001</v>
      </c>
      <c r="M29" s="37">
        <f t="shared" si="9"/>
        <v>2.6970950574080002</v>
      </c>
      <c r="N29" s="39">
        <f t="shared" si="10"/>
        <v>0.21949282833097294</v>
      </c>
    </row>
    <row r="30" spans="1:14" ht="15" customHeight="1" x14ac:dyDescent="0.2">
      <c r="A30" s="53" t="s">
        <v>356</v>
      </c>
      <c r="B30" s="63">
        <f>SUM(B23:B29)</f>
        <v>300</v>
      </c>
      <c r="C30" s="63">
        <f>SUM(C23:C29)</f>
        <v>718.58861385392015</v>
      </c>
      <c r="D30" s="64">
        <f t="shared" si="3"/>
        <v>2.3952953795130671</v>
      </c>
      <c r="E30" s="65">
        <f t="shared" si="4"/>
        <v>0.19089045760359769</v>
      </c>
      <c r="F30" s="63">
        <f>SUM(F23:F29)</f>
        <v>1175.0968265375998</v>
      </c>
      <c r="G30" s="64">
        <f t="shared" si="5"/>
        <v>3.9169894217919992</v>
      </c>
      <c r="H30" s="65">
        <f t="shared" si="6"/>
        <v>0.31398521857618955</v>
      </c>
      <c r="I30" s="63">
        <f>SUM(I23:I29)</f>
        <v>315.34749163892002</v>
      </c>
      <c r="J30" s="64">
        <f t="shared" si="7"/>
        <v>1.0511583054630667</v>
      </c>
      <c r="K30" s="65">
        <f t="shared" si="8"/>
        <v>1.0028492490360641E-2</v>
      </c>
      <c r="L30" s="66">
        <f>SUM(L23:L29)</f>
        <v>1205.2873474348796</v>
      </c>
      <c r="M30" s="67">
        <f t="shared" si="9"/>
        <v>4.0176244914495989</v>
      </c>
      <c r="N30" s="68">
        <f t="shared" si="10"/>
        <v>0.32066864962305353</v>
      </c>
    </row>
    <row r="31" spans="1:14" ht="1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customHeight="1" x14ac:dyDescent="0.2">
      <c r="A33" s="28" t="s">
        <v>393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27.75" customHeight="1" x14ac:dyDescent="0.2">
      <c r="A34" s="12" t="s">
        <v>203</v>
      </c>
      <c r="B34" s="12" t="s">
        <v>205</v>
      </c>
      <c r="C34" s="12" t="s">
        <v>313</v>
      </c>
      <c r="D34" s="12" t="s">
        <v>314</v>
      </c>
      <c r="E34" s="12" t="s">
        <v>315</v>
      </c>
      <c r="F34" s="12" t="s">
        <v>316</v>
      </c>
      <c r="G34" s="12" t="s">
        <v>317</v>
      </c>
      <c r="H34" s="12" t="s">
        <v>318</v>
      </c>
      <c r="I34" s="12" t="s">
        <v>319</v>
      </c>
      <c r="J34" s="12" t="s">
        <v>320</v>
      </c>
      <c r="K34" s="12" t="s">
        <v>321</v>
      </c>
      <c r="L34" s="21" t="s">
        <v>322</v>
      </c>
      <c r="M34" s="21" t="s">
        <v>323</v>
      </c>
      <c r="N34" s="21" t="s">
        <v>324</v>
      </c>
    </row>
    <row r="35" spans="1:14" ht="15" customHeight="1" x14ac:dyDescent="0.2">
      <c r="A35" s="56" t="str">
        <f t="shared" ref="A35:A41" si="11">A12</f>
        <v>Saronic</v>
      </c>
      <c r="B35" s="57">
        <f t="shared" ref="B35:B41" si="12">C12</f>
        <v>70</v>
      </c>
      <c r="C35" s="61">
        <f>B35*(1+F12)^7*'Weapons Sleeve'!$B$7</f>
        <v>310.5807454370397</v>
      </c>
      <c r="D35" s="36">
        <f t="shared" ref="D35:D42" si="13">C35/B35</f>
        <v>4.4368677919577095</v>
      </c>
      <c r="E35" s="15">
        <f t="shared" ref="E35:E42" si="14">(C35/B35)^(1/7)-1</f>
        <v>0.23719882332303666</v>
      </c>
      <c r="F35" s="61">
        <f>B35*(1+G12)^7*'Weapons Sleeve'!$B$7</f>
        <v>649.34718463999968</v>
      </c>
      <c r="G35" s="36">
        <f t="shared" ref="G35:G42" si="15">F35/B35</f>
        <v>9.2763883519999961</v>
      </c>
      <c r="H35" s="15">
        <f t="shared" ref="H35:H42" si="16">(F35/B35)^(1/7)-1</f>
        <v>0.37466535924781841</v>
      </c>
      <c r="I35" s="61">
        <f>B35*(1+H12)^7*'Weapons Sleeve'!$B$7</f>
        <v>61.6</v>
      </c>
      <c r="J35" s="36">
        <f t="shared" ref="J35:J42" si="17">I35/B35</f>
        <v>0.88</v>
      </c>
      <c r="K35" s="15">
        <f t="shared" ref="K35:K42" si="18">(I35/B35)^(1/7)-1</f>
        <v>-1.809617196584401E-2</v>
      </c>
      <c r="L35" s="62">
        <f>B35*(1+I12)^7*'Weapons Sleeve'!$B$7</f>
        <v>587.13006126013715</v>
      </c>
      <c r="M35" s="37">
        <f t="shared" ref="M35:M42" si="19">L35/B35</f>
        <v>8.3875723037162455</v>
      </c>
      <c r="N35" s="39">
        <f t="shared" ref="N35:N42" si="20">(L35/B35)^(1/7)-1</f>
        <v>0.35502728268713524</v>
      </c>
    </row>
    <row r="36" spans="1:14" ht="15" customHeight="1" x14ac:dyDescent="0.2">
      <c r="A36" s="56" t="str">
        <f t="shared" si="11"/>
        <v>Epirus</v>
      </c>
      <c r="B36" s="57">
        <f t="shared" si="12"/>
        <v>45</v>
      </c>
      <c r="C36" s="61">
        <f>B36*(1+F13)^7*'Weapons Sleeve'!$B$7</f>
        <v>178.50360115947112</v>
      </c>
      <c r="D36" s="36">
        <f t="shared" si="13"/>
        <v>3.9667466924326913</v>
      </c>
      <c r="E36" s="15">
        <f t="shared" si="14"/>
        <v>0.21756074676235349</v>
      </c>
      <c r="F36" s="61">
        <f>B36*(1+G13)^7*'Weapons Sleeve'!$B$7</f>
        <v>377.44075366723109</v>
      </c>
      <c r="G36" s="36">
        <f t="shared" si="15"/>
        <v>8.3875723037162473</v>
      </c>
      <c r="H36" s="15">
        <f t="shared" si="16"/>
        <v>0.35502728268713524</v>
      </c>
      <c r="I36" s="61">
        <f>B36*(1+H13)^7*'Weapons Sleeve'!$B$7</f>
        <v>34.377771116570102</v>
      </c>
      <c r="J36" s="36">
        <f t="shared" si="17"/>
        <v>0.76395046925711341</v>
      </c>
      <c r="K36" s="15">
        <f t="shared" si="18"/>
        <v>-3.7734248526527181E-2</v>
      </c>
      <c r="L36" s="62">
        <f>B36*(1+I13)^7*'Weapons Sleeve'!$B$7</f>
        <v>417.43747583999976</v>
      </c>
      <c r="M36" s="37">
        <f t="shared" si="19"/>
        <v>9.2763883519999943</v>
      </c>
      <c r="N36" s="39">
        <f t="shared" si="20"/>
        <v>0.37466535924781819</v>
      </c>
    </row>
    <row r="37" spans="1:14" ht="15" customHeight="1" x14ac:dyDescent="0.2">
      <c r="A37" s="56" t="str">
        <f t="shared" si="11"/>
        <v>Israel Aerospace Ind.</v>
      </c>
      <c r="B37" s="57">
        <f t="shared" si="12"/>
        <v>40</v>
      </c>
      <c r="C37" s="61">
        <f>B37*(1+F14)^7*'Weapons Sleeve'!$B$7</f>
        <v>105.64372248565445</v>
      </c>
      <c r="D37" s="36">
        <f t="shared" si="13"/>
        <v>2.6410930621413611</v>
      </c>
      <c r="E37" s="15">
        <f t="shared" si="14"/>
        <v>0.14882747879996239</v>
      </c>
      <c r="F37" s="61">
        <f>B37*(1+G14)^7*'Weapons Sleeve'!$B$7</f>
        <v>198.15838360430186</v>
      </c>
      <c r="G37" s="36">
        <f t="shared" si="15"/>
        <v>4.9539595901075462</v>
      </c>
      <c r="H37" s="15">
        <f t="shared" si="16"/>
        <v>0.25683689988371983</v>
      </c>
      <c r="I37" s="61">
        <f>B37*(1+H14)^7*'Weapons Sleeve'!$B$7</f>
        <v>52.927785116495905</v>
      </c>
      <c r="J37" s="36">
        <f t="shared" si="17"/>
        <v>1.3231946279123976</v>
      </c>
      <c r="K37" s="15">
        <f t="shared" si="18"/>
        <v>4.0818057716205391E-2</v>
      </c>
      <c r="L37" s="62">
        <f>B37*(1+I14)^7*'Weapons Sleeve'!$B$7</f>
        <v>198.15838360430186</v>
      </c>
      <c r="M37" s="37">
        <f t="shared" si="19"/>
        <v>4.9539595901075462</v>
      </c>
      <c r="N37" s="39">
        <f t="shared" si="20"/>
        <v>0.25683689988371983</v>
      </c>
    </row>
    <row r="38" spans="1:14" ht="15" customHeight="1" x14ac:dyDescent="0.2">
      <c r="A38" s="56" t="str">
        <f t="shared" si="11"/>
        <v>Elta Systems</v>
      </c>
      <c r="B38" s="57">
        <f t="shared" si="12"/>
        <v>30</v>
      </c>
      <c r="C38" s="61">
        <f>B38*(1+F15)^7*'Weapons Sleeve'!$B$7</f>
        <v>74.612200989917156</v>
      </c>
      <c r="D38" s="36">
        <f t="shared" si="13"/>
        <v>2.4870733663305717</v>
      </c>
      <c r="E38" s="15">
        <f t="shared" si="14"/>
        <v>0.13900844051962102</v>
      </c>
      <c r="F38" s="61">
        <f>B38*(1+G15)^7*'Weapons Sleeve'!$B$7</f>
        <v>133.10603375873129</v>
      </c>
      <c r="G38" s="36">
        <f t="shared" si="15"/>
        <v>4.4368677919577095</v>
      </c>
      <c r="H38" s="15">
        <f t="shared" si="16"/>
        <v>0.23719882332303666</v>
      </c>
      <c r="I38" s="61">
        <f>B38*(1+H15)^7*'Weapons Sleeve'!$B$7</f>
        <v>37.147451158125008</v>
      </c>
      <c r="J38" s="36">
        <f t="shared" si="17"/>
        <v>1.2382483719375004</v>
      </c>
      <c r="K38" s="15">
        <f t="shared" si="18"/>
        <v>3.0999019435863806E-2</v>
      </c>
      <c r="L38" s="62">
        <f>B38*(1+I15)^7*'Weapons Sleeve'!$B$7</f>
        <v>148.61878770322639</v>
      </c>
      <c r="M38" s="37">
        <f t="shared" si="19"/>
        <v>4.9539595901075462</v>
      </c>
      <c r="N38" s="39">
        <f t="shared" si="20"/>
        <v>0.25683689988371983</v>
      </c>
    </row>
    <row r="39" spans="1:14" ht="15" customHeight="1" x14ac:dyDescent="0.2">
      <c r="A39" s="56" t="str">
        <f t="shared" si="11"/>
        <v>Heckler &amp; Koch</v>
      </c>
      <c r="B39" s="57">
        <f t="shared" si="12"/>
        <v>35</v>
      </c>
      <c r="C39" s="61">
        <f>B39*(1+F16)^7*'Weapons Sleeve'!$B$7</f>
        <v>68.088987348107295</v>
      </c>
      <c r="D39" s="36">
        <f t="shared" si="13"/>
        <v>1.9453996385173513</v>
      </c>
      <c r="E39" s="15">
        <f t="shared" si="14"/>
        <v>9.9732287398254904E-2</v>
      </c>
      <c r="F39" s="61">
        <f>B39*(1+G16)^7*'Weapons Sleeve'!$B$7</f>
        <v>110.36196863999999</v>
      </c>
      <c r="G39" s="36">
        <f t="shared" si="15"/>
        <v>3.1531991039999996</v>
      </c>
      <c r="H39" s="15">
        <f t="shared" si="16"/>
        <v>0.17828459364098714</v>
      </c>
      <c r="I39" s="61">
        <f>B39*(1+H16)^7*'Weapons Sleeve'!$B$7</f>
        <v>40.530698800463881</v>
      </c>
      <c r="J39" s="36">
        <f t="shared" si="17"/>
        <v>1.1580199657275394</v>
      </c>
      <c r="K39" s="15">
        <f t="shared" si="18"/>
        <v>2.1179981155522221E-2</v>
      </c>
      <c r="L39" s="62">
        <f>B39*(1+I16)^7*'Weapons Sleeve'!$B$7</f>
        <v>123.89949356729188</v>
      </c>
      <c r="M39" s="37">
        <f t="shared" si="19"/>
        <v>3.5399855304940537</v>
      </c>
      <c r="N39" s="39">
        <f t="shared" si="20"/>
        <v>0.19792267020167031</v>
      </c>
    </row>
    <row r="40" spans="1:14" ht="15" customHeight="1" x14ac:dyDescent="0.2">
      <c r="A40" s="56" t="str">
        <f t="shared" si="11"/>
        <v>Helicon Chemical</v>
      </c>
      <c r="B40" s="57">
        <f t="shared" si="12"/>
        <v>40</v>
      </c>
      <c r="C40" s="61">
        <f>B40*(1+F17)^7*'Weapons Sleeve'!$B$7</f>
        <v>198.15838360430186</v>
      </c>
      <c r="D40" s="36">
        <f t="shared" si="13"/>
        <v>4.9539595901075462</v>
      </c>
      <c r="E40" s="15">
        <f t="shared" si="14"/>
        <v>0.25683689988371983</v>
      </c>
      <c r="F40" s="61">
        <f>B40*(1+G17)^7*'Weapons Sleeve'!$B$7</f>
        <v>451.93929952120004</v>
      </c>
      <c r="G40" s="36">
        <f t="shared" si="15"/>
        <v>11.29848248803</v>
      </c>
      <c r="H40" s="15">
        <f t="shared" si="16"/>
        <v>0.41394151236918453</v>
      </c>
      <c r="I40" s="61">
        <f>B40*(1+H17)^7*'Weapons Sleeve'!$B$7</f>
        <v>40.433735501254652</v>
      </c>
      <c r="J40" s="36">
        <f t="shared" si="17"/>
        <v>1.0108433875313663</v>
      </c>
      <c r="K40" s="15">
        <f t="shared" si="18"/>
        <v>1.5419045948390497E-3</v>
      </c>
      <c r="L40" s="62">
        <f>B40*(1+I17)^7*'Weapons Sleeve'!$B$7</f>
        <v>497.75158767643416</v>
      </c>
      <c r="M40" s="37">
        <f t="shared" si="19"/>
        <v>12.443789691910855</v>
      </c>
      <c r="N40" s="39">
        <f t="shared" si="20"/>
        <v>0.4335795889298677</v>
      </c>
    </row>
    <row r="41" spans="1:14" ht="15" customHeight="1" x14ac:dyDescent="0.2">
      <c r="A41" s="56" t="str">
        <f t="shared" si="11"/>
        <v>Applied Research Assoc.</v>
      </c>
      <c r="B41" s="57">
        <f t="shared" si="12"/>
        <v>40</v>
      </c>
      <c r="C41" s="61">
        <f>B41*(1+F18)^7*'Weapons Sleeve'!$B$7</f>
        <v>88.079861453303877</v>
      </c>
      <c r="D41" s="36">
        <f t="shared" si="13"/>
        <v>2.2019965363325968</v>
      </c>
      <c r="E41" s="15">
        <f t="shared" si="14"/>
        <v>0.11937036395893807</v>
      </c>
      <c r="F41" s="61">
        <f>B41*(1+G18)^7*'Weapons Sleeve'!$B$7</f>
        <v>141.59942121976215</v>
      </c>
      <c r="G41" s="36">
        <f t="shared" si="15"/>
        <v>3.5399855304940537</v>
      </c>
      <c r="H41" s="15">
        <f t="shared" si="16"/>
        <v>0.19792267020167031</v>
      </c>
      <c r="I41" s="61">
        <f>B41*(1+H18)^7*'Weapons Sleeve'!$B$7</f>
        <v>52.927785116495905</v>
      </c>
      <c r="J41" s="36">
        <f t="shared" si="17"/>
        <v>1.3231946279123976</v>
      </c>
      <c r="K41" s="15">
        <f t="shared" si="18"/>
        <v>4.0818057716205391E-2</v>
      </c>
      <c r="L41" s="62">
        <f>B41*(1+I18)^7*'Weapons Sleeve'!$B$7</f>
        <v>158.66986769730767</v>
      </c>
      <c r="M41" s="37">
        <f t="shared" si="19"/>
        <v>3.9667466924326917</v>
      </c>
      <c r="N41" s="39">
        <f t="shared" si="20"/>
        <v>0.21756074676235349</v>
      </c>
    </row>
    <row r="42" spans="1:14" ht="15" customHeight="1" x14ac:dyDescent="0.2">
      <c r="A42" s="53" t="s">
        <v>356</v>
      </c>
      <c r="B42" s="63">
        <f>SUM(B35:B41)</f>
        <v>300</v>
      </c>
      <c r="C42" s="63">
        <f>SUM(C35:C41)</f>
        <v>1023.6675024777956</v>
      </c>
      <c r="D42" s="64">
        <f t="shared" si="13"/>
        <v>3.4122250082593184</v>
      </c>
      <c r="E42" s="65">
        <f t="shared" si="14"/>
        <v>0.19164868306426874</v>
      </c>
      <c r="F42" s="63">
        <f>SUM(F35:F41)</f>
        <v>2061.9530450512261</v>
      </c>
      <c r="G42" s="64">
        <f t="shared" si="15"/>
        <v>6.8731768168374208</v>
      </c>
      <c r="H42" s="65">
        <f t="shared" si="16"/>
        <v>0.31702473326219538</v>
      </c>
      <c r="I42" s="63">
        <f>SUM(I35:I41)</f>
        <v>319.94522680940543</v>
      </c>
      <c r="J42" s="64">
        <f t="shared" si="17"/>
        <v>1.0664840893646848</v>
      </c>
      <c r="K42" s="65">
        <f t="shared" si="18"/>
        <v>9.2377412928503766E-3</v>
      </c>
      <c r="L42" s="66">
        <f>SUM(L35:L41)</f>
        <v>2131.6656573486989</v>
      </c>
      <c r="M42" s="67">
        <f t="shared" si="19"/>
        <v>7.1055521911623298</v>
      </c>
      <c r="N42" s="68">
        <f t="shared" si="20"/>
        <v>0.32329549315464279</v>
      </c>
    </row>
    <row r="43" spans="1:14" ht="1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customHeight="1" x14ac:dyDescent="0.2">
      <c r="A45" s="28" t="s">
        <v>394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27.75" customHeight="1" x14ac:dyDescent="0.2">
      <c r="A46" s="12" t="s">
        <v>203</v>
      </c>
      <c r="B46" s="12" t="s">
        <v>205</v>
      </c>
      <c r="C46" s="12" t="s">
        <v>313</v>
      </c>
      <c r="D46" s="12" t="s">
        <v>314</v>
      </c>
      <c r="E46" s="12" t="s">
        <v>315</v>
      </c>
      <c r="F46" s="12" t="s">
        <v>316</v>
      </c>
      <c r="G46" s="12" t="s">
        <v>317</v>
      </c>
      <c r="H46" s="12" t="s">
        <v>318</v>
      </c>
      <c r="I46" s="12" t="s">
        <v>319</v>
      </c>
      <c r="J46" s="12" t="s">
        <v>320</v>
      </c>
      <c r="K46" s="12" t="s">
        <v>321</v>
      </c>
      <c r="L46" s="21" t="s">
        <v>322</v>
      </c>
      <c r="M46" s="21" t="s">
        <v>323</v>
      </c>
      <c r="N46" s="21" t="s">
        <v>324</v>
      </c>
    </row>
    <row r="47" spans="1:14" ht="15" customHeight="1" x14ac:dyDescent="0.2">
      <c r="A47" s="56" t="str">
        <f t="shared" ref="A47:A53" si="21">A12</f>
        <v>Saronic</v>
      </c>
      <c r="B47" s="57">
        <f t="shared" ref="B47:B53" si="22">C12</f>
        <v>70</v>
      </c>
      <c r="C47" s="61">
        <f>B47*(1+F12)^10*'Weapons Sleeve'!$B$8</f>
        <v>578.91838724111165</v>
      </c>
      <c r="D47" s="36">
        <f t="shared" ref="D47:D54" si="23">C47/B47</f>
        <v>8.2702626748730239</v>
      </c>
      <c r="E47" s="15">
        <f t="shared" ref="E47:E54" si="24">(C47/B47)^(1/10)-1</f>
        <v>0.23524166004913249</v>
      </c>
      <c r="F47" s="61">
        <f>B47*(1+G12)^10*'Weapons Sleeve'!$B$8</f>
        <v>1660.3217195622387</v>
      </c>
      <c r="G47" s="36">
        <f t="shared" ref="G47:G54" si="25">F47/B47</f>
        <v>23.718881708031983</v>
      </c>
      <c r="H47" s="15">
        <f t="shared" ref="H47:H54" si="26">(F47/B47)^(1/10)-1</f>
        <v>0.37249073338792482</v>
      </c>
      <c r="I47" s="61">
        <f>B47*(1+H12)^10*'Weapons Sleeve'!$B$8</f>
        <v>57.4</v>
      </c>
      <c r="J47" s="36">
        <f t="shared" ref="J47:J54" si="27">I47/B47</f>
        <v>0.82</v>
      </c>
      <c r="K47" s="15">
        <f t="shared" ref="K47:K54" si="28">(I47/B47)^(1/10)-1</f>
        <v>-1.9649476151482159E-2</v>
      </c>
      <c r="L47" s="62">
        <f>B47*(1+I12)^10*'Weapons Sleeve'!$B$8</f>
        <v>1437.8141601954108</v>
      </c>
      <c r="M47" s="37">
        <f t="shared" ref="M47:M54" si="29">L47/B47</f>
        <v>20.540202288505867</v>
      </c>
      <c r="N47" s="39">
        <f t="shared" ref="N47:N54" si="30">(L47/B47)^(1/10)-1</f>
        <v>0.35288372291095449</v>
      </c>
    </row>
    <row r="48" spans="1:14" ht="15" customHeight="1" x14ac:dyDescent="0.2">
      <c r="A48" s="56" t="str">
        <f t="shared" si="21"/>
        <v>Epirus</v>
      </c>
      <c r="B48" s="57">
        <f t="shared" si="22"/>
        <v>45</v>
      </c>
      <c r="C48" s="61">
        <f>B48*(1+F13)^10*'Weapons Sleeve'!$B$8</f>
        <v>317.13430118954761</v>
      </c>
      <c r="D48" s="36">
        <f t="shared" si="23"/>
        <v>7.0474289153232803</v>
      </c>
      <c r="E48" s="15">
        <f t="shared" si="24"/>
        <v>0.21563464957216216</v>
      </c>
      <c r="F48" s="61">
        <f>B48*(1+G13)^10*'Weapons Sleeve'!$B$8</f>
        <v>924.30910298276399</v>
      </c>
      <c r="G48" s="36">
        <f t="shared" si="25"/>
        <v>20.540202288505867</v>
      </c>
      <c r="H48" s="15">
        <f t="shared" si="26"/>
        <v>0.35288372291095449</v>
      </c>
      <c r="I48" s="61">
        <f>B48*(1+H13)^10*'Weapons Sleeve'!$B$8</f>
        <v>30.149986574150464</v>
      </c>
      <c r="J48" s="36">
        <f t="shared" si="27"/>
        <v>0.6699997016477881</v>
      </c>
      <c r="K48" s="15">
        <f t="shared" si="28"/>
        <v>-3.9256486628452603E-2</v>
      </c>
      <c r="L48" s="62">
        <f>B48*(1+I13)^10*'Weapons Sleeve'!$B$8</f>
        <v>1067.3496768614391</v>
      </c>
      <c r="M48" s="37">
        <f t="shared" si="29"/>
        <v>23.718881708031979</v>
      </c>
      <c r="N48" s="39">
        <f t="shared" si="30"/>
        <v>0.37249073338792482</v>
      </c>
    </row>
    <row r="49" spans="1:14" ht="15" customHeight="1" x14ac:dyDescent="0.2">
      <c r="A49" s="56" t="str">
        <f t="shared" si="21"/>
        <v>Israel Aerospace Ind.</v>
      </c>
      <c r="B49" s="57">
        <f t="shared" si="22"/>
        <v>40</v>
      </c>
      <c r="C49" s="61">
        <f>B49*(1+F14)^10*'Weapons Sleeve'!$B$8</f>
        <v>157.66397116722894</v>
      </c>
      <c r="D49" s="36">
        <f t="shared" si="23"/>
        <v>3.9415992791807235</v>
      </c>
      <c r="E49" s="15">
        <f t="shared" si="24"/>
        <v>0.14701011290276567</v>
      </c>
      <c r="F49" s="61">
        <f>B49*(1+G14)^10*'Weapons Sleeve'!$B$8</f>
        <v>387.23405159531092</v>
      </c>
      <c r="G49" s="36">
        <f t="shared" si="25"/>
        <v>9.6808512898827725</v>
      </c>
      <c r="H49" s="15">
        <f t="shared" si="26"/>
        <v>0.25484867052610283</v>
      </c>
      <c r="I49" s="61">
        <f>B49*(1+H14)^10*'Weapons Sleeve'!$B$8</f>
        <v>58.739804446605625</v>
      </c>
      <c r="J49" s="36">
        <f t="shared" si="27"/>
        <v>1.4684951111651405</v>
      </c>
      <c r="K49" s="15">
        <f t="shared" si="28"/>
        <v>3.9171555279428949E-2</v>
      </c>
      <c r="L49" s="62">
        <f>B49*(1+I14)^10*'Weapons Sleeve'!$B$8</f>
        <v>387.23405159531092</v>
      </c>
      <c r="M49" s="37">
        <f t="shared" si="29"/>
        <v>9.6808512898827725</v>
      </c>
      <c r="N49" s="39">
        <f t="shared" si="30"/>
        <v>0.25484867052610283</v>
      </c>
    </row>
    <row r="50" spans="1:14" ht="15" customHeight="1" x14ac:dyDescent="0.2">
      <c r="A50" s="56" t="str">
        <f t="shared" si="21"/>
        <v>Elta Systems</v>
      </c>
      <c r="B50" s="57">
        <f t="shared" si="22"/>
        <v>30</v>
      </c>
      <c r="C50" s="61">
        <f>B50*(1+F15)^10*'Weapons Sleeve'!$B$8</f>
        <v>108.52130293478788</v>
      </c>
      <c r="D50" s="36">
        <f t="shared" si="23"/>
        <v>3.6173767644929296</v>
      </c>
      <c r="E50" s="15">
        <f t="shared" si="24"/>
        <v>0.13720660766428061</v>
      </c>
      <c r="F50" s="61">
        <f>B50*(1+G15)^10*'Weapons Sleeve'!$B$8</f>
        <v>248.10788024619069</v>
      </c>
      <c r="G50" s="36">
        <f t="shared" si="25"/>
        <v>8.2702626748730221</v>
      </c>
      <c r="H50" s="15">
        <f t="shared" si="26"/>
        <v>0.23524166004913249</v>
      </c>
      <c r="I50" s="61">
        <f>B50*(1+H15)^10*'Weapons Sleeve'!$B$8</f>
        <v>40.070807818725058</v>
      </c>
      <c r="J50" s="36">
        <f t="shared" si="27"/>
        <v>1.3356935939575019</v>
      </c>
      <c r="K50" s="15">
        <f t="shared" si="28"/>
        <v>2.9368050040943672E-2</v>
      </c>
      <c r="L50" s="62">
        <f>B50*(1+I15)^10*'Weapons Sleeve'!$B$8</f>
        <v>290.42553869648322</v>
      </c>
      <c r="M50" s="37">
        <f t="shared" si="29"/>
        <v>9.6808512898827743</v>
      </c>
      <c r="N50" s="39">
        <f t="shared" si="30"/>
        <v>0.25484867052610283</v>
      </c>
    </row>
    <row r="51" spans="1:14" ht="15" customHeight="1" x14ac:dyDescent="0.2">
      <c r="A51" s="56" t="str">
        <f t="shared" si="21"/>
        <v>Heckler &amp; Koch</v>
      </c>
      <c r="B51" s="57">
        <f t="shared" si="22"/>
        <v>35</v>
      </c>
      <c r="C51" s="61">
        <f>B51*(1+F16)^10*'Weapons Sleeve'!$B$8</f>
        <v>89.137843579478854</v>
      </c>
      <c r="D51" s="36">
        <f t="shared" si="23"/>
        <v>2.5467955308422532</v>
      </c>
      <c r="E51" s="15">
        <f t="shared" si="24"/>
        <v>9.7992586710339946E-2</v>
      </c>
      <c r="F51" s="61">
        <f>B51*(1+G16)^10*'Weapons Sleeve'!$B$8</f>
        <v>177.70283532287996</v>
      </c>
      <c r="G51" s="36">
        <f t="shared" si="25"/>
        <v>5.0772238663679987</v>
      </c>
      <c r="H51" s="15">
        <f t="shared" si="26"/>
        <v>0.17642062861822128</v>
      </c>
      <c r="I51" s="61">
        <f>B51*(1+H16)^10*'Weapons Sleeve'!$B$8</f>
        <v>42.483010977156489</v>
      </c>
      <c r="J51" s="36">
        <f t="shared" si="27"/>
        <v>1.2138003136330426</v>
      </c>
      <c r="K51" s="15">
        <f t="shared" si="28"/>
        <v>1.9564544802458617E-2</v>
      </c>
      <c r="L51" s="62">
        <f>B51*(1+I16)^10*'Weapons Sleeve'!$B$8</f>
        <v>209.64292162278113</v>
      </c>
      <c r="M51" s="37">
        <f t="shared" si="29"/>
        <v>5.9897977606508892</v>
      </c>
      <c r="N51" s="39">
        <f t="shared" si="30"/>
        <v>0.19602763909519161</v>
      </c>
    </row>
    <row r="52" spans="1:14" ht="15" customHeight="1" x14ac:dyDescent="0.2">
      <c r="A52" s="56" t="str">
        <f t="shared" si="21"/>
        <v>Helicon Chemical</v>
      </c>
      <c r="B52" s="57">
        <f t="shared" si="22"/>
        <v>40</v>
      </c>
      <c r="C52" s="61">
        <f>B52*(1+F17)^10*'Weapons Sleeve'!$B$8</f>
        <v>387.23405159531092</v>
      </c>
      <c r="D52" s="36">
        <f t="shared" si="23"/>
        <v>9.6808512898827725</v>
      </c>
      <c r="E52" s="15">
        <f t="shared" si="24"/>
        <v>0.25484867052610283</v>
      </c>
      <c r="F52" s="61">
        <f>B52*(1+G17)^10*'Weapons Sleeve'!$B$8</f>
        <v>1257.4732775227715</v>
      </c>
      <c r="G52" s="36">
        <f t="shared" si="25"/>
        <v>31.436831938069286</v>
      </c>
      <c r="H52" s="15">
        <f t="shared" si="26"/>
        <v>0.41170475434186571</v>
      </c>
      <c r="I52" s="61">
        <f>B52*(1+H17)^10*'Weapons Sleeve'!$B$8</f>
        <v>39.983016975828036</v>
      </c>
      <c r="J52" s="36">
        <f t="shared" si="27"/>
        <v>0.99957542439570091</v>
      </c>
      <c r="K52" s="15">
        <f t="shared" si="28"/>
        <v>-4.2465674511826812E-5</v>
      </c>
      <c r="L52" s="62">
        <f>B52*(1+I17)^10*'Weapons Sleeve'!$B$8</f>
        <v>1443.4521826741923</v>
      </c>
      <c r="M52" s="37">
        <f t="shared" si="29"/>
        <v>36.086304566854807</v>
      </c>
      <c r="N52" s="39">
        <f t="shared" si="30"/>
        <v>0.43131176481883604</v>
      </c>
    </row>
    <row r="53" spans="1:14" ht="15" customHeight="1" x14ac:dyDescent="0.2">
      <c r="A53" s="56" t="str">
        <f t="shared" si="21"/>
        <v>Applied Research Assoc.</v>
      </c>
      <c r="B53" s="57">
        <f t="shared" si="22"/>
        <v>40</v>
      </c>
      <c r="C53" s="61">
        <f>B53*(1+F18)^10*'Weapons Sleeve'!$B$8</f>
        <v>121.59685910308912</v>
      </c>
      <c r="D53" s="36">
        <f t="shared" si="23"/>
        <v>3.0399214775772281</v>
      </c>
      <c r="E53" s="15">
        <f t="shared" si="24"/>
        <v>0.1175995971873105</v>
      </c>
      <c r="F53" s="61">
        <f>B53*(1+G18)^10*'Weapons Sleeve'!$B$8</f>
        <v>239.59191042603558</v>
      </c>
      <c r="G53" s="36">
        <f t="shared" si="25"/>
        <v>5.9897977606508892</v>
      </c>
      <c r="H53" s="15">
        <f t="shared" si="26"/>
        <v>0.19602763909519161</v>
      </c>
      <c r="I53" s="61">
        <f>B53*(1+H18)^10*'Weapons Sleeve'!$B$8</f>
        <v>58.739804446605625</v>
      </c>
      <c r="J53" s="36">
        <f t="shared" si="27"/>
        <v>1.4684951111651405</v>
      </c>
      <c r="K53" s="15">
        <f t="shared" si="28"/>
        <v>3.9171555279428949E-2</v>
      </c>
      <c r="L53" s="62">
        <f>B53*(1+I18)^10*'Weapons Sleeve'!$B$8</f>
        <v>281.89715661293121</v>
      </c>
      <c r="M53" s="37">
        <f t="shared" si="29"/>
        <v>7.0474289153232803</v>
      </c>
      <c r="N53" s="39">
        <f t="shared" si="30"/>
        <v>0.21563464957216216</v>
      </c>
    </row>
    <row r="54" spans="1:14" ht="15" customHeight="1" x14ac:dyDescent="0.2">
      <c r="A54" s="53" t="s">
        <v>356</v>
      </c>
      <c r="B54" s="63">
        <f>SUM(B47:B53)</f>
        <v>300</v>
      </c>
      <c r="C54" s="63">
        <f>SUM(C47:C53)</f>
        <v>1760.206716810555</v>
      </c>
      <c r="D54" s="64">
        <f t="shared" si="23"/>
        <v>5.8673557227018502</v>
      </c>
      <c r="E54" s="65">
        <f t="shared" si="24"/>
        <v>0.19355996190126579</v>
      </c>
      <c r="F54" s="63">
        <f>SUM(F47:F53)</f>
        <v>4894.7407776581913</v>
      </c>
      <c r="G54" s="64">
        <f t="shared" si="25"/>
        <v>16.315802592193972</v>
      </c>
      <c r="H54" s="65">
        <f t="shared" si="26"/>
        <v>0.32208946383190518</v>
      </c>
      <c r="I54" s="63">
        <f>SUM(I47:I53)</f>
        <v>327.56643123907128</v>
      </c>
      <c r="J54" s="64">
        <f t="shared" si="27"/>
        <v>1.0918881041302375</v>
      </c>
      <c r="K54" s="65">
        <f t="shared" si="28"/>
        <v>8.829593243246503E-3</v>
      </c>
      <c r="L54" s="66">
        <f>SUM(L47:L53)</f>
        <v>5117.815688258549</v>
      </c>
      <c r="M54" s="67">
        <f t="shared" si="29"/>
        <v>17.059385627528496</v>
      </c>
      <c r="N54" s="68">
        <f t="shared" si="30"/>
        <v>0.32799469045656204</v>
      </c>
    </row>
  </sheetData>
  <printOptions horizontalCentered="1"/>
  <pageMargins left="0.4" right="0.4" top="1" bottom="1" header="0.511811023622047" footer="0.511811023622047"/>
  <pageSetup paperSize="9" fitToHeight="0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3E5E3A"/>
    <pageSetUpPr fitToPage="1"/>
  </sheetPr>
  <dimension ref="A1:N66"/>
  <sheetViews>
    <sheetView showGridLines="0" tabSelected="1" topLeftCell="A16" zoomScaleNormal="100" workbookViewId="0"/>
  </sheetViews>
  <sheetFormatPr baseColWidth="10" defaultColWidth="8.6640625" defaultRowHeight="15" x14ac:dyDescent="0.2"/>
  <cols>
    <col min="1" max="1" width="22" customWidth="1"/>
    <col min="2" max="2" width="12" customWidth="1"/>
    <col min="3" max="4" width="10" customWidth="1"/>
    <col min="5" max="5" width="24" customWidth="1"/>
    <col min="6" max="6" width="9" customWidth="1"/>
    <col min="7" max="9" width="10" customWidth="1"/>
    <col min="10" max="10" width="26" customWidth="1"/>
    <col min="11" max="11" width="10" customWidth="1"/>
    <col min="12" max="14" width="11" customWidth="1"/>
  </cols>
  <sheetData>
    <row r="1" spans="1:14" ht="18" customHeight="1" x14ac:dyDescent="0.2">
      <c r="A1" s="9" t="s">
        <v>395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" customHeight="1" x14ac:dyDescent="0.2">
      <c r="A2" s="10" t="s">
        <v>396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5" customHeight="1" x14ac:dyDescent="0.2">
      <c r="A4" s="11" t="s">
        <v>362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5" customHeight="1" x14ac:dyDescent="0.2">
      <c r="A5" s="25" t="s">
        <v>363</v>
      </c>
      <c r="B5" s="45">
        <f>'Holdco Summary'!$B$8</f>
        <v>200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5" customHeight="1" x14ac:dyDescent="0.2">
      <c r="A6" s="25" t="s">
        <v>364</v>
      </c>
      <c r="B6" s="27">
        <v>0.9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5" customHeight="1" x14ac:dyDescent="0.2">
      <c r="A7" s="25" t="s">
        <v>365</v>
      </c>
      <c r="B7" s="27">
        <v>0.84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5" customHeight="1" x14ac:dyDescent="0.2">
      <c r="A8" s="25" t="s">
        <v>366</v>
      </c>
      <c r="B8" s="27">
        <v>0.75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1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5" customHeight="1" x14ac:dyDescent="0.2">
      <c r="A10" s="11" t="s">
        <v>367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27.75" customHeight="1" x14ac:dyDescent="0.2">
      <c r="A11" s="12" t="s">
        <v>203</v>
      </c>
      <c r="B11" s="12" t="s">
        <v>204</v>
      </c>
      <c r="C11" s="12" t="s">
        <v>205</v>
      </c>
      <c r="D11" s="12" t="s">
        <v>206</v>
      </c>
      <c r="E11" s="12" t="s">
        <v>397</v>
      </c>
      <c r="F11" s="12" t="s">
        <v>50</v>
      </c>
      <c r="G11" s="12" t="s">
        <v>51</v>
      </c>
      <c r="H11" s="12" t="s">
        <v>52</v>
      </c>
      <c r="I11" s="21" t="s">
        <v>369</v>
      </c>
      <c r="J11" s="12" t="s">
        <v>211</v>
      </c>
      <c r="K11" s="1"/>
      <c r="L11" s="1"/>
      <c r="M11" s="1"/>
      <c r="N11" s="1"/>
    </row>
    <row r="12" spans="1:14" ht="48" customHeight="1" x14ac:dyDescent="0.2">
      <c r="A12" s="13" t="s">
        <v>398</v>
      </c>
      <c r="B12" s="46">
        <v>10100</v>
      </c>
      <c r="C12" s="46">
        <v>35</v>
      </c>
      <c r="D12" s="15">
        <f t="shared" ref="D12:D20" si="0">C12/B12</f>
        <v>3.4653465346534654E-3</v>
      </c>
      <c r="E12" s="16" t="s">
        <v>399</v>
      </c>
      <c r="F12" s="47">
        <v>0.28000000000000003</v>
      </c>
      <c r="G12" s="47">
        <v>0.45</v>
      </c>
      <c r="H12" s="47">
        <v>0.02</v>
      </c>
      <c r="I12" s="77">
        <v>-0.18</v>
      </c>
      <c r="J12" s="42" t="s">
        <v>400</v>
      </c>
      <c r="K12" s="1"/>
      <c r="L12" s="1"/>
      <c r="M12" s="1"/>
      <c r="N12" s="1"/>
    </row>
    <row r="13" spans="1:14" ht="48" customHeight="1" x14ac:dyDescent="0.2">
      <c r="A13" s="13" t="s">
        <v>401</v>
      </c>
      <c r="B13" s="46">
        <v>10100</v>
      </c>
      <c r="C13" s="46">
        <v>31.5</v>
      </c>
      <c r="D13" s="15">
        <f t="shared" si="0"/>
        <v>3.118811881188119E-3</v>
      </c>
      <c r="E13" s="16" t="s">
        <v>402</v>
      </c>
      <c r="F13" s="47">
        <v>0.27</v>
      </c>
      <c r="G13" s="47">
        <v>0.42</v>
      </c>
      <c r="H13" s="47">
        <v>-0.03</v>
      </c>
      <c r="I13" s="77">
        <v>-0.16</v>
      </c>
      <c r="J13" s="42" t="s">
        <v>403</v>
      </c>
      <c r="K13" s="1"/>
      <c r="L13" s="1"/>
      <c r="M13" s="1"/>
      <c r="N13" s="1"/>
    </row>
    <row r="14" spans="1:14" ht="71.25" customHeight="1" x14ac:dyDescent="0.2">
      <c r="A14" s="13" t="s">
        <v>404</v>
      </c>
      <c r="B14" s="46">
        <v>3760</v>
      </c>
      <c r="C14" s="46">
        <v>24.5</v>
      </c>
      <c r="D14" s="15">
        <f t="shared" si="0"/>
        <v>6.5159574468085105E-3</v>
      </c>
      <c r="E14" s="16" t="s">
        <v>405</v>
      </c>
      <c r="F14" s="47">
        <v>0.22</v>
      </c>
      <c r="G14" s="47">
        <v>0.34</v>
      </c>
      <c r="H14" s="47">
        <v>0.1</v>
      </c>
      <c r="I14" s="77">
        <v>-0.05</v>
      </c>
      <c r="J14" s="42" t="s">
        <v>406</v>
      </c>
      <c r="K14" s="1"/>
      <c r="L14" s="1"/>
      <c r="M14" s="1"/>
      <c r="N14" s="1"/>
    </row>
    <row r="15" spans="1:14" ht="60" customHeight="1" x14ac:dyDescent="0.2">
      <c r="A15" s="13" t="s">
        <v>407</v>
      </c>
      <c r="B15" s="46">
        <v>280</v>
      </c>
      <c r="C15" s="46">
        <v>17.5</v>
      </c>
      <c r="D15" s="15">
        <f t="shared" si="0"/>
        <v>6.25E-2</v>
      </c>
      <c r="E15" s="16" t="s">
        <v>408</v>
      </c>
      <c r="F15" s="47">
        <v>0.14000000000000001</v>
      </c>
      <c r="G15" s="47">
        <v>0.26</v>
      </c>
      <c r="H15" s="47">
        <v>-0.1</v>
      </c>
      <c r="I15" s="77">
        <v>-0.14000000000000001</v>
      </c>
      <c r="J15" s="42" t="s">
        <v>409</v>
      </c>
      <c r="K15" s="1"/>
      <c r="L15" s="1"/>
      <c r="M15" s="1"/>
      <c r="N15" s="1"/>
    </row>
    <row r="16" spans="1:14" ht="82.5" customHeight="1" x14ac:dyDescent="0.2">
      <c r="A16" s="13" t="s">
        <v>410</v>
      </c>
      <c r="B16" s="46">
        <v>945</v>
      </c>
      <c r="C16" s="46">
        <v>14</v>
      </c>
      <c r="D16" s="15">
        <f t="shared" si="0"/>
        <v>1.4814814814814815E-2</v>
      </c>
      <c r="E16" s="16" t="s">
        <v>411</v>
      </c>
      <c r="F16" s="47">
        <v>7.0000000000000007E-2</v>
      </c>
      <c r="G16" s="47">
        <v>0.16</v>
      </c>
      <c r="H16" s="47">
        <v>-0.05</v>
      </c>
      <c r="I16" s="77">
        <v>-0.08</v>
      </c>
      <c r="J16" s="42" t="s">
        <v>412</v>
      </c>
      <c r="K16" s="1"/>
      <c r="L16" s="1"/>
      <c r="M16" s="1"/>
      <c r="N16" s="1"/>
    </row>
    <row r="17" spans="1:14" ht="93.75" customHeight="1" x14ac:dyDescent="0.2">
      <c r="A17" s="13" t="s">
        <v>413</v>
      </c>
      <c r="B17" s="46">
        <v>110</v>
      </c>
      <c r="C17" s="46">
        <v>7</v>
      </c>
      <c r="D17" s="15">
        <f t="shared" si="0"/>
        <v>6.363636363636363E-2</v>
      </c>
      <c r="E17" s="16" t="s">
        <v>414</v>
      </c>
      <c r="F17" s="47">
        <v>0.2</v>
      </c>
      <c r="G17" s="47">
        <v>0.5</v>
      </c>
      <c r="H17" s="47">
        <v>-0.22</v>
      </c>
      <c r="I17" s="77">
        <v>-0.28000000000000003</v>
      </c>
      <c r="J17" s="42" t="s">
        <v>415</v>
      </c>
      <c r="K17" s="1"/>
      <c r="L17" s="1"/>
      <c r="M17" s="1"/>
      <c r="N17" s="1"/>
    </row>
    <row r="18" spans="1:14" ht="60" customHeight="1" x14ac:dyDescent="0.2">
      <c r="A18" s="13" t="s">
        <v>416</v>
      </c>
      <c r="B18" s="46">
        <v>18000</v>
      </c>
      <c r="C18" s="46">
        <v>10.5</v>
      </c>
      <c r="D18" s="15">
        <f t="shared" si="0"/>
        <v>5.8333333333333338E-4</v>
      </c>
      <c r="E18" s="16" t="s">
        <v>417</v>
      </c>
      <c r="F18" s="47">
        <v>0.25</v>
      </c>
      <c r="G18" s="47">
        <v>0.4</v>
      </c>
      <c r="H18" s="47">
        <v>-0.05</v>
      </c>
      <c r="I18" s="77">
        <v>-0.12</v>
      </c>
      <c r="J18" s="42" t="s">
        <v>418</v>
      </c>
      <c r="K18" s="1"/>
      <c r="L18" s="1"/>
      <c r="M18" s="1"/>
      <c r="N18" s="1"/>
    </row>
    <row r="19" spans="1:14" ht="60" customHeight="1" x14ac:dyDescent="0.2">
      <c r="A19" s="13" t="s">
        <v>419</v>
      </c>
      <c r="B19" s="46">
        <v>3730</v>
      </c>
      <c r="C19" s="46">
        <v>15</v>
      </c>
      <c r="D19" s="15">
        <f t="shared" si="0"/>
        <v>4.0214477211796247E-3</v>
      </c>
      <c r="E19" s="16" t="s">
        <v>420</v>
      </c>
      <c r="F19" s="47">
        <v>0.15</v>
      </c>
      <c r="G19" s="47">
        <v>0.28000000000000003</v>
      </c>
      <c r="H19" s="47">
        <v>-0.12</v>
      </c>
      <c r="I19" s="77">
        <v>-0.16</v>
      </c>
      <c r="J19" s="42" t="s">
        <v>421</v>
      </c>
      <c r="K19" s="1"/>
      <c r="L19" s="1"/>
      <c r="M19" s="1"/>
      <c r="N19" s="1"/>
    </row>
    <row r="20" spans="1:14" ht="60" customHeight="1" x14ac:dyDescent="0.2">
      <c r="A20" s="13" t="s">
        <v>422</v>
      </c>
      <c r="B20" s="46">
        <v>159000</v>
      </c>
      <c r="C20" s="46">
        <v>45</v>
      </c>
      <c r="D20" s="15">
        <f t="shared" si="0"/>
        <v>2.8301886792452831E-4</v>
      </c>
      <c r="E20" s="16" t="s">
        <v>423</v>
      </c>
      <c r="F20" s="47">
        <v>0.18</v>
      </c>
      <c r="G20" s="47">
        <v>0.35</v>
      </c>
      <c r="H20" s="47">
        <v>-0.05</v>
      </c>
      <c r="I20" s="77">
        <v>-0.08</v>
      </c>
      <c r="J20" s="42" t="s">
        <v>424</v>
      </c>
      <c r="K20" s="1"/>
      <c r="L20" s="1"/>
      <c r="M20" s="1"/>
      <c r="N20" s="1"/>
    </row>
    <row r="21" spans="1:14" ht="15" customHeight="1" x14ac:dyDescent="0.2">
      <c r="A21" s="18" t="s">
        <v>425</v>
      </c>
      <c r="B21" s="1"/>
      <c r="C21" s="19">
        <f>SUM(C12:C20)</f>
        <v>200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27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5" customHeight="1" x14ac:dyDescent="0.2">
      <c r="A23" s="28" t="s">
        <v>392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5" customHeight="1" x14ac:dyDescent="0.2">
      <c r="A24" s="12" t="s">
        <v>203</v>
      </c>
      <c r="B24" s="12" t="s">
        <v>205</v>
      </c>
      <c r="C24" s="12" t="s">
        <v>313</v>
      </c>
      <c r="D24" s="12" t="s">
        <v>314</v>
      </c>
      <c r="E24" s="12" t="s">
        <v>315</v>
      </c>
      <c r="F24" s="12" t="s">
        <v>316</v>
      </c>
      <c r="G24" s="12" t="s">
        <v>317</v>
      </c>
      <c r="H24" s="12" t="s">
        <v>318</v>
      </c>
      <c r="I24" s="12" t="s">
        <v>319</v>
      </c>
      <c r="J24" s="12" t="s">
        <v>320</v>
      </c>
      <c r="K24" s="12" t="s">
        <v>321</v>
      </c>
      <c r="L24" s="21" t="s">
        <v>322</v>
      </c>
      <c r="M24" s="21" t="s">
        <v>323</v>
      </c>
      <c r="N24" s="21" t="s">
        <v>324</v>
      </c>
    </row>
    <row r="25" spans="1:14" ht="15" customHeight="1" x14ac:dyDescent="0.2">
      <c r="A25" s="78" t="str">
        <f t="shared" ref="A25:A33" si="1">A12</f>
        <v>Quince</v>
      </c>
      <c r="B25" s="79">
        <f t="shared" ref="B25:B33" si="2">C12</f>
        <v>35</v>
      </c>
      <c r="C25" s="79">
        <f>B25*(1+F12)^5*'Consumer Sleeve'!$B$6</f>
        <v>108.23317585920002</v>
      </c>
      <c r="D25" s="80">
        <f t="shared" ref="D25:D34" si="3">C25/B25</f>
        <v>3.0923764531200004</v>
      </c>
      <c r="E25" s="81">
        <f t="shared" ref="E25:E34" si="4">(C25/B25)^(1/5)-1</f>
        <v>0.25330990382205032</v>
      </c>
      <c r="F25" s="79">
        <f>B25*(1+G12)^5*'Consumer Sleeve'!$B$6</f>
        <v>201.90662296874999</v>
      </c>
      <c r="G25" s="80">
        <f t="shared" ref="G25:G34" si="5">F25/B25</f>
        <v>5.7687606562499996</v>
      </c>
      <c r="H25" s="81">
        <f t="shared" ref="H25:H34" si="6">(F25/B25)^(1/5)-1</f>
        <v>0.41976512542341649</v>
      </c>
      <c r="I25" s="79">
        <f>B25*(1+H12)^5*'Consumer Sleeve'!$B$6</f>
        <v>34.778545300800005</v>
      </c>
      <c r="J25" s="80">
        <f t="shared" ref="J25:J34" si="7">I25/B25</f>
        <v>0.99367272288000008</v>
      </c>
      <c r="K25" s="81">
        <f t="shared" ref="K25:K34" si="8">(I25/B25)^(1/5)-1</f>
        <v>-1.2686703918036724E-3</v>
      </c>
      <c r="L25" s="82">
        <f>B25*(1+I12)^5*'Consumer Sleeve'!$B$6</f>
        <v>11.678305060800005</v>
      </c>
      <c r="M25" s="83">
        <f t="shared" ref="M25:M34" si="9">L25/B25</f>
        <v>0.33366585888000017</v>
      </c>
      <c r="N25" s="84">
        <f t="shared" ref="N25:N34" si="10">(L25/B25)^(1/5)-1</f>
        <v>-0.19709834286399897</v>
      </c>
    </row>
    <row r="26" spans="1:14" ht="15" customHeight="1" x14ac:dyDescent="0.2">
      <c r="A26" s="78" t="str">
        <f t="shared" si="1"/>
        <v>Whoop</v>
      </c>
      <c r="B26" s="79">
        <f t="shared" si="2"/>
        <v>31.5</v>
      </c>
      <c r="C26" s="79">
        <f>B26*(1+F13)^5*'Consumer Sleeve'!$B$6</f>
        <v>93.663777268844996</v>
      </c>
      <c r="D26" s="80">
        <f t="shared" si="3"/>
        <v>2.9734532466299997</v>
      </c>
      <c r="E26" s="81">
        <f t="shared" si="4"/>
        <v>0.24351842019844061</v>
      </c>
      <c r="F26" s="79">
        <f>B26*(1+G13)^5*'Consumer Sleeve'!$B$6</f>
        <v>163.67968672271996</v>
      </c>
      <c r="G26" s="80">
        <f t="shared" si="5"/>
        <v>5.1961805308799986</v>
      </c>
      <c r="H26" s="81">
        <f t="shared" si="6"/>
        <v>0.39039067455258691</v>
      </c>
      <c r="I26" s="79">
        <f>B26*(1+H13)^5*'Consumer Sleeve'!$B$6</f>
        <v>24.345109628594997</v>
      </c>
      <c r="J26" s="80">
        <f t="shared" si="7"/>
        <v>0.77286062312999992</v>
      </c>
      <c r="K26" s="81">
        <f t="shared" si="8"/>
        <v>-5.0226088509852551E-2</v>
      </c>
      <c r="L26" s="82">
        <f>B26*(1+I13)^5*'Consumer Sleeve'!$B$6</f>
        <v>11.856308567039997</v>
      </c>
      <c r="M26" s="83">
        <f t="shared" si="9"/>
        <v>0.3763907481599999</v>
      </c>
      <c r="N26" s="84">
        <f t="shared" si="10"/>
        <v>-0.17751537561677955</v>
      </c>
    </row>
    <row r="27" spans="1:14" ht="15" customHeight="1" x14ac:dyDescent="0.2">
      <c r="A27" s="78" t="str">
        <f t="shared" si="1"/>
        <v>The Farmer's Dog</v>
      </c>
      <c r="B27" s="79">
        <f t="shared" si="2"/>
        <v>24.5</v>
      </c>
      <c r="C27" s="79">
        <f>B27*(1+F14)^5*'Consumer Sleeve'!$B$6</f>
        <v>59.594714998559994</v>
      </c>
      <c r="D27" s="80">
        <f t="shared" si="3"/>
        <v>2.4324373468799996</v>
      </c>
      <c r="E27" s="81">
        <f t="shared" si="4"/>
        <v>0.19456100208039162</v>
      </c>
      <c r="F27" s="79">
        <f>B27*(1+G14)^5*'Consumer Sleeve'!$B$6</f>
        <v>95.264827549920042</v>
      </c>
      <c r="G27" s="80">
        <f t="shared" si="5"/>
        <v>3.8883603081600016</v>
      </c>
      <c r="H27" s="81">
        <f t="shared" si="6"/>
        <v>0.31205880556370902</v>
      </c>
      <c r="I27" s="79">
        <f>B27*(1+H14)^5*'Consumer Sleeve'!$B$6</f>
        <v>35.511745500000018</v>
      </c>
      <c r="J27" s="80">
        <f t="shared" si="7"/>
        <v>1.4494590000000007</v>
      </c>
      <c r="K27" s="81">
        <f t="shared" si="8"/>
        <v>7.7063198597074667E-2</v>
      </c>
      <c r="L27" s="82">
        <f>B27*(1+I14)^5*'Consumer Sleeve'!$B$6</f>
        <v>17.061869671875002</v>
      </c>
      <c r="M27" s="83">
        <f t="shared" si="9"/>
        <v>0.69640284375000006</v>
      </c>
      <c r="N27" s="84">
        <f t="shared" si="10"/>
        <v>-6.980905575707208E-2</v>
      </c>
    </row>
    <row r="28" spans="1:14" ht="15" customHeight="1" x14ac:dyDescent="0.2">
      <c r="A28" s="78" t="str">
        <f t="shared" si="1"/>
        <v>Made In Cookware</v>
      </c>
      <c r="B28" s="79">
        <f t="shared" si="2"/>
        <v>17.5</v>
      </c>
      <c r="C28" s="79">
        <f>B28*(1+F15)^5*'Consumer Sleeve'!$B$6</f>
        <v>30.325279672800015</v>
      </c>
      <c r="D28" s="80">
        <f t="shared" si="3"/>
        <v>1.7328731241600008</v>
      </c>
      <c r="E28" s="81">
        <f t="shared" si="4"/>
        <v>0.11622913309151373</v>
      </c>
      <c r="F28" s="79">
        <f>B28*(1+G15)^5*'Consumer Sleeve'!$B$6</f>
        <v>50.01880176720001</v>
      </c>
      <c r="G28" s="80">
        <f t="shared" si="5"/>
        <v>2.8582172438400004</v>
      </c>
      <c r="H28" s="81">
        <f t="shared" si="6"/>
        <v>0.2337269365748309</v>
      </c>
      <c r="I28" s="79">
        <f>B28*(1+H15)^5*'Consumer Sleeve'!$B$6</f>
        <v>9.300217500000004</v>
      </c>
      <c r="J28" s="80">
        <f t="shared" si="7"/>
        <v>0.53144100000000027</v>
      </c>
      <c r="K28" s="81">
        <f t="shared" si="8"/>
        <v>-0.11876647387512085</v>
      </c>
      <c r="L28" s="82">
        <f>B28*(1+I15)^5*'Consumer Sleeve'!$B$6</f>
        <v>7.4092255271999976</v>
      </c>
      <c r="M28" s="83">
        <f t="shared" si="9"/>
        <v>0.42338431583999986</v>
      </c>
      <c r="N28" s="84">
        <f t="shared" si="10"/>
        <v>-0.15793240836956002</v>
      </c>
    </row>
    <row r="29" spans="1:14" ht="15" customHeight="1" x14ac:dyDescent="0.2">
      <c r="A29" s="78" t="str">
        <f t="shared" si="1"/>
        <v>Thrive Market</v>
      </c>
      <c r="B29" s="79">
        <f t="shared" si="2"/>
        <v>14</v>
      </c>
      <c r="C29" s="79">
        <f>B29*(1+F16)^5*'Consumer Sleeve'!$B$6</f>
        <v>17.672151806820001</v>
      </c>
      <c r="D29" s="80">
        <f t="shared" si="3"/>
        <v>1.26229655763</v>
      </c>
      <c r="E29" s="81">
        <f t="shared" si="4"/>
        <v>4.7688747726245095E-2</v>
      </c>
      <c r="F29" s="79">
        <f>B29*(1+G16)^5*'Consumer Sleeve'!$B$6</f>
        <v>26.464304885759994</v>
      </c>
      <c r="G29" s="80">
        <f t="shared" si="5"/>
        <v>1.8903074918399996</v>
      </c>
      <c r="H29" s="81">
        <f t="shared" si="6"/>
        <v>0.13581210033873292</v>
      </c>
      <c r="I29" s="79">
        <f>B29*(1+H16)^5*'Consumer Sleeve'!$B$6</f>
        <v>9.7496398124999999</v>
      </c>
      <c r="J29" s="80">
        <f t="shared" si="7"/>
        <v>0.69640284374999994</v>
      </c>
      <c r="K29" s="81">
        <f t="shared" si="8"/>
        <v>-6.980905575707208E-2</v>
      </c>
      <c r="L29" s="82">
        <f>B29*(1+I16)^5*'Consumer Sleeve'!$B$6</f>
        <v>8.3044271923200021</v>
      </c>
      <c r="M29" s="83">
        <f t="shared" si="9"/>
        <v>0.59317337088000011</v>
      </c>
      <c r="N29" s="84">
        <f t="shared" si="10"/>
        <v>-9.9183506627901319E-2</v>
      </c>
    </row>
    <row r="30" spans="1:14" ht="15" customHeight="1" x14ac:dyDescent="0.2">
      <c r="A30" s="78" t="str">
        <f t="shared" si="1"/>
        <v>Plunge</v>
      </c>
      <c r="B30" s="79">
        <f t="shared" si="2"/>
        <v>7</v>
      </c>
      <c r="C30" s="79">
        <f>B30*(1+F17)^5*'Consumer Sleeve'!$B$6</f>
        <v>15.676415999999998</v>
      </c>
      <c r="D30" s="80">
        <f t="shared" si="3"/>
        <v>2.2394879999999997</v>
      </c>
      <c r="E30" s="81">
        <f t="shared" si="4"/>
        <v>0.1749780348331722</v>
      </c>
      <c r="F30" s="79">
        <f>B30*(1+G17)^5*'Consumer Sleeve'!$B$6</f>
        <v>47.840625000000003</v>
      </c>
      <c r="G30" s="80">
        <f t="shared" si="5"/>
        <v>6.8343750000000005</v>
      </c>
      <c r="H30" s="81">
        <f t="shared" si="6"/>
        <v>0.46872254354146525</v>
      </c>
      <c r="I30" s="79">
        <f>B30*(1+H17)^5*'Consumer Sleeve'!$B$6</f>
        <v>1.8189198518400007</v>
      </c>
      <c r="J30" s="80">
        <f t="shared" si="7"/>
        <v>0.25984569312000011</v>
      </c>
      <c r="K30" s="81">
        <f t="shared" si="8"/>
        <v>-0.23626427735843802</v>
      </c>
      <c r="L30" s="82">
        <f>B30*(1+I17)^5*'Consumer Sleeve'!$B$6</f>
        <v>1.2189981081599999</v>
      </c>
      <c r="M30" s="83">
        <f t="shared" si="9"/>
        <v>0.17414258687999998</v>
      </c>
      <c r="N30" s="84">
        <f t="shared" si="10"/>
        <v>-0.29501317910009672</v>
      </c>
    </row>
    <row r="31" spans="1:14" ht="15" customHeight="1" x14ac:dyDescent="0.2">
      <c r="A31" s="78" t="str">
        <f t="shared" si="1"/>
        <v>Polymarket</v>
      </c>
      <c r="B31" s="79">
        <f t="shared" si="2"/>
        <v>10.5</v>
      </c>
      <c r="C31" s="79">
        <f>B31*(1+F18)^5*'Consumer Sleeve'!$B$6</f>
        <v>28.839111328125</v>
      </c>
      <c r="D31" s="80">
        <f t="shared" si="3"/>
        <v>2.74658203125</v>
      </c>
      <c r="E31" s="81">
        <f t="shared" si="4"/>
        <v>0.22393545295122097</v>
      </c>
      <c r="F31" s="79">
        <f>B31*(1+G18)^5*'Consumer Sleeve'!$B$6</f>
        <v>50.824367999999986</v>
      </c>
      <c r="G31" s="80">
        <f t="shared" si="5"/>
        <v>4.8404159999999985</v>
      </c>
      <c r="H31" s="81">
        <f t="shared" si="6"/>
        <v>0.3708077073053675</v>
      </c>
      <c r="I31" s="79">
        <f>B31*(1+H18)^5*'Consumer Sleeve'!$B$6</f>
        <v>7.3122298593749999</v>
      </c>
      <c r="J31" s="80">
        <f t="shared" si="7"/>
        <v>0.69640284374999994</v>
      </c>
      <c r="K31" s="81">
        <f t="shared" si="8"/>
        <v>-6.980905575707208E-2</v>
      </c>
      <c r="L31" s="82">
        <f>B31*(1+I18)^5*'Consumer Sleeve'!$B$6</f>
        <v>4.9870666137599997</v>
      </c>
      <c r="M31" s="83">
        <f t="shared" si="9"/>
        <v>0.47495872511999998</v>
      </c>
      <c r="N31" s="84">
        <f t="shared" si="10"/>
        <v>-0.13834944112234049</v>
      </c>
    </row>
    <row r="32" spans="1:14" ht="15" customHeight="1" x14ac:dyDescent="0.2">
      <c r="A32" s="78" t="str">
        <f t="shared" si="1"/>
        <v>Goat Group</v>
      </c>
      <c r="B32" s="79">
        <f t="shared" si="2"/>
        <v>15</v>
      </c>
      <c r="C32" s="79">
        <f>B32*(1+F19)^5*'Consumer Sleeve'!$B$6</f>
        <v>27.153322031249992</v>
      </c>
      <c r="D32" s="80">
        <f t="shared" si="3"/>
        <v>1.8102214687499996</v>
      </c>
      <c r="E32" s="81">
        <f t="shared" si="4"/>
        <v>0.12602061671512321</v>
      </c>
      <c r="F32" s="79">
        <f>B32*(1+G19)^5*'Consumer Sleeve'!$B$6</f>
        <v>46.385646796800003</v>
      </c>
      <c r="G32" s="80">
        <f t="shared" si="5"/>
        <v>3.0923764531200004</v>
      </c>
      <c r="H32" s="81">
        <f t="shared" si="6"/>
        <v>0.25330990382205032</v>
      </c>
      <c r="I32" s="79">
        <f>B32*(1+H19)^5*'Consumer Sleeve'!$B$6</f>
        <v>7.1243808768000001</v>
      </c>
      <c r="J32" s="80">
        <f t="shared" si="7"/>
        <v>0.47495872511999998</v>
      </c>
      <c r="K32" s="81">
        <f t="shared" si="8"/>
        <v>-0.13834944112234049</v>
      </c>
      <c r="L32" s="82">
        <f>B32*(1+I19)^5*'Consumer Sleeve'!$B$6</f>
        <v>5.645861222399998</v>
      </c>
      <c r="M32" s="83">
        <f t="shared" si="9"/>
        <v>0.37639074815999984</v>
      </c>
      <c r="N32" s="84">
        <f t="shared" si="10"/>
        <v>-0.17751537561677955</v>
      </c>
    </row>
    <row r="33" spans="1:14" ht="15" customHeight="1" x14ac:dyDescent="0.2">
      <c r="A33" s="78" t="str">
        <f t="shared" si="1"/>
        <v>Stripe</v>
      </c>
      <c r="B33" s="79">
        <f t="shared" si="2"/>
        <v>45</v>
      </c>
      <c r="C33" s="79">
        <f>B33*(1+F20)^5*'Consumer Sleeve'!$B$6</f>
        <v>92.654189150399972</v>
      </c>
      <c r="D33" s="80">
        <f t="shared" si="3"/>
        <v>2.0589819811199992</v>
      </c>
      <c r="E33" s="81">
        <f t="shared" si="4"/>
        <v>0.15539506758595256</v>
      </c>
      <c r="F33" s="79">
        <f>B33*(1+G20)^5*'Consumer Sleeve'!$B$6</f>
        <v>181.60335421875007</v>
      </c>
      <c r="G33" s="80">
        <f t="shared" si="5"/>
        <v>4.0356300937500018</v>
      </c>
      <c r="H33" s="81">
        <f t="shared" si="6"/>
        <v>0.32185028918731873</v>
      </c>
      <c r="I33" s="79">
        <f>B33*(1+H20)^5*'Consumer Sleeve'!$B$6</f>
        <v>31.338127968749998</v>
      </c>
      <c r="J33" s="80">
        <f t="shared" si="7"/>
        <v>0.69640284374999994</v>
      </c>
      <c r="K33" s="81">
        <f t="shared" si="8"/>
        <v>-6.980905575707208E-2</v>
      </c>
      <c r="L33" s="82">
        <f>B33*(1+I20)^5*'Consumer Sleeve'!$B$6</f>
        <v>26.692801689600003</v>
      </c>
      <c r="M33" s="83">
        <f t="shared" si="9"/>
        <v>0.59317337088000011</v>
      </c>
      <c r="N33" s="84">
        <f t="shared" si="10"/>
        <v>-9.9183506627901319E-2</v>
      </c>
    </row>
    <row r="34" spans="1:14" ht="27.75" customHeight="1" x14ac:dyDescent="0.2">
      <c r="A34" s="53" t="s">
        <v>356</v>
      </c>
      <c r="B34" s="63">
        <f>SUM(B25:B33)</f>
        <v>200</v>
      </c>
      <c r="C34" s="63">
        <f>SUM(C25:C33)</f>
        <v>473.81213811600009</v>
      </c>
      <c r="D34" s="64">
        <f t="shared" si="3"/>
        <v>2.3690606905800005</v>
      </c>
      <c r="E34" s="65">
        <f t="shared" si="4"/>
        <v>0.18827028620003428</v>
      </c>
      <c r="F34" s="63">
        <f>SUM(F25:F33)</f>
        <v>863.98823790990002</v>
      </c>
      <c r="G34" s="64">
        <f t="shared" si="5"/>
        <v>4.3199411895494997</v>
      </c>
      <c r="H34" s="65">
        <f t="shared" si="6"/>
        <v>0.33997151694622652</v>
      </c>
      <c r="I34" s="63">
        <f>SUM(I25:I33)</f>
        <v>161.27891629866002</v>
      </c>
      <c r="J34" s="64">
        <f t="shared" si="7"/>
        <v>0.80639458149330012</v>
      </c>
      <c r="K34" s="65">
        <f t="shared" si="8"/>
        <v>-4.2123496634719482E-2</v>
      </c>
      <c r="L34" s="66">
        <f>SUM(L25:L33)</f>
        <v>94.854863653155007</v>
      </c>
      <c r="M34" s="67">
        <f t="shared" si="9"/>
        <v>0.47427431826577504</v>
      </c>
      <c r="N34" s="68">
        <f t="shared" si="10"/>
        <v>-0.1385979089244701</v>
      </c>
    </row>
    <row r="35" spans="1:14" ht="1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customHeight="1" x14ac:dyDescent="0.2">
      <c r="A37" s="28" t="s">
        <v>393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customHeight="1" x14ac:dyDescent="0.2">
      <c r="A38" s="12" t="s">
        <v>203</v>
      </c>
      <c r="B38" s="12" t="s">
        <v>205</v>
      </c>
      <c r="C38" s="12" t="s">
        <v>313</v>
      </c>
      <c r="D38" s="12" t="s">
        <v>314</v>
      </c>
      <c r="E38" s="12" t="s">
        <v>315</v>
      </c>
      <c r="F38" s="12" t="s">
        <v>316</v>
      </c>
      <c r="G38" s="12" t="s">
        <v>317</v>
      </c>
      <c r="H38" s="12" t="s">
        <v>318</v>
      </c>
      <c r="I38" s="12" t="s">
        <v>319</v>
      </c>
      <c r="J38" s="12" t="s">
        <v>320</v>
      </c>
      <c r="K38" s="12" t="s">
        <v>321</v>
      </c>
      <c r="L38" s="21" t="s">
        <v>322</v>
      </c>
      <c r="M38" s="21" t="s">
        <v>323</v>
      </c>
      <c r="N38" s="21" t="s">
        <v>324</v>
      </c>
    </row>
    <row r="39" spans="1:14" ht="15" customHeight="1" x14ac:dyDescent="0.2">
      <c r="A39" s="78" t="str">
        <f t="shared" ref="A39:A47" si="11">A12</f>
        <v>Quince</v>
      </c>
      <c r="B39" s="79">
        <f t="shared" ref="B39:B47" si="12">C12</f>
        <v>35</v>
      </c>
      <c r="C39" s="79">
        <f>B39*(1+F12)^7*'Consumer Sleeve'!$B$7</f>
        <v>165.50728630586576</v>
      </c>
      <c r="D39" s="80">
        <f t="shared" ref="D39:D48" si="13">C39/B39</f>
        <v>4.7287796087390221</v>
      </c>
      <c r="E39" s="81">
        <f t="shared" ref="E39:E48" si="14">(C39/B39)^(1/7)-1</f>
        <v>0.24851201120067157</v>
      </c>
      <c r="F39" s="79">
        <f>B39*(1+G12)^7*'Consumer Sleeve'!$B$7</f>
        <v>396.2080964723437</v>
      </c>
      <c r="G39" s="80">
        <f t="shared" ref="G39:G48" si="15">F39/B39</f>
        <v>11.320231327781249</v>
      </c>
      <c r="H39" s="81">
        <f t="shared" ref="H39:H48" si="16">(F39/B39)^(1/7)-1</f>
        <v>0.41433001268826075</v>
      </c>
      <c r="I39" s="79">
        <f>B39*(1+H12)^7*'Consumer Sleeve'!$B$7</f>
        <v>33.771358628888827</v>
      </c>
      <c r="J39" s="80">
        <f t="shared" ref="J39:J48" si="17">I39/B39</f>
        <v>0.96489596082539508</v>
      </c>
      <c r="K39" s="81">
        <f t="shared" ref="K39:K48" si="18">(I39/B39)^(1/7)-1</f>
        <v>-5.0919910744647856E-3</v>
      </c>
      <c r="L39" s="82">
        <f>B39*(1+I12)^7*'Consumer Sleeve'!$B$7</f>
        <v>7.3289928346897959</v>
      </c>
      <c r="M39" s="83">
        <f t="shared" ref="M39:M48" si="19">L39/B39</f>
        <v>0.20939979527685132</v>
      </c>
      <c r="N39" s="84">
        <f t="shared" ref="N39:N48" si="20">(L39/B39)^(1/7)-1</f>
        <v>-0.20017199282456966</v>
      </c>
    </row>
    <row r="40" spans="1:14" ht="15" customHeight="1" x14ac:dyDescent="0.2">
      <c r="A40" s="78" t="str">
        <f t="shared" si="11"/>
        <v>Whoop</v>
      </c>
      <c r="B40" s="79">
        <f t="shared" si="12"/>
        <v>31.5</v>
      </c>
      <c r="C40" s="79">
        <f>B40*(1+F13)^7*'Consumer Sleeve'!$B$7</f>
        <v>140.99895259979209</v>
      </c>
      <c r="D40" s="80">
        <f t="shared" si="13"/>
        <v>4.4761572253902253</v>
      </c>
      <c r="E40" s="81">
        <f t="shared" si="14"/>
        <v>0.23875801111316641</v>
      </c>
      <c r="F40" s="79">
        <f>B40*(1+G13)^7*'Consumer Sleeve'!$B$7</f>
        <v>308.04080562051303</v>
      </c>
      <c r="G40" s="80">
        <f t="shared" si="15"/>
        <v>9.7790731943020006</v>
      </c>
      <c r="H40" s="81">
        <f t="shared" si="16"/>
        <v>0.38506801242574507</v>
      </c>
      <c r="I40" s="79">
        <f>B40*(1+H13)^7*'Consumer Sleeve'!$B$7</f>
        <v>21.379226072908697</v>
      </c>
      <c r="J40" s="80">
        <f t="shared" si="17"/>
        <v>0.67870558961614913</v>
      </c>
      <c r="K40" s="81">
        <f t="shared" si="18"/>
        <v>-5.3861991511991114E-2</v>
      </c>
      <c r="L40" s="82">
        <f>B40*(1+I13)^7*'Consumer Sleeve'!$B$7</f>
        <v>7.8080905699098588</v>
      </c>
      <c r="M40" s="83">
        <f t="shared" si="19"/>
        <v>0.24787589110824948</v>
      </c>
      <c r="N40" s="84">
        <f t="shared" si="20"/>
        <v>-0.18066399264955935</v>
      </c>
    </row>
    <row r="41" spans="1:14" ht="15" customHeight="1" x14ac:dyDescent="0.2">
      <c r="A41" s="78" t="str">
        <f t="shared" si="11"/>
        <v>The Farmer's Dog</v>
      </c>
      <c r="B41" s="79">
        <f t="shared" si="12"/>
        <v>24.5</v>
      </c>
      <c r="C41" s="79">
        <f>B41*(1+F14)^7*'Consumer Sleeve'!$B$7</f>
        <v>82.787388883599576</v>
      </c>
      <c r="D41" s="80">
        <f t="shared" si="13"/>
        <v>3.3790770972897786</v>
      </c>
      <c r="E41" s="81">
        <f t="shared" si="14"/>
        <v>0.18998801067563997</v>
      </c>
      <c r="F41" s="79">
        <f>B41*(1+G14)^7*'Consumer Sleeve'!$B$7</f>
        <v>159.65368939206067</v>
      </c>
      <c r="G41" s="80">
        <f t="shared" si="15"/>
        <v>6.5164771180432925</v>
      </c>
      <c r="H41" s="81">
        <f t="shared" si="16"/>
        <v>0.30703601172570316</v>
      </c>
      <c r="I41" s="79">
        <f>B41*(1+H14)^7*'Consumer Sleeve'!$B$7</f>
        <v>40.104597918000024</v>
      </c>
      <c r="J41" s="80">
        <f t="shared" si="17"/>
        <v>1.636922364000001</v>
      </c>
      <c r="K41" s="81">
        <f t="shared" si="18"/>
        <v>7.2940009625577229E-2</v>
      </c>
      <c r="L41" s="82">
        <f>B41*(1+I14)^7*'Consumer Sleeve'!$B$7</f>
        <v>14.371781553609372</v>
      </c>
      <c r="M41" s="83">
        <f t="shared" si="19"/>
        <v>0.58660332871874987</v>
      </c>
      <c r="N41" s="84">
        <f t="shared" si="20"/>
        <v>-7.3369991687001535E-2</v>
      </c>
    </row>
    <row r="42" spans="1:14" ht="15" customHeight="1" x14ac:dyDescent="0.2">
      <c r="A42" s="78" t="str">
        <f t="shared" si="11"/>
        <v>Made In Cookware</v>
      </c>
      <c r="B42" s="79">
        <f t="shared" si="12"/>
        <v>17.5</v>
      </c>
      <c r="C42" s="79">
        <f>B42*(1+F15)^7*'Consumer Sleeve'!$B$7</f>
        <v>36.783351231919518</v>
      </c>
      <c r="D42" s="80">
        <f t="shared" si="13"/>
        <v>2.1019057846811151</v>
      </c>
      <c r="E42" s="81">
        <f t="shared" si="14"/>
        <v>0.11195600997559829</v>
      </c>
      <c r="F42" s="79">
        <f>B42*(1+G15)^7*'Consumer Sleeve'!$B$7</f>
        <v>74.115859706566283</v>
      </c>
      <c r="G42" s="80">
        <f t="shared" si="15"/>
        <v>4.235191983232359</v>
      </c>
      <c r="H42" s="81">
        <f t="shared" si="16"/>
        <v>0.22900401102566104</v>
      </c>
      <c r="I42" s="79">
        <f>B42*(1+H15)^7*'Consumer Sleeve'!$B$7</f>
        <v>7.0309644300000018</v>
      </c>
      <c r="J42" s="80">
        <f t="shared" si="17"/>
        <v>0.40176939600000011</v>
      </c>
      <c r="K42" s="81">
        <f t="shared" si="18"/>
        <v>-0.12213999212452775</v>
      </c>
      <c r="L42" s="82">
        <f>B42*(1+I15)^7*'Consumer Sleeve'!$B$7</f>
        <v>5.1145389865893103</v>
      </c>
      <c r="M42" s="83">
        <f t="shared" si="19"/>
        <v>0.29225937066224628</v>
      </c>
      <c r="N42" s="84">
        <f t="shared" si="20"/>
        <v>-0.16115599247454881</v>
      </c>
    </row>
    <row r="43" spans="1:14" ht="15" customHeight="1" x14ac:dyDescent="0.2">
      <c r="A43" s="78" t="str">
        <f t="shared" si="11"/>
        <v>Thrive Market</v>
      </c>
      <c r="B43" s="79">
        <f t="shared" si="12"/>
        <v>14</v>
      </c>
      <c r="C43" s="79">
        <f>B43*(1+F16)^7*'Consumer Sleeve'!$B$7</f>
        <v>18.883990163386336</v>
      </c>
      <c r="D43" s="80">
        <f t="shared" si="13"/>
        <v>1.3488564402418812</v>
      </c>
      <c r="E43" s="81">
        <f t="shared" si="14"/>
        <v>4.3678009363061321E-2</v>
      </c>
      <c r="F43" s="79">
        <f>B43*(1+G16)^7*'Consumer Sleeve'!$B$7</f>
        <v>33.236344077326734</v>
      </c>
      <c r="G43" s="80">
        <f t="shared" si="15"/>
        <v>2.3740245769519097</v>
      </c>
      <c r="H43" s="81">
        <f t="shared" si="16"/>
        <v>0.1314640101506086</v>
      </c>
      <c r="I43" s="79">
        <f>B43*(1+H16)^7*'Consumer Sleeve'!$B$7</f>
        <v>8.2124466020624993</v>
      </c>
      <c r="J43" s="80">
        <f t="shared" si="17"/>
        <v>0.58660332871874998</v>
      </c>
      <c r="K43" s="81">
        <f t="shared" si="18"/>
        <v>-7.3369991687001535E-2</v>
      </c>
      <c r="L43" s="82">
        <f>B43*(1+I16)^7*'Consumer Sleeve'!$B$7</f>
        <v>6.5602760305410053</v>
      </c>
      <c r="M43" s="83">
        <f t="shared" si="19"/>
        <v>0.46859114503864324</v>
      </c>
      <c r="N43" s="84">
        <f t="shared" si="20"/>
        <v>-0.10263199194951722</v>
      </c>
    </row>
    <row r="44" spans="1:14" ht="15" customHeight="1" x14ac:dyDescent="0.2">
      <c r="A44" s="78" t="str">
        <f t="shared" si="11"/>
        <v>Plunge</v>
      </c>
      <c r="B44" s="79">
        <f t="shared" si="12"/>
        <v>7</v>
      </c>
      <c r="C44" s="79">
        <f>B44*(1+F17)^7*'Consumer Sleeve'!$B$7</f>
        <v>21.069103103999996</v>
      </c>
      <c r="D44" s="80">
        <f t="shared" si="13"/>
        <v>3.0098718719999993</v>
      </c>
      <c r="E44" s="81">
        <f t="shared" si="14"/>
        <v>0.17048001050062966</v>
      </c>
      <c r="F44" s="79">
        <f>B44*(1+G17)^7*'Consumer Sleeve'!$B$7</f>
        <v>100.4653125</v>
      </c>
      <c r="G44" s="80">
        <f t="shared" si="15"/>
        <v>14.352187499999999</v>
      </c>
      <c r="H44" s="81">
        <f t="shared" si="16"/>
        <v>0.46310001312578697</v>
      </c>
      <c r="I44" s="79">
        <f>B44*(1+H17)^7*'Consumer Sleeve'!$B$7</f>
        <v>1.0328554486688259</v>
      </c>
      <c r="J44" s="80">
        <f t="shared" si="17"/>
        <v>0.14755077838126085</v>
      </c>
      <c r="K44" s="81">
        <f t="shared" si="18"/>
        <v>-0.23918799317459072</v>
      </c>
      <c r="L44" s="82">
        <f>B44*(1+I17)^7*'Consumer Sleeve'!$B$7</f>
        <v>0.5898000446521342</v>
      </c>
      <c r="M44" s="83">
        <f t="shared" si="19"/>
        <v>8.4257149236019166E-2</v>
      </c>
      <c r="N44" s="84">
        <f t="shared" si="20"/>
        <v>-0.29771199369962231</v>
      </c>
    </row>
    <row r="45" spans="1:14" ht="15" customHeight="1" x14ac:dyDescent="0.2">
      <c r="A45" s="78" t="str">
        <f t="shared" si="11"/>
        <v>Polymarket</v>
      </c>
      <c r="B45" s="79">
        <f t="shared" si="12"/>
        <v>10.5</v>
      </c>
      <c r="C45" s="79">
        <f>B45*(1+F18)^7*'Consumer Sleeve'!$B$7</f>
        <v>42.057037353515625</v>
      </c>
      <c r="D45" s="80">
        <f t="shared" si="13"/>
        <v>4.00543212890625</v>
      </c>
      <c r="E45" s="81">
        <f t="shared" si="14"/>
        <v>0.21925001093815588</v>
      </c>
      <c r="F45" s="79">
        <f>B45*(1+G18)^7*'Consumer Sleeve'!$B$7</f>
        <v>92.974710527999946</v>
      </c>
      <c r="G45" s="80">
        <f t="shared" si="15"/>
        <v>8.8547343359999946</v>
      </c>
      <c r="H45" s="81">
        <f t="shared" si="16"/>
        <v>0.36556001225073431</v>
      </c>
      <c r="I45" s="79">
        <f>B45*(1+H18)^7*'Consumer Sleeve'!$B$7</f>
        <v>6.1593349515468745</v>
      </c>
      <c r="J45" s="80">
        <f t="shared" si="17"/>
        <v>0.58660332871874998</v>
      </c>
      <c r="K45" s="81">
        <f t="shared" si="18"/>
        <v>-7.3369991687001535E-2</v>
      </c>
      <c r="L45" s="82">
        <f>B45*(1+I18)^7*'Consumer Sleeve'!$B$7</f>
        <v>3.6045187599826947</v>
      </c>
      <c r="M45" s="83">
        <f t="shared" si="19"/>
        <v>0.34328750095073285</v>
      </c>
      <c r="N45" s="84">
        <f t="shared" si="20"/>
        <v>-0.14164799229953828</v>
      </c>
    </row>
    <row r="46" spans="1:14" ht="15" customHeight="1" x14ac:dyDescent="0.2">
      <c r="A46" s="78" t="str">
        <f t="shared" si="11"/>
        <v>Goat Group</v>
      </c>
      <c r="B46" s="79">
        <f t="shared" si="12"/>
        <v>15</v>
      </c>
      <c r="C46" s="79">
        <f>B46*(1+F19)^7*'Consumer Sleeve'!$B$7</f>
        <v>33.516250493906227</v>
      </c>
      <c r="D46" s="80">
        <f t="shared" si="13"/>
        <v>2.2344166995937487</v>
      </c>
      <c r="E46" s="81">
        <f t="shared" si="14"/>
        <v>0.12171001006310322</v>
      </c>
      <c r="F46" s="79">
        <f>B46*(1+G19)^7*'Consumer Sleeve'!$B$7</f>
        <v>70.931694131085322</v>
      </c>
      <c r="G46" s="80">
        <f t="shared" si="15"/>
        <v>4.7287796087390213</v>
      </c>
      <c r="H46" s="81">
        <f t="shared" si="16"/>
        <v>0.24851201120067157</v>
      </c>
      <c r="I46" s="79">
        <f>B46*(1+H19)^7*'Consumer Sleeve'!$B$7</f>
        <v>5.1493125142609921</v>
      </c>
      <c r="J46" s="80">
        <f t="shared" si="17"/>
        <v>0.34328750095073279</v>
      </c>
      <c r="K46" s="81">
        <f t="shared" si="18"/>
        <v>-0.14164799229953828</v>
      </c>
      <c r="L46" s="82">
        <f>B46*(1+I19)^7*'Consumer Sleeve'!$B$7</f>
        <v>3.7181383666237426</v>
      </c>
      <c r="M46" s="83">
        <f t="shared" si="19"/>
        <v>0.24787589110824951</v>
      </c>
      <c r="N46" s="84">
        <f t="shared" si="20"/>
        <v>-0.18066399264955935</v>
      </c>
    </row>
    <row r="47" spans="1:14" ht="15" customHeight="1" x14ac:dyDescent="0.2">
      <c r="A47" s="78" t="str">
        <f t="shared" si="11"/>
        <v>Stripe</v>
      </c>
      <c r="B47" s="79">
        <f t="shared" si="12"/>
        <v>45</v>
      </c>
      <c r="C47" s="79">
        <f>B47*(1+F20)^7*'Consumer Sleeve'!$B$7</f>
        <v>120.41091344148245</v>
      </c>
      <c r="D47" s="80">
        <f t="shared" si="13"/>
        <v>2.6757980764773879</v>
      </c>
      <c r="E47" s="81">
        <f t="shared" si="14"/>
        <v>0.15097201032561913</v>
      </c>
      <c r="F47" s="79">
        <f>B47*(1+G20)^7*'Consumer Sleeve'!$B$7</f>
        <v>308.90730552609386</v>
      </c>
      <c r="G47" s="80">
        <f t="shared" si="15"/>
        <v>6.8646067894687528</v>
      </c>
      <c r="H47" s="81">
        <f t="shared" si="16"/>
        <v>0.31679001181320832</v>
      </c>
      <c r="I47" s="79">
        <f>B47*(1+H20)^7*'Consumer Sleeve'!$B$7</f>
        <v>26.397149792343747</v>
      </c>
      <c r="J47" s="80">
        <f t="shared" si="17"/>
        <v>0.58660332871874998</v>
      </c>
      <c r="K47" s="81">
        <f t="shared" si="18"/>
        <v>-7.3369991687001535E-2</v>
      </c>
      <c r="L47" s="82">
        <f>B47*(1+I20)^7*'Consumer Sleeve'!$B$7</f>
        <v>21.086601526738949</v>
      </c>
      <c r="M47" s="83">
        <f t="shared" si="19"/>
        <v>0.4685911450386433</v>
      </c>
      <c r="N47" s="84">
        <f t="shared" si="20"/>
        <v>-0.10263199194951722</v>
      </c>
    </row>
    <row r="48" spans="1:14" ht="15" customHeight="1" x14ac:dyDescent="0.2">
      <c r="A48" s="53" t="s">
        <v>356</v>
      </c>
      <c r="B48" s="63">
        <f>SUM(B39:B47)</f>
        <v>200</v>
      </c>
      <c r="C48" s="63">
        <f>SUM(C39:C47)</f>
        <v>662.01427357746763</v>
      </c>
      <c r="D48" s="64">
        <f t="shared" si="13"/>
        <v>3.3100713678873381</v>
      </c>
      <c r="E48" s="65">
        <f t="shared" si="14"/>
        <v>0.18648562177434669</v>
      </c>
      <c r="F48" s="63">
        <f>SUM(F39:F47)</f>
        <v>1544.5338179539895</v>
      </c>
      <c r="G48" s="64">
        <f t="shared" si="15"/>
        <v>7.7226690897699477</v>
      </c>
      <c r="H48" s="65">
        <f t="shared" si="16"/>
        <v>0.33913363395901319</v>
      </c>
      <c r="I48" s="63">
        <f>SUM(I39:I47)</f>
        <v>149.23724635868049</v>
      </c>
      <c r="J48" s="64">
        <f t="shared" si="17"/>
        <v>0.74618623179340249</v>
      </c>
      <c r="K48" s="65">
        <f t="shared" si="18"/>
        <v>-4.0963097075313426E-2</v>
      </c>
      <c r="L48" s="66">
        <f>SUM(L39:L47)</f>
        <v>70.182738673336857</v>
      </c>
      <c r="M48" s="67">
        <f t="shared" si="19"/>
        <v>0.35091369336668427</v>
      </c>
      <c r="N48" s="68">
        <f t="shared" si="20"/>
        <v>-0.13894951338080663</v>
      </c>
    </row>
    <row r="49" spans="1:14" ht="1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customHeight="1" x14ac:dyDescent="0.2">
      <c r="A51" s="28" t="s">
        <v>394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customHeight="1" x14ac:dyDescent="0.2">
      <c r="A52" s="12" t="s">
        <v>203</v>
      </c>
      <c r="B52" s="12" t="s">
        <v>205</v>
      </c>
      <c r="C52" s="12" t="s">
        <v>313</v>
      </c>
      <c r="D52" s="12" t="s">
        <v>314</v>
      </c>
      <c r="E52" s="12" t="s">
        <v>315</v>
      </c>
      <c r="F52" s="12" t="s">
        <v>316</v>
      </c>
      <c r="G52" s="12" t="s">
        <v>317</v>
      </c>
      <c r="H52" s="12" t="s">
        <v>318</v>
      </c>
      <c r="I52" s="12" t="s">
        <v>319</v>
      </c>
      <c r="J52" s="12" t="s">
        <v>320</v>
      </c>
      <c r="K52" s="12" t="s">
        <v>321</v>
      </c>
      <c r="L52" s="21" t="s">
        <v>322</v>
      </c>
      <c r="M52" s="21" t="s">
        <v>323</v>
      </c>
      <c r="N52" s="21" t="s">
        <v>324</v>
      </c>
    </row>
    <row r="53" spans="1:14" ht="15" customHeight="1" x14ac:dyDescent="0.2">
      <c r="A53" s="78" t="str">
        <f t="shared" ref="A53:A61" si="21">A12</f>
        <v>Quince</v>
      </c>
      <c r="B53" s="79">
        <f t="shared" ref="B53:B61" si="22">C12</f>
        <v>35</v>
      </c>
      <c r="C53" s="79">
        <f>B53*(1+F12)^10*'Consumer Sleeve'!$B$8</f>
        <v>309.90530043832047</v>
      </c>
      <c r="D53" s="80">
        <f t="shared" ref="D53:D62" si="23">C53/B53</f>
        <v>8.8544371553805856</v>
      </c>
      <c r="E53" s="81">
        <f t="shared" ref="E53:E62" si="24">(C53/B53)^(1/10)-1</f>
        <v>0.24370132206473416</v>
      </c>
      <c r="F53" s="79">
        <f>B53*(1+G12)^10*'Consumer Sleeve'!$B$8</f>
        <v>1078.4731322392847</v>
      </c>
      <c r="G53" s="80">
        <f t="shared" ref="G53:G62" si="25">F53/B53</f>
        <v>30.813518063979565</v>
      </c>
      <c r="H53" s="81">
        <f t="shared" ref="H53:H62" si="26">(F53/B53)^(1/10)-1</f>
        <v>0.40888040390145663</v>
      </c>
      <c r="I53" s="79">
        <f>B53*(1+H12)^10*'Consumer Sleeve'!$B$8</f>
        <v>31.998603524862375</v>
      </c>
      <c r="J53" s="80">
        <f t="shared" ref="J53:J62" si="27">I53/B53</f>
        <v>0.91424581499606783</v>
      </c>
      <c r="K53" s="81">
        <f t="shared" ref="K53:K62" si="28">(I53/B53)^(1/10)-1</f>
        <v>-8.9255089796650422E-3</v>
      </c>
      <c r="L53" s="82">
        <f>B53*(1+I12)^10*'Consumer Sleeve'!$B$8</f>
        <v>3.6080108225689687</v>
      </c>
      <c r="M53" s="83">
        <f t="shared" ref="M53:M62" si="29">L53/B53</f>
        <v>0.10308602350197053</v>
      </c>
      <c r="N53" s="84">
        <f t="shared" ref="N53:N62" si="30">(L53/B53)^(1/10)-1</f>
        <v>-0.20325384055227969</v>
      </c>
    </row>
    <row r="54" spans="1:14" ht="15" customHeight="1" x14ac:dyDescent="0.2">
      <c r="A54" s="78" t="str">
        <f t="shared" si="21"/>
        <v>Whoop</v>
      </c>
      <c r="B54" s="79">
        <f t="shared" si="22"/>
        <v>31.5</v>
      </c>
      <c r="C54" s="79">
        <f>B54*(1+F13)^10*'Consumer Sleeve'!$B$8</f>
        <v>257.87487278858919</v>
      </c>
      <c r="D54" s="80">
        <f t="shared" si="23"/>
        <v>8.1865038980504501</v>
      </c>
      <c r="E54" s="81">
        <f t="shared" si="24"/>
        <v>0.2339849054861034</v>
      </c>
      <c r="F54" s="79">
        <f>B54*(1+G13)^10*'Consumer Sleeve'!$B$8</f>
        <v>787.50851986031034</v>
      </c>
      <c r="G54" s="80">
        <f t="shared" si="25"/>
        <v>25.000270471755883</v>
      </c>
      <c r="H54" s="81">
        <f t="shared" si="26"/>
        <v>0.37973115416556436</v>
      </c>
      <c r="I54" s="79">
        <f>B54*(1+H13)^10*'Consumer Sleeve'!$B$8</f>
        <v>17.421644997892678</v>
      </c>
      <c r="J54" s="80">
        <f t="shared" si="27"/>
        <v>0.55306809517119615</v>
      </c>
      <c r="K54" s="81">
        <f t="shared" si="28"/>
        <v>-5.7507591872818731E-2</v>
      </c>
      <c r="L54" s="82">
        <f>B54*(1+I13)^10*'Consumer Sleeve'!$B$8</f>
        <v>4.1320415295962967</v>
      </c>
      <c r="M54" s="83">
        <f t="shared" si="29"/>
        <v>0.1311759215744856</v>
      </c>
      <c r="N54" s="84">
        <f t="shared" si="30"/>
        <v>-0.18382100739501828</v>
      </c>
    </row>
    <row r="55" spans="1:14" ht="139.5" customHeight="1" x14ac:dyDescent="0.2">
      <c r="A55" s="78" t="str">
        <f t="shared" si="21"/>
        <v>The Farmer's Dog</v>
      </c>
      <c r="B55" s="79">
        <f t="shared" si="22"/>
        <v>24.5</v>
      </c>
      <c r="C55" s="79">
        <f>B55*(1+F14)^10*'Consumer Sleeve'!$B$8</f>
        <v>134.22260225848794</v>
      </c>
      <c r="D55" s="80">
        <f t="shared" si="23"/>
        <v>5.4784735615709366</v>
      </c>
      <c r="E55" s="81">
        <f t="shared" si="24"/>
        <v>0.1854028225929496</v>
      </c>
      <c r="F55" s="79">
        <f>B55*(1+G14)^10*'Consumer Sleeve'!$B$8</f>
        <v>342.98516130445978</v>
      </c>
      <c r="G55" s="80">
        <f t="shared" si="25"/>
        <v>13.999394338957542</v>
      </c>
      <c r="H55" s="81">
        <f t="shared" si="26"/>
        <v>0.30199982153651872</v>
      </c>
      <c r="I55" s="79">
        <f>B55*(1+H14)^10*'Consumer Sleeve'!$B$8</f>
        <v>47.660017704337534</v>
      </c>
      <c r="J55" s="80">
        <f t="shared" si="27"/>
        <v>1.9453068450750013</v>
      </c>
      <c r="K55" s="81">
        <f t="shared" si="28"/>
        <v>6.8805823649380926E-2</v>
      </c>
      <c r="L55" s="82">
        <f>B55*(1+I14)^10*'Consumer Sleeve'!$B$8</f>
        <v>11.001791258505213</v>
      </c>
      <c r="M55" s="83">
        <f t="shared" si="29"/>
        <v>0.4490527044287842</v>
      </c>
      <c r="N55" s="84">
        <f t="shared" si="30"/>
        <v>-7.694042503008014E-2</v>
      </c>
    </row>
    <row r="56" spans="1:14" ht="15" customHeight="1" x14ac:dyDescent="0.2">
      <c r="A56" s="78" t="str">
        <f t="shared" si="21"/>
        <v>Made In Cookware</v>
      </c>
      <c r="B56" s="79">
        <f t="shared" si="22"/>
        <v>17.5</v>
      </c>
      <c r="C56" s="79">
        <f>B56*(1+F15)^10*'Consumer Sleeve'!$B$8</f>
        <v>48.657279747806243</v>
      </c>
      <c r="D56" s="80">
        <f t="shared" si="23"/>
        <v>2.7804159855889283</v>
      </c>
      <c r="E56" s="81">
        <f t="shared" si="24"/>
        <v>0.10767148996390397</v>
      </c>
      <c r="F56" s="79">
        <f>B56*(1+G15)^10*'Consumer Sleeve'!$B$8</f>
        <v>132.37463122891273</v>
      </c>
      <c r="G56" s="80">
        <f t="shared" si="25"/>
        <v>7.564264641652156</v>
      </c>
      <c r="H56" s="81">
        <f t="shared" si="26"/>
        <v>0.22426848890747264</v>
      </c>
      <c r="I56" s="79">
        <f>B56*(1+H15)^10*'Consumer Sleeve'!$B$8</f>
        <v>4.5764045263125013</v>
      </c>
      <c r="J56" s="80">
        <f t="shared" si="27"/>
        <v>0.26150883007500009</v>
      </c>
      <c r="K56" s="81">
        <f t="shared" si="28"/>
        <v>-0.12552250792323383</v>
      </c>
      <c r="L56" s="82">
        <f>B56*(1+I15)^10*'Consumer Sleeve'!$B$8</f>
        <v>2.9045832229054014</v>
      </c>
      <c r="M56" s="83">
        <f t="shared" si="29"/>
        <v>0.16597618416602294</v>
      </c>
      <c r="N56" s="84">
        <f t="shared" si="30"/>
        <v>-0.16438817423775687</v>
      </c>
    </row>
    <row r="57" spans="1:14" ht="15" customHeight="1" x14ac:dyDescent="0.2">
      <c r="A57" s="78" t="str">
        <f t="shared" si="21"/>
        <v>Thrive Market</v>
      </c>
      <c r="B57" s="79">
        <f t="shared" si="22"/>
        <v>14</v>
      </c>
      <c r="C57" s="79">
        <f>B57*(1+F16)^10*'Consumer Sleeve'!$B$8</f>
        <v>20.655089251540439</v>
      </c>
      <c r="D57" s="80">
        <f t="shared" si="23"/>
        <v>1.4753635179671742</v>
      </c>
      <c r="E57" s="81">
        <f t="shared" si="24"/>
        <v>3.9656573913488646E-2</v>
      </c>
      <c r="F57" s="79">
        <f>B57*(1+G16)^10*'Consumer Sleeve'!$B$8</f>
        <v>46.320068325824096</v>
      </c>
      <c r="G57" s="80">
        <f t="shared" si="25"/>
        <v>3.3085763089874356</v>
      </c>
      <c r="H57" s="81">
        <f t="shared" si="26"/>
        <v>0.12710432312116526</v>
      </c>
      <c r="I57" s="79">
        <f>B57*(1+H16)^10*'Consumer Sleeve'!$B$8</f>
        <v>6.2867378620029779</v>
      </c>
      <c r="J57" s="80">
        <f t="shared" si="27"/>
        <v>0.44905270442878414</v>
      </c>
      <c r="K57" s="81">
        <f t="shared" si="28"/>
        <v>-7.694042503008014E-2</v>
      </c>
      <c r="L57" s="82">
        <f>B57*(1+I16)^10*'Consumer Sleeve'!$B$8</f>
        <v>4.5610787693481392</v>
      </c>
      <c r="M57" s="83">
        <f t="shared" si="29"/>
        <v>0.32579134066772425</v>
      </c>
      <c r="N57" s="84">
        <f t="shared" si="30"/>
        <v>-0.10608967476597231</v>
      </c>
    </row>
    <row r="58" spans="1:14" ht="105.75" customHeight="1" x14ac:dyDescent="0.2">
      <c r="A58" s="78" t="str">
        <f t="shared" si="21"/>
        <v>Plunge</v>
      </c>
      <c r="B58" s="79">
        <f t="shared" si="22"/>
        <v>7</v>
      </c>
      <c r="C58" s="79">
        <f>B58*(1+F17)^10*'Consumer Sleeve'!$B$8</f>
        <v>32.506616217599998</v>
      </c>
      <c r="D58" s="80">
        <f t="shared" si="23"/>
        <v>4.6438023167999996</v>
      </c>
      <c r="E58" s="81">
        <f t="shared" si="24"/>
        <v>0.1659699894356883</v>
      </c>
      <c r="F58" s="79">
        <f>B58*(1+G17)^10*'Consumer Sleeve'!$B$8</f>
        <v>302.741455078125</v>
      </c>
      <c r="G58" s="80">
        <f t="shared" si="25"/>
        <v>43.248779296875</v>
      </c>
      <c r="H58" s="81">
        <f t="shared" si="26"/>
        <v>0.45746248679461043</v>
      </c>
      <c r="I58" s="79">
        <f>B58*(1+H17)^10*'Consumer Sleeve'!$B$8</f>
        <v>0.43762823113990068</v>
      </c>
      <c r="J58" s="80">
        <f t="shared" si="27"/>
        <v>6.2518318734271522E-2</v>
      </c>
      <c r="K58" s="81">
        <f t="shared" si="28"/>
        <v>-0.24211950686680261</v>
      </c>
      <c r="L58" s="82">
        <f>B58*(1+I17)^10*'Consumer Sleeve'!$B$8</f>
        <v>0.19655507773778552</v>
      </c>
      <c r="M58" s="83">
        <f t="shared" si="29"/>
        <v>2.8079296819683647E-2</v>
      </c>
      <c r="N58" s="84">
        <f t="shared" si="30"/>
        <v>-0.30041800633858706</v>
      </c>
    </row>
    <row r="59" spans="1:14" x14ac:dyDescent="0.2">
      <c r="A59" s="78" t="str">
        <f t="shared" si="21"/>
        <v>Polymarket</v>
      </c>
      <c r="B59" s="79">
        <f t="shared" si="22"/>
        <v>10.5</v>
      </c>
      <c r="C59" s="79">
        <f>B59*(1+F18)^10*'Consumer Sleeve'!$B$8</f>
        <v>73.341652750968933</v>
      </c>
      <c r="D59" s="80">
        <f t="shared" si="23"/>
        <v>6.9849193096160889</v>
      </c>
      <c r="E59" s="81">
        <f t="shared" si="24"/>
        <v>0.21455207232884188</v>
      </c>
      <c r="F59" s="79">
        <f>B59*(1+G18)^10*'Consumer Sleeve'!$B$8</f>
        <v>227.78804079359983</v>
      </c>
      <c r="G59" s="80">
        <f t="shared" si="25"/>
        <v>21.694099123199983</v>
      </c>
      <c r="H59" s="81">
        <f t="shared" si="26"/>
        <v>0.36029832100830284</v>
      </c>
      <c r="I59" s="79">
        <f>B59*(1+H18)^10*'Consumer Sleeve'!$B$8</f>
        <v>4.7150533965022339</v>
      </c>
      <c r="J59" s="80">
        <f t="shared" si="27"/>
        <v>0.4490527044287842</v>
      </c>
      <c r="K59" s="81">
        <f t="shared" si="28"/>
        <v>-7.694042503008014E-2</v>
      </c>
      <c r="L59" s="82">
        <f>B59*(1+I18)^10*'Consumer Sleeve'!$B$8</f>
        <v>2.1931951860740413</v>
      </c>
      <c r="M59" s="83">
        <f t="shared" si="29"/>
        <v>0.20887573200705156</v>
      </c>
      <c r="N59" s="84">
        <f t="shared" si="30"/>
        <v>-0.14495534108049535</v>
      </c>
    </row>
    <row r="60" spans="1:14" x14ac:dyDescent="0.2">
      <c r="A60" s="78" t="str">
        <f t="shared" si="21"/>
        <v>Goat Group</v>
      </c>
      <c r="B60" s="79">
        <f t="shared" si="22"/>
        <v>15</v>
      </c>
      <c r="C60" s="79">
        <f>B60*(1+F19)^10*'Consumer Sleeve'!$B$8</f>
        <v>45.512524526713946</v>
      </c>
      <c r="D60" s="80">
        <f t="shared" si="23"/>
        <v>3.0341683017809298</v>
      </c>
      <c r="E60" s="81">
        <f t="shared" si="24"/>
        <v>0.1173879065425345</v>
      </c>
      <c r="F60" s="79">
        <f>B60*(1+G19)^10*'Consumer Sleeve'!$B$8</f>
        <v>132.8165573307088</v>
      </c>
      <c r="G60" s="80">
        <f t="shared" si="25"/>
        <v>8.8544371553805874</v>
      </c>
      <c r="H60" s="81">
        <f t="shared" si="26"/>
        <v>0.24370132206473416</v>
      </c>
      <c r="I60" s="79">
        <f>B60*(1+H19)^10*'Consumer Sleeve'!$B$8</f>
        <v>3.1331359801057737</v>
      </c>
      <c r="J60" s="80">
        <f t="shared" si="27"/>
        <v>0.20887573200705159</v>
      </c>
      <c r="K60" s="81">
        <f t="shared" si="28"/>
        <v>-0.14495534108049535</v>
      </c>
      <c r="L60" s="82">
        <f>B60*(1+I19)^10*'Consumer Sleeve'!$B$8</f>
        <v>1.9676388236172841</v>
      </c>
      <c r="M60" s="83">
        <f t="shared" si="29"/>
        <v>0.1311759215744856</v>
      </c>
      <c r="N60" s="84">
        <f t="shared" si="30"/>
        <v>-0.18382100739501828</v>
      </c>
    </row>
    <row r="61" spans="1:14" x14ac:dyDescent="0.2">
      <c r="A61" s="78" t="str">
        <f t="shared" si="21"/>
        <v>Stripe</v>
      </c>
      <c r="B61" s="79">
        <f t="shared" si="22"/>
        <v>45</v>
      </c>
      <c r="C61" s="79">
        <f>B61*(1+F20)^10*'Consumer Sleeve'!$B$8</f>
        <v>176.64194994070158</v>
      </c>
      <c r="D61" s="80">
        <f t="shared" si="23"/>
        <v>3.9253766653489239</v>
      </c>
      <c r="E61" s="81">
        <f t="shared" si="24"/>
        <v>0.14653715627842656</v>
      </c>
      <c r="F61" s="79">
        <f>B61*(1+G20)^10*'Consumer Sleeve'!$B$8</f>
        <v>678.59626056586023</v>
      </c>
      <c r="G61" s="80">
        <f t="shared" si="25"/>
        <v>15.079916901463561</v>
      </c>
      <c r="H61" s="81">
        <f t="shared" si="26"/>
        <v>0.31171623811514926</v>
      </c>
      <c r="I61" s="79">
        <f>B61*(1+H20)^10*'Consumer Sleeve'!$B$8</f>
        <v>20.207371699295287</v>
      </c>
      <c r="J61" s="80">
        <f t="shared" si="27"/>
        <v>0.44905270442878414</v>
      </c>
      <c r="K61" s="81">
        <f t="shared" si="28"/>
        <v>-7.694042503008014E-2</v>
      </c>
      <c r="L61" s="82">
        <f>B61*(1+I20)^10*'Consumer Sleeve'!$B$8</f>
        <v>14.660610330047589</v>
      </c>
      <c r="M61" s="83">
        <f t="shared" si="29"/>
        <v>0.32579134066772419</v>
      </c>
      <c r="N61" s="84">
        <f t="shared" si="30"/>
        <v>-0.10608967476597231</v>
      </c>
    </row>
    <row r="62" spans="1:14" x14ac:dyDescent="0.2">
      <c r="A62" s="53" t="s">
        <v>356</v>
      </c>
      <c r="B62" s="63">
        <f>SUM(B53:B61)</f>
        <v>200</v>
      </c>
      <c r="C62" s="63">
        <f>SUM(C53:C61)</f>
        <v>1099.3178879207289</v>
      </c>
      <c r="D62" s="64">
        <f t="shared" si="23"/>
        <v>5.4965894396036443</v>
      </c>
      <c r="E62" s="65">
        <f t="shared" si="24"/>
        <v>0.18579422221474395</v>
      </c>
      <c r="F62" s="63">
        <f>SUM(F53:F61)</f>
        <v>3729.6038267270856</v>
      </c>
      <c r="G62" s="64">
        <f t="shared" si="25"/>
        <v>18.64801913363543</v>
      </c>
      <c r="H62" s="65">
        <f t="shared" si="26"/>
        <v>0.33987187373758232</v>
      </c>
      <c r="I62" s="63">
        <f>SUM(I53:I61)</f>
        <v>136.43659792245126</v>
      </c>
      <c r="J62" s="64">
        <f t="shared" si="27"/>
        <v>0.68218298961225632</v>
      </c>
      <c r="K62" s="65">
        <f t="shared" si="28"/>
        <v>-3.7523601722883715E-2</v>
      </c>
      <c r="L62" s="66">
        <f>SUM(L53:L61)</f>
        <v>45.225505020400718</v>
      </c>
      <c r="M62" s="67">
        <f t="shared" si="29"/>
        <v>0.2261275251020036</v>
      </c>
      <c r="N62" s="68">
        <f t="shared" si="30"/>
        <v>-0.13814274273310445</v>
      </c>
    </row>
    <row r="63" spans="1:14" ht="6" customHeight="1" x14ac:dyDescent="0.2">
      <c r="A63" s="106"/>
      <c r="B63" s="98"/>
      <c r="C63" s="98"/>
      <c r="D63" s="98"/>
      <c r="E63" s="98"/>
      <c r="F63" s="98"/>
      <c r="G63" s="98"/>
      <c r="H63" s="98"/>
      <c r="I63" s="98"/>
      <c r="J63" s="98"/>
      <c r="K63" s="1"/>
      <c r="L63" s="1"/>
      <c r="M63" s="1"/>
      <c r="N63" s="1"/>
    </row>
    <row r="64" spans="1:14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x14ac:dyDescent="0.2">
      <c r="A65" s="11" t="s">
        <v>426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60" customHeight="1" x14ac:dyDescent="0.2">
      <c r="A66" s="97" t="s">
        <v>427</v>
      </c>
      <c r="B66" s="98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</row>
  </sheetData>
  <mergeCells count="2">
    <mergeCell ref="A66:N66"/>
    <mergeCell ref="A63:J63"/>
  </mergeCells>
  <printOptions horizontalCentered="1"/>
  <pageMargins left="0.4" right="0.4" top="1" bottom="1" header="0.511811023622047" footer="0.511811023622047"/>
  <pageSetup paperSize="9" fitToHeight="0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2E4374"/>
    <pageSetUpPr fitToPage="1"/>
  </sheetPr>
  <dimension ref="A1:F69"/>
  <sheetViews>
    <sheetView showGridLines="0" zoomScaleNormal="100" workbookViewId="0"/>
  </sheetViews>
  <sheetFormatPr baseColWidth="10" defaultColWidth="8.6640625" defaultRowHeight="15" x14ac:dyDescent="0.2"/>
  <cols>
    <col min="1" max="1" width="34" customWidth="1"/>
    <col min="2" max="4" width="13" customWidth="1"/>
    <col min="5" max="5" width="16" customWidth="1"/>
    <col min="6" max="6" width="14" customWidth="1"/>
  </cols>
  <sheetData>
    <row r="1" spans="1:6" ht="18" customHeight="1" x14ac:dyDescent="0.2">
      <c r="A1" s="9" t="s">
        <v>428</v>
      </c>
      <c r="B1" s="1"/>
      <c r="C1" s="1"/>
      <c r="D1" s="1"/>
      <c r="E1" s="1"/>
      <c r="F1" s="1"/>
    </row>
    <row r="2" spans="1:6" ht="15" customHeight="1" x14ac:dyDescent="0.2">
      <c r="A2" s="10" t="s">
        <v>429</v>
      </c>
      <c r="B2" s="1"/>
      <c r="C2" s="1"/>
      <c r="D2" s="1"/>
      <c r="E2" s="1"/>
      <c r="F2" s="1"/>
    </row>
    <row r="3" spans="1:6" ht="15" customHeight="1" x14ac:dyDescent="0.2">
      <c r="A3" s="1"/>
      <c r="B3" s="1"/>
      <c r="C3" s="1"/>
      <c r="D3" s="1"/>
      <c r="E3" s="1"/>
      <c r="F3" s="1"/>
    </row>
    <row r="4" spans="1:6" ht="15" customHeight="1" x14ac:dyDescent="0.2">
      <c r="A4" s="11" t="s">
        <v>430</v>
      </c>
      <c r="B4" s="1"/>
      <c r="C4" s="1"/>
      <c r="D4" s="1"/>
      <c r="E4" s="1"/>
      <c r="F4" s="1"/>
    </row>
    <row r="5" spans="1:6" ht="15" customHeight="1" x14ac:dyDescent="0.2">
      <c r="A5" s="25" t="s">
        <v>58</v>
      </c>
      <c r="B5" s="27">
        <v>0.09</v>
      </c>
      <c r="C5" s="1"/>
      <c r="D5" s="1"/>
      <c r="E5" s="1"/>
      <c r="F5" s="1"/>
    </row>
    <row r="6" spans="1:6" ht="15" customHeight="1" x14ac:dyDescent="0.2">
      <c r="A6" s="25" t="s">
        <v>59</v>
      </c>
      <c r="B6" s="27">
        <v>0.13</v>
      </c>
      <c r="C6" s="1"/>
      <c r="D6" s="1"/>
      <c r="E6" s="1"/>
      <c r="F6" s="1"/>
    </row>
    <row r="7" spans="1:6" ht="15" customHeight="1" x14ac:dyDescent="0.2">
      <c r="A7" s="10" t="s">
        <v>431</v>
      </c>
      <c r="B7" s="1"/>
      <c r="C7" s="1"/>
      <c r="D7" s="1"/>
      <c r="E7" s="1"/>
      <c r="F7" s="1"/>
    </row>
    <row r="8" spans="1:6" ht="15" customHeight="1" x14ac:dyDescent="0.2">
      <c r="A8" s="1"/>
      <c r="B8" s="1"/>
      <c r="C8" s="1"/>
      <c r="D8" s="1"/>
      <c r="E8" s="1"/>
      <c r="F8" s="1"/>
    </row>
    <row r="9" spans="1:6" ht="36.75" customHeight="1" x14ac:dyDescent="0.2">
      <c r="A9" s="97" t="s">
        <v>432</v>
      </c>
      <c r="B9" s="98"/>
      <c r="C9" s="98"/>
      <c r="D9" s="98"/>
      <c r="E9" s="98"/>
      <c r="F9" s="98"/>
    </row>
    <row r="10" spans="1:6" ht="15" customHeight="1" x14ac:dyDescent="0.2">
      <c r="A10" s="1"/>
      <c r="B10" s="1"/>
      <c r="C10" s="1"/>
      <c r="D10" s="1"/>
      <c r="E10" s="1"/>
      <c r="F10" s="1"/>
    </row>
    <row r="11" spans="1:6" ht="15" customHeight="1" x14ac:dyDescent="0.2">
      <c r="A11" s="28" t="s">
        <v>433</v>
      </c>
      <c r="B11" s="1"/>
      <c r="C11" s="1"/>
      <c r="D11" s="1"/>
      <c r="E11" s="1"/>
      <c r="F11" s="1"/>
    </row>
    <row r="12" spans="1:6" ht="15" customHeight="1" x14ac:dyDescent="0.2">
      <c r="A12" s="12" t="s">
        <v>93</v>
      </c>
      <c r="B12" s="12" t="s">
        <v>50</v>
      </c>
      <c r="C12" s="12" t="s">
        <v>51</v>
      </c>
      <c r="D12" s="12" t="s">
        <v>52</v>
      </c>
      <c r="E12" s="21" t="s">
        <v>53</v>
      </c>
      <c r="F12" s="29" t="s">
        <v>64</v>
      </c>
    </row>
    <row r="13" spans="1:6" ht="15" customHeight="1" x14ac:dyDescent="0.2">
      <c r="A13" s="13" t="s">
        <v>75</v>
      </c>
      <c r="B13" s="36">
        <f>'Fund Economics'!B14</f>
        <v>2.0045241105768166</v>
      </c>
      <c r="C13" s="36">
        <f>'Fund Economics'!C14</f>
        <v>3.0878221475160164</v>
      </c>
      <c r="D13" s="36">
        <f>'Fund Economics'!D14</f>
        <v>0.40517410275635002</v>
      </c>
      <c r="E13" s="37">
        <f>'Fund Economics'!E14</f>
        <v>3.1231658193606862</v>
      </c>
      <c r="F13" s="38">
        <f>'Fund Economics'!F14</f>
        <v>2.0691099727181435</v>
      </c>
    </row>
    <row r="14" spans="1:6" ht="15" customHeight="1" x14ac:dyDescent="0.2">
      <c r="A14" s="13" t="s">
        <v>434</v>
      </c>
      <c r="B14" s="36">
        <f>'Fund Economics'!B12/Assumptions!$B$5</f>
        <v>2.0045241105768166</v>
      </c>
      <c r="C14" s="36">
        <f>'Fund Economics'!C12/Assumptions!$B$5</f>
        <v>3.0878221475160164</v>
      </c>
      <c r="D14" s="36">
        <f>'Fund Economics'!D12/Assumptions!$B$5</f>
        <v>0.40517410275635002</v>
      </c>
      <c r="E14" s="37">
        <f>'Fund Economics'!E12/Assumptions!$B$5</f>
        <v>3.1231658193606862</v>
      </c>
      <c r="F14" s="38">
        <f>'Fund Economics'!F12/Assumptions!$B$5</f>
        <v>2.0691099727181435</v>
      </c>
    </row>
    <row r="15" spans="1:6" ht="15" customHeight="1" x14ac:dyDescent="0.2">
      <c r="A15" s="13" t="s">
        <v>435</v>
      </c>
      <c r="B15" s="36">
        <f>'Fund Economics'!B6/Assumptions!$B$5</f>
        <v>2.2633231190210203</v>
      </c>
      <c r="C15" s="36">
        <f>'Fund Economics'!C6/Assumptions!$B$5</f>
        <v>3.61744566519502</v>
      </c>
      <c r="D15" s="36">
        <f>'Fund Economics'!D6/Assumptions!$B$5</f>
        <v>0.50517410275635</v>
      </c>
      <c r="E15" s="37">
        <f>'Fund Economics'!E6/Assumptions!$B$5</f>
        <v>3.6616252550008577</v>
      </c>
      <c r="F15" s="38">
        <f>'Fund Economics'!F6/Assumptions!$B$5</f>
        <v>2.3922631453998622</v>
      </c>
    </row>
    <row r="16" spans="1:6" ht="15" customHeight="1" x14ac:dyDescent="0.2">
      <c r="A16" s="13" t="s">
        <v>77</v>
      </c>
      <c r="B16" s="15">
        <f>'Fund Economics'!B16</f>
        <v>0.14921756925053842</v>
      </c>
      <c r="C16" s="15">
        <f>'Fund Economics'!C16</f>
        <v>0.2529405230598698</v>
      </c>
      <c r="D16" s="15">
        <f>'Fund Economics'!D16</f>
        <v>-0.1653039932407776</v>
      </c>
      <c r="E16" s="39">
        <f>'Fund Economics'!E16</f>
        <v>0.25579574901845725</v>
      </c>
      <c r="F16" s="40">
        <f>'Fund Economics'!F16</f>
        <v>0.15652949956835926</v>
      </c>
    </row>
    <row r="17" spans="1:6" ht="15" customHeight="1" x14ac:dyDescent="0.2">
      <c r="A17" s="13" t="s">
        <v>436</v>
      </c>
      <c r="B17" s="36">
        <f>(1+'PME, DPI &amp; Sensitivity'!$B$5)^5</f>
        <v>1.5386239549000005</v>
      </c>
      <c r="C17" s="36">
        <f>(1+'PME, DPI &amp; Sensitivity'!$B$5)^5</f>
        <v>1.5386239549000005</v>
      </c>
      <c r="D17" s="36">
        <f>(1+'PME, DPI &amp; Sensitivity'!$B$5)^5</f>
        <v>1.5386239549000005</v>
      </c>
      <c r="E17" s="37">
        <f>(1+'PME, DPI &amp; Sensitivity'!$B$5)^5</f>
        <v>1.5386239549000005</v>
      </c>
      <c r="F17" s="38">
        <f>(1+'PME, DPI &amp; Sensitivity'!$B$5)^5</f>
        <v>1.5386239549000005</v>
      </c>
    </row>
    <row r="18" spans="1:6" ht="15" customHeight="1" x14ac:dyDescent="0.2">
      <c r="A18" s="33" t="s">
        <v>437</v>
      </c>
      <c r="B18" s="35">
        <f>'Fund Economics'!B14/(1+'PME, DPI &amp; Sensitivity'!$B$5)^5</f>
        <v>1.3028031340556478</v>
      </c>
      <c r="C18" s="35">
        <f>'Fund Economics'!C14/(1+'PME, DPI &amp; Sensitivity'!$B$5)^5</f>
        <v>2.006872528977818</v>
      </c>
      <c r="D18" s="35">
        <f>'Fund Economics'!D14/(1+'PME, DPI &amp; Sensitivity'!$B$5)^5</f>
        <v>0.2633353662966228</v>
      </c>
      <c r="E18" s="35">
        <f>'Fund Economics'!E14/(1+'PME, DPI &amp; Sensitivity'!$B$5)^5</f>
        <v>2.029843490616698</v>
      </c>
      <c r="F18" s="35">
        <f>'Fund Economics'!F14/(1+'PME, DPI &amp; Sensitivity'!$B$5)^5</f>
        <v>1.3447795129724343</v>
      </c>
    </row>
    <row r="19" spans="1:6" ht="15" customHeight="1" x14ac:dyDescent="0.2">
      <c r="A19" s="13" t="s">
        <v>438</v>
      </c>
      <c r="B19" s="15">
        <f>('Fund Economics'!B14/(1+'PME, DPI &amp; Sensitivity'!$B$5)^5)^(1/5)-1</f>
        <v>5.4328045183980045E-2</v>
      </c>
      <c r="C19" s="15">
        <f>('Fund Economics'!C14/(1+'PME, DPI &amp; Sensitivity'!$B$5)^5)^(1/5)-1</f>
        <v>0.14948671840354999</v>
      </c>
      <c r="D19" s="15">
        <f>('Fund Economics'!D14/(1+'PME, DPI &amp; Sensitivity'!$B$5)^5)^(1/5)-1</f>
        <v>-0.23422384700988774</v>
      </c>
      <c r="E19" s="39">
        <f>('Fund Economics'!E14/(1+'PME, DPI &amp; Sensitivity'!$B$5)^5)^(1/5)-1</f>
        <v>0.15210619176005236</v>
      </c>
      <c r="F19" s="40">
        <f>('Fund Economics'!F14/(1+'PME, DPI &amp; Sensitivity'!$B$5)^5)^(1/5)-1</f>
        <v>6.1036238136109366E-2</v>
      </c>
    </row>
    <row r="20" spans="1:6" ht="15" customHeight="1" x14ac:dyDescent="0.2">
      <c r="A20" s="13" t="s">
        <v>439</v>
      </c>
      <c r="B20" s="36">
        <f>(1+'PME, DPI &amp; Sensitivity'!$B$6)^5</f>
        <v>1.8424351792999989</v>
      </c>
      <c r="C20" s="36">
        <f>(1+'PME, DPI &amp; Sensitivity'!$B$6)^5</f>
        <v>1.8424351792999989</v>
      </c>
      <c r="D20" s="36">
        <f>(1+'PME, DPI &amp; Sensitivity'!$B$6)^5</f>
        <v>1.8424351792999989</v>
      </c>
      <c r="E20" s="37">
        <f>(1+'PME, DPI &amp; Sensitivity'!$B$6)^5</f>
        <v>1.8424351792999989</v>
      </c>
      <c r="F20" s="38">
        <f>(1+'PME, DPI &amp; Sensitivity'!$B$6)^5</f>
        <v>1.8424351792999989</v>
      </c>
    </row>
    <row r="21" spans="1:6" ht="15" customHeight="1" x14ac:dyDescent="0.2">
      <c r="A21" s="33" t="s">
        <v>440</v>
      </c>
      <c r="B21" s="35">
        <f>'Fund Economics'!B14/(1+'PME, DPI &amp; Sensitivity'!$B$6)^5</f>
        <v>1.0879753779660246</v>
      </c>
      <c r="C21" s="35">
        <f>'Fund Economics'!C14/(1+'PME, DPI &amp; Sensitivity'!$B$6)^5</f>
        <v>1.675946151163473</v>
      </c>
      <c r="D21" s="35">
        <f>'Fund Economics'!D14/(1+'PME, DPI &amp; Sensitivity'!$B$6)^5</f>
        <v>0.21991227008067055</v>
      </c>
      <c r="E21" s="35">
        <f>'Fund Economics'!E14/(1+'PME, DPI &amp; Sensitivity'!$B$6)^5</f>
        <v>1.6951292802318714</v>
      </c>
      <c r="F21" s="35">
        <f>'Fund Economics'!F14/(1+'PME, DPI &amp; Sensitivity'!$B$6)^5</f>
        <v>1.1230299963683203</v>
      </c>
    </row>
    <row r="22" spans="1:6" ht="15" customHeight="1" x14ac:dyDescent="0.2">
      <c r="A22" s="13" t="s">
        <v>441</v>
      </c>
      <c r="B22" s="15">
        <f>('Fund Economics'!B14/(1+'PME, DPI &amp; Sensitivity'!$B$6)^5)^(1/5)-1</f>
        <v>1.7006698451804025E-2</v>
      </c>
      <c r="C22" s="15">
        <f>('Fund Economics'!C14/(1+'PME, DPI &amp; Sensitivity'!$B$6)^5)^(1/5)-1</f>
        <v>0.10879692306183175</v>
      </c>
      <c r="D22" s="15">
        <f>('Fund Economics'!D14/(1+'PME, DPI &amp; Sensitivity'!$B$6)^5)^(1/5)-1</f>
        <v>-0.26133096746971451</v>
      </c>
      <c r="E22" s="39">
        <f>('Fund Economics'!E14/(1+'PME, DPI &amp; Sensitivity'!$B$6)^5)^(1/5)-1</f>
        <v>0.11132367169774993</v>
      </c>
      <c r="F22" s="40">
        <f>('Fund Economics'!F14/(1+'PME, DPI &amp; Sensitivity'!$B$6)^5)^(1/5)-1</f>
        <v>2.3477433246335666E-2</v>
      </c>
    </row>
    <row r="23" spans="1:6" ht="15" customHeight="1" x14ac:dyDescent="0.2">
      <c r="A23" s="23" t="s">
        <v>442</v>
      </c>
      <c r="B23" s="36">
        <f>('Fund Economics'!B6/Assumptions!$B$5)/(1+'PME, DPI &amp; Sensitivity'!$B$5)^5</f>
        <v>1.4710047323864266</v>
      </c>
      <c r="C23" s="36">
        <f>('Fund Economics'!C6/Assumptions!$B$5)/(1+'PME, DPI &amp; Sensitivity'!$B$5)^5</f>
        <v>2.351091476039139</v>
      </c>
      <c r="D23" s="36">
        <f>('Fund Economics'!D6/Assumptions!$B$5)/(1+'PME, DPI &amp; Sensitivity'!$B$5)^5</f>
        <v>0.32832850492645727</v>
      </c>
      <c r="E23" s="37">
        <f>('Fund Economics'!E6/Assumptions!$B$5)/(1+'PME, DPI &amp; Sensitivity'!$B$5)^5</f>
        <v>2.3798051780877394</v>
      </c>
      <c r="F23" s="38">
        <f>('Fund Economics'!F6/Assumptions!$B$5)/(1+'PME, DPI &amp; Sensitivity'!$B$5)^5</f>
        <v>1.5548069024801723</v>
      </c>
    </row>
    <row r="24" spans="1:6" ht="15" customHeight="1" x14ac:dyDescent="0.2">
      <c r="A24" s="23" t="s">
        <v>443</v>
      </c>
      <c r="B24" s="36">
        <f>('Fund Economics'!B6/Assumptions!$B$5)/(1+'PME, DPI &amp; Sensitivity'!$B$6)^5</f>
        <v>1.2284411112259215</v>
      </c>
      <c r="C24" s="36">
        <f>('Fund Economics'!C6/Assumptions!$B$5)/(1+'PME, DPI &amp; Sensitivity'!$B$6)^5</f>
        <v>1.9634045777227318</v>
      </c>
      <c r="D24" s="36">
        <f>('Fund Economics'!D6/Assumptions!$B$5)/(1+'PME, DPI &amp; Sensitivity'!$B$6)^5</f>
        <v>0.27418826368061539</v>
      </c>
      <c r="E24" s="37">
        <f>('Fund Economics'!E6/Assumptions!$B$5)/(1+'PME, DPI &amp; Sensitivity'!$B$6)^5</f>
        <v>1.9873834890582303</v>
      </c>
      <c r="F24" s="38">
        <f>('Fund Economics'!F6/Assumptions!$B$5)/(1+'PME, DPI &amp; Sensitivity'!$B$6)^5</f>
        <v>1.2984245916910688</v>
      </c>
    </row>
    <row r="25" spans="1:6" ht="15" customHeight="1" x14ac:dyDescent="0.2">
      <c r="A25" s="1"/>
      <c r="B25" s="1"/>
      <c r="C25" s="1"/>
      <c r="D25" s="1"/>
      <c r="E25" s="1"/>
      <c r="F25" s="1"/>
    </row>
    <row r="26" spans="1:6" ht="15" customHeight="1" x14ac:dyDescent="0.2">
      <c r="A26" s="1"/>
      <c r="B26" s="1"/>
      <c r="C26" s="1"/>
      <c r="D26" s="1"/>
      <c r="E26" s="1"/>
      <c r="F26" s="1"/>
    </row>
    <row r="27" spans="1:6" ht="15" customHeight="1" x14ac:dyDescent="0.2">
      <c r="A27" s="28" t="s">
        <v>444</v>
      </c>
      <c r="B27" s="1"/>
      <c r="C27" s="1"/>
      <c r="D27" s="1"/>
      <c r="E27" s="1"/>
      <c r="F27" s="1"/>
    </row>
    <row r="28" spans="1:6" ht="15" customHeight="1" x14ac:dyDescent="0.2">
      <c r="A28" s="12" t="s">
        <v>93</v>
      </c>
      <c r="B28" s="12" t="s">
        <v>50</v>
      </c>
      <c r="C28" s="12" t="s">
        <v>51</v>
      </c>
      <c r="D28" s="12" t="s">
        <v>52</v>
      </c>
      <c r="E28" s="21" t="s">
        <v>53</v>
      </c>
      <c r="F28" s="29" t="s">
        <v>64</v>
      </c>
    </row>
    <row r="29" spans="1:6" ht="15" customHeight="1" x14ac:dyDescent="0.2">
      <c r="A29" s="13" t="s">
        <v>75</v>
      </c>
      <c r="B29" s="36">
        <f>'Fund Economics'!B30</f>
        <v>2.6927833224803281</v>
      </c>
      <c r="C29" s="36">
        <f>'Fund Economics'!C30</f>
        <v>4.9931818028609003</v>
      </c>
      <c r="D29" s="36">
        <f>'Fund Economics'!D30</f>
        <v>0.26013475277443154</v>
      </c>
      <c r="E29" s="37">
        <f>'Fund Economics'!E30</f>
        <v>5.1385969316305182</v>
      </c>
      <c r="F29" s="38">
        <f>'Fund Economics'!F30</f>
        <v>3.0332053459877915</v>
      </c>
    </row>
    <row r="30" spans="1:6" ht="15" customHeight="1" x14ac:dyDescent="0.2">
      <c r="A30" s="13" t="s">
        <v>434</v>
      </c>
      <c r="B30" s="36">
        <f>'Fund Economics'!B28/Assumptions!$B$5</f>
        <v>2.6927833224803281</v>
      </c>
      <c r="C30" s="36">
        <f>'Fund Economics'!C28/Assumptions!$B$5</f>
        <v>4.9931818028609003</v>
      </c>
      <c r="D30" s="36">
        <f>'Fund Economics'!D28/Assumptions!$B$5</f>
        <v>0.26013475277443154</v>
      </c>
      <c r="E30" s="37">
        <f>'Fund Economics'!E28/Assumptions!$B$5</f>
        <v>5.1385969316305182</v>
      </c>
      <c r="F30" s="38">
        <f>'Fund Economics'!F28/Assumptions!$B$5</f>
        <v>3.0332053459877915</v>
      </c>
    </row>
    <row r="31" spans="1:6" ht="15" customHeight="1" x14ac:dyDescent="0.2">
      <c r="A31" s="13" t="s">
        <v>435</v>
      </c>
      <c r="B31" s="36">
        <f>'Fund Economics'!B22/Assumptions!$B$5</f>
        <v>3.1125230859055297</v>
      </c>
      <c r="C31" s="36">
        <f>'Fund Economics'!C22/Assumptions!$B$5</f>
        <v>5.9880211863812454</v>
      </c>
      <c r="D31" s="36">
        <f>'Fund Economics'!D22/Assumptions!$B$5</f>
        <v>0.40013475277443156</v>
      </c>
      <c r="E31" s="37">
        <f>'Fund Economics'!E22/Assumptions!$B$5</f>
        <v>6.1697900973432676</v>
      </c>
      <c r="F31" s="38">
        <f>'Fund Economics'!F22/Assumptions!$B$5</f>
        <v>3.603735091090114</v>
      </c>
    </row>
    <row r="32" spans="1:6" ht="15" customHeight="1" x14ac:dyDescent="0.2">
      <c r="A32" s="13" t="s">
        <v>77</v>
      </c>
      <c r="B32" s="15">
        <f>'Fund Economics'!B32</f>
        <v>0.15201290496463771</v>
      </c>
      <c r="C32" s="15">
        <f>'Fund Economics'!C32</f>
        <v>0.25825364455940703</v>
      </c>
      <c r="D32" s="15">
        <f>'Fund Economics'!D32</f>
        <v>-0.17499437274931617</v>
      </c>
      <c r="E32" s="39">
        <f>'Fund Economics'!E32</f>
        <v>0.26342428915744498</v>
      </c>
      <c r="F32" s="40">
        <f>'Fund Economics'!F32</f>
        <v>0.17177199991143088</v>
      </c>
    </row>
    <row r="33" spans="1:6" ht="15" customHeight="1" x14ac:dyDescent="0.2">
      <c r="A33" s="13" t="s">
        <v>436</v>
      </c>
      <c r="B33" s="36">
        <f>(1+'PME, DPI &amp; Sensitivity'!$B$5)^7</f>
        <v>1.8280391208166906</v>
      </c>
      <c r="C33" s="36">
        <f>(1+'PME, DPI &amp; Sensitivity'!$B$5)^7</f>
        <v>1.8280391208166906</v>
      </c>
      <c r="D33" s="36">
        <f>(1+'PME, DPI &amp; Sensitivity'!$B$5)^7</f>
        <v>1.8280391208166906</v>
      </c>
      <c r="E33" s="37">
        <f>(1+'PME, DPI &amp; Sensitivity'!$B$5)^7</f>
        <v>1.8280391208166906</v>
      </c>
      <c r="F33" s="38">
        <f>(1+'PME, DPI &amp; Sensitivity'!$B$5)^7</f>
        <v>1.8280391208166906</v>
      </c>
    </row>
    <row r="34" spans="1:6" ht="15" customHeight="1" x14ac:dyDescent="0.2">
      <c r="A34" s="33" t="s">
        <v>437</v>
      </c>
      <c r="B34" s="35">
        <f>'Fund Economics'!B30/(1+'PME, DPI &amp; Sensitivity'!$B$5)^7</f>
        <v>1.4730446913397053</v>
      </c>
      <c r="C34" s="35">
        <f>'Fund Economics'!C30/(1+'PME, DPI &amp; Sensitivity'!$B$5)^7</f>
        <v>2.7314414368934061</v>
      </c>
      <c r="D34" s="35">
        <f>'Fund Economics'!D30/(1+'PME, DPI &amp; Sensitivity'!$B$5)^7</f>
        <v>0.14230261804146419</v>
      </c>
      <c r="E34" s="35">
        <f>'Fund Economics'!E30/(1+'PME, DPI &amp; Sensitivity'!$B$5)^7</f>
        <v>2.8109884920486876</v>
      </c>
      <c r="F34" s="35">
        <f>'Fund Economics'!F30/(1+'PME, DPI &amp; Sensitivity'!$B$5)^7</f>
        <v>1.6592671958971443</v>
      </c>
    </row>
    <row r="35" spans="1:6" ht="15" customHeight="1" x14ac:dyDescent="0.2">
      <c r="A35" s="13" t="s">
        <v>438</v>
      </c>
      <c r="B35" s="15">
        <f>('Fund Economics'!B30/(1+'PME, DPI &amp; Sensitivity'!$B$5)^7)^(1/7)-1</f>
        <v>5.689257336205289E-2</v>
      </c>
      <c r="C35" s="15">
        <f>('Fund Economics'!C30/(1+'PME, DPI &amp; Sensitivity'!$B$5)^7)^(1/7)-1</f>
        <v>0.15436114179762117</v>
      </c>
      <c r="D35" s="15">
        <f>('Fund Economics'!D30/(1+'PME, DPI &amp; Sensitivity'!$B$5)^7)^(1/7)-1</f>
        <v>-0.2431141034397396</v>
      </c>
      <c r="E35" s="39">
        <f>('Fund Economics'!E30/(1+'PME, DPI &amp; Sensitivity'!$B$5)^7)^(1/7)-1</f>
        <v>0.15910485243802297</v>
      </c>
      <c r="F35" s="40">
        <f>('Fund Economics'!F30/(1+'PME, DPI &amp; Sensitivity'!$B$5)^7)^(1/7)-1</f>
        <v>7.5020183404982399E-2</v>
      </c>
    </row>
    <row r="36" spans="1:6" ht="15" customHeight="1" x14ac:dyDescent="0.2">
      <c r="A36" s="13" t="s">
        <v>439</v>
      </c>
      <c r="B36" s="36">
        <f>(1+'PME, DPI &amp; Sensitivity'!$B$6)^7</f>
        <v>2.352605480448168</v>
      </c>
      <c r="C36" s="36">
        <f>(1+'PME, DPI &amp; Sensitivity'!$B$6)^7</f>
        <v>2.352605480448168</v>
      </c>
      <c r="D36" s="36">
        <f>(1+'PME, DPI &amp; Sensitivity'!$B$6)^7</f>
        <v>2.352605480448168</v>
      </c>
      <c r="E36" s="37">
        <f>(1+'PME, DPI &amp; Sensitivity'!$B$6)^7</f>
        <v>2.352605480448168</v>
      </c>
      <c r="F36" s="38">
        <f>(1+'PME, DPI &amp; Sensitivity'!$B$6)^7</f>
        <v>2.352605480448168</v>
      </c>
    </row>
    <row r="37" spans="1:6" ht="15" customHeight="1" x14ac:dyDescent="0.2">
      <c r="A37" s="33" t="s">
        <v>440</v>
      </c>
      <c r="B37" s="35">
        <f>'Fund Economics'!B30/(1+'PME, DPI &amp; Sensitivity'!$B$6)^7</f>
        <v>1.1445962125223634</v>
      </c>
      <c r="C37" s="35">
        <f>'Fund Economics'!C30/(1+'PME, DPI &amp; Sensitivity'!$B$6)^7</f>
        <v>2.1224050714655762</v>
      </c>
      <c r="D37" s="35">
        <f>'Fund Economics'!D30/(1+'PME, DPI &amp; Sensitivity'!$B$6)^7</f>
        <v>0.11057304547504337</v>
      </c>
      <c r="E37" s="35">
        <f>'Fund Economics'!E30/(1+'PME, DPI &amp; Sensitivity'!$B$6)^7</f>
        <v>2.1842153197108183</v>
      </c>
      <c r="F37" s="35">
        <f>'Fund Economics'!F30/(1+'PME, DPI &amp; Sensitivity'!$B$6)^7</f>
        <v>1.2892962169798101</v>
      </c>
    </row>
    <row r="38" spans="1:6" ht="15" customHeight="1" x14ac:dyDescent="0.2">
      <c r="A38" s="13" t="s">
        <v>441</v>
      </c>
      <c r="B38" s="15">
        <f>('Fund Economics'!B30/(1+'PME, DPI &amp; Sensitivity'!$B$6)^7)^(1/7)-1</f>
        <v>1.9480446871360968E-2</v>
      </c>
      <c r="C38" s="15">
        <f>('Fund Economics'!C30/(1+'PME, DPI &amp; Sensitivity'!$B$6)^7)^(1/7)-1</f>
        <v>0.11349880049505057</v>
      </c>
      <c r="D38" s="15">
        <f>('Fund Economics'!D30/(1+'PME, DPI &amp; Sensitivity'!$B$6)^7)^(1/7)-1</f>
        <v>-0.26990652455691688</v>
      </c>
      <c r="E38" s="39">
        <f>('Fund Economics'!E30/(1+'PME, DPI &amp; Sensitivity'!$B$6)^7)^(1/7)-1</f>
        <v>0.11807459217473015</v>
      </c>
      <c r="F38" s="40">
        <f>('Fund Economics'!F30/(1+'PME, DPI &amp; Sensitivity'!$B$6)^7)^(1/7)-1</f>
        <v>3.6966371603036396E-2</v>
      </c>
    </row>
    <row r="39" spans="1:6" ht="15" customHeight="1" x14ac:dyDescent="0.2">
      <c r="A39" s="23" t="s">
        <v>442</v>
      </c>
      <c r="B39" s="36">
        <f>('Fund Economics'!B22/Assumptions!$B$5)/(1+'PME, DPI &amp; Sensitivity'!$B$5)^7</f>
        <v>1.7026567158557231</v>
      </c>
      <c r="C39" s="36">
        <f>('Fund Economics'!C22/Assumptions!$B$5)/(1+'PME, DPI &amp; Sensitivity'!$B$5)^7</f>
        <v>3.2756526477978496</v>
      </c>
      <c r="D39" s="36">
        <f>('Fund Economics'!D22/Assumptions!$B$5)/(1+'PME, DPI &amp; Sensitivity'!$B$5)^7</f>
        <v>0.21888741231952863</v>
      </c>
      <c r="E39" s="37">
        <f>('Fund Economics'!E22/Assumptions!$B$5)/(1+'PME, DPI &amp; Sensitivity'!$B$5)^7</f>
        <v>3.3750864667419513</v>
      </c>
      <c r="F39" s="38">
        <f>('Fund Economics'!F22/Assumptions!$B$5)/(1+'PME, DPI &amp; Sensitivity'!$B$5)^7</f>
        <v>1.9713665041698438</v>
      </c>
    </row>
    <row r="40" spans="1:6" ht="15" customHeight="1" x14ac:dyDescent="0.2">
      <c r="A40" s="23" t="s">
        <v>443</v>
      </c>
      <c r="B40" s="36">
        <f>('Fund Economics'!B22/Assumptions!$B$5)/(1+'PME, DPI &amp; Sensitivity'!$B$6)^7</f>
        <v>1.323011066569733</v>
      </c>
      <c r="C40" s="36">
        <f>('Fund Economics'!C22/Assumptions!$B$5)/(1+'PME, DPI &amp; Sensitivity'!$B$6)^7</f>
        <v>2.5452721402487493</v>
      </c>
      <c r="D40" s="36">
        <f>('Fund Economics'!D22/Assumptions!$B$5)/(1+'PME, DPI &amp; Sensitivity'!$B$6)^7</f>
        <v>0.17008153559950326</v>
      </c>
      <c r="E40" s="37">
        <f>('Fund Economics'!E22/Assumptions!$B$5)/(1+'PME, DPI &amp; Sensitivity'!$B$6)^7</f>
        <v>2.6225349505553015</v>
      </c>
      <c r="F40" s="38">
        <f>('Fund Economics'!F22/Assumptions!$B$5)/(1+'PME, DPI &amp; Sensitivity'!$B$6)^7</f>
        <v>1.5318059577093257</v>
      </c>
    </row>
    <row r="41" spans="1:6" ht="15" customHeight="1" x14ac:dyDescent="0.2">
      <c r="A41" s="1"/>
      <c r="B41" s="1"/>
      <c r="C41" s="1"/>
      <c r="D41" s="1"/>
      <c r="E41" s="1"/>
      <c r="F41" s="1"/>
    </row>
    <row r="42" spans="1:6" ht="15" customHeight="1" x14ac:dyDescent="0.2">
      <c r="A42" s="1"/>
      <c r="B42" s="1"/>
      <c r="C42" s="1"/>
      <c r="D42" s="1"/>
      <c r="E42" s="1"/>
      <c r="F42" s="1"/>
    </row>
    <row r="43" spans="1:6" ht="15" customHeight="1" x14ac:dyDescent="0.2">
      <c r="A43" s="28" t="s">
        <v>445</v>
      </c>
      <c r="B43" s="1"/>
      <c r="C43" s="1"/>
      <c r="D43" s="1"/>
      <c r="E43" s="1"/>
      <c r="F43" s="1"/>
    </row>
    <row r="44" spans="1:6" ht="15" customHeight="1" x14ac:dyDescent="0.2">
      <c r="A44" s="12" t="s">
        <v>93</v>
      </c>
      <c r="B44" s="12" t="s">
        <v>50</v>
      </c>
      <c r="C44" s="12" t="s">
        <v>51</v>
      </c>
      <c r="D44" s="12" t="s">
        <v>52</v>
      </c>
      <c r="E44" s="21" t="s">
        <v>53</v>
      </c>
      <c r="F44" s="29" t="s">
        <v>64</v>
      </c>
    </row>
    <row r="45" spans="1:6" ht="15" customHeight="1" x14ac:dyDescent="0.2">
      <c r="A45" s="13" t="s">
        <v>75</v>
      </c>
      <c r="B45" s="36">
        <f>'Fund Economics'!B46</f>
        <v>4.2684439945294228</v>
      </c>
      <c r="C45" s="36">
        <f>'Fund Economics'!C46</f>
        <v>10.464416004235042</v>
      </c>
      <c r="D45" s="36">
        <f>'Fund Economics'!D46</f>
        <v>9.5853415765215055E-2</v>
      </c>
      <c r="E45" s="37">
        <f>'Fund Economics'!E46</f>
        <v>11.169709659036627</v>
      </c>
      <c r="F45" s="38">
        <f>'Fund Economics'!F46</f>
        <v>5.7083101303937855</v>
      </c>
    </row>
    <row r="46" spans="1:6" ht="15" customHeight="1" x14ac:dyDescent="0.2">
      <c r="A46" s="13" t="s">
        <v>434</v>
      </c>
      <c r="B46" s="36">
        <f>'Fund Economics'!B44/Assumptions!$B$5</f>
        <v>4.2684439945294228</v>
      </c>
      <c r="C46" s="36">
        <f>'Fund Economics'!C44/Assumptions!$B$5</f>
        <v>10.464416004235042</v>
      </c>
      <c r="D46" s="36">
        <f>'Fund Economics'!D44/Assumptions!$B$5</f>
        <v>9.5853415765215055E-2</v>
      </c>
      <c r="E46" s="37">
        <f>'Fund Economics'!E44/Assumptions!$B$5</f>
        <v>11.169709659036627</v>
      </c>
      <c r="F46" s="38">
        <f>'Fund Economics'!F44/Assumptions!$B$5</f>
        <v>5.7083101303937855</v>
      </c>
    </row>
    <row r="47" spans="1:6" ht="15" customHeight="1" x14ac:dyDescent="0.2">
      <c r="A47" s="13" t="s">
        <v>435</v>
      </c>
      <c r="B47" s="36">
        <f>'Fund Economics'!B38/Assumptions!$B$5</f>
        <v>5.0458237438435809</v>
      </c>
      <c r="C47" s="36">
        <f>'Fund Economics'!C38/Assumptions!$B$5</f>
        <v>12.790788755975607</v>
      </c>
      <c r="D47" s="36">
        <f>'Fund Economics'!D38/Assumptions!$B$5</f>
        <v>0.29585341576521507</v>
      </c>
      <c r="E47" s="37">
        <f>'Fund Economics'!E38/Assumptions!$B$5</f>
        <v>13.672405824477588</v>
      </c>
      <c r="F47" s="38">
        <f>'Fund Economics'!F38/Assumptions!$B$5</f>
        <v>6.9388099927494151</v>
      </c>
    </row>
    <row r="48" spans="1:6" ht="15" customHeight="1" x14ac:dyDescent="0.2">
      <c r="A48" s="13" t="s">
        <v>77</v>
      </c>
      <c r="B48" s="15">
        <f>'Fund Economics'!B48</f>
        <v>0.15618400987328629</v>
      </c>
      <c r="C48" s="15">
        <f>'Fund Economics'!C48</f>
        <v>0.26465335248213018</v>
      </c>
      <c r="D48" s="15">
        <f>'Fund Economics'!D48</f>
        <v>-0.20902863853914744</v>
      </c>
      <c r="E48" s="39">
        <f>'Fund Economics'!E48</f>
        <v>0.27292902256243501</v>
      </c>
      <c r="F48" s="40">
        <f>'Fund Economics'!F48</f>
        <v>0.19028443916774207</v>
      </c>
    </row>
    <row r="49" spans="1:6" ht="15" customHeight="1" x14ac:dyDescent="0.2">
      <c r="A49" s="13" t="s">
        <v>436</v>
      </c>
      <c r="B49" s="36">
        <f>(1+'PME, DPI &amp; Sensitivity'!$B$5)^10</f>
        <v>2.3673636745921187</v>
      </c>
      <c r="C49" s="36">
        <f>(1+'PME, DPI &amp; Sensitivity'!$B$5)^10</f>
        <v>2.3673636745921187</v>
      </c>
      <c r="D49" s="36">
        <f>(1+'PME, DPI &amp; Sensitivity'!$B$5)^10</f>
        <v>2.3673636745921187</v>
      </c>
      <c r="E49" s="37">
        <f>(1+'PME, DPI &amp; Sensitivity'!$B$5)^10</f>
        <v>2.3673636745921187</v>
      </c>
      <c r="F49" s="38">
        <f>(1+'PME, DPI &amp; Sensitivity'!$B$5)^10</f>
        <v>2.3673636745921187</v>
      </c>
    </row>
    <row r="50" spans="1:6" ht="15" customHeight="1" x14ac:dyDescent="0.2">
      <c r="A50" s="33" t="s">
        <v>437</v>
      </c>
      <c r="B50" s="35">
        <f>'Fund Economics'!B46/(1+'PME, DPI &amp; Sensitivity'!$B$5)^10</f>
        <v>1.803036871918231</v>
      </c>
      <c r="C50" s="35">
        <f>'Fund Economics'!C46/(1+'PME, DPI &amp; Sensitivity'!$B$5)^10</f>
        <v>4.4202824080410847</v>
      </c>
      <c r="D50" s="35">
        <f>'Fund Economics'!D46/(1+'PME, DPI &amp; Sensitivity'!$B$5)^10</f>
        <v>4.0489518697092441E-2</v>
      </c>
      <c r="E50" s="35">
        <f>'Fund Economics'!E46/(1+'PME, DPI &amp; Sensitivity'!$B$5)^10</f>
        <v>4.7182060698642321</v>
      </c>
      <c r="F50" s="35">
        <f>'Fund Economics'!F46/(1+'PME, DPI &amp; Sensitivity'!$B$5)^10</f>
        <v>2.4112518881904741</v>
      </c>
    </row>
    <row r="51" spans="1:6" ht="15" customHeight="1" x14ac:dyDescent="0.2">
      <c r="A51" s="13" t="s">
        <v>438</v>
      </c>
      <c r="B51" s="15">
        <f>('Fund Economics'!B46/(1+'PME, DPI &amp; Sensitivity'!$B$5)^10)^(1/10)-1</f>
        <v>6.0719275113106708E-2</v>
      </c>
      <c r="C51" s="15">
        <f>('Fund Economics'!C46/(1+'PME, DPI &amp; Sensitivity'!$B$5)^10)^(1/10)-1</f>
        <v>0.16023243346984417</v>
      </c>
      <c r="D51" s="15">
        <f>('Fund Economics'!D46/(1+'PME, DPI &amp; Sensitivity'!$B$5)^10)^(1/10)-1</f>
        <v>-0.27433820049463076</v>
      </c>
      <c r="E51" s="39">
        <f>('Fund Economics'!E46/(1+'PME, DPI &amp; Sensitivity'!$B$5)^10)^(1/10)-1</f>
        <v>0.16782479134168349</v>
      </c>
      <c r="F51" s="40">
        <f>('Fund Economics'!F46/(1+'PME, DPI &amp; Sensitivity'!$B$5)^10)^(1/10)-1</f>
        <v>9.2004072630955891E-2</v>
      </c>
    </row>
    <row r="52" spans="1:6" ht="15" customHeight="1" x14ac:dyDescent="0.2">
      <c r="A52" s="13" t="s">
        <v>439</v>
      </c>
      <c r="B52" s="36">
        <f>(1+'PME, DPI &amp; Sensitivity'!$B$6)^10</f>
        <v>3.3945673899222193</v>
      </c>
      <c r="C52" s="36">
        <f>(1+'PME, DPI &amp; Sensitivity'!$B$6)^10</f>
        <v>3.3945673899222193</v>
      </c>
      <c r="D52" s="36">
        <f>(1+'PME, DPI &amp; Sensitivity'!$B$6)^10</f>
        <v>3.3945673899222193</v>
      </c>
      <c r="E52" s="37">
        <f>(1+'PME, DPI &amp; Sensitivity'!$B$6)^10</f>
        <v>3.3945673899222193</v>
      </c>
      <c r="F52" s="38">
        <f>(1+'PME, DPI &amp; Sensitivity'!$B$6)^10</f>
        <v>3.3945673899222193</v>
      </c>
    </row>
    <row r="53" spans="1:6" ht="15" customHeight="1" x14ac:dyDescent="0.2">
      <c r="A53" s="33" t="s">
        <v>440</v>
      </c>
      <c r="B53" s="35">
        <f>'Fund Economics'!B46/(1+'PME, DPI &amp; Sensitivity'!$B$6)^10</f>
        <v>1.2574338654173034</v>
      </c>
      <c r="C53" s="35">
        <f>'Fund Economics'!C46/(1+'PME, DPI &amp; Sensitivity'!$B$6)^10</f>
        <v>3.082695024792192</v>
      </c>
      <c r="D53" s="35">
        <f>'Fund Economics'!D46/(1+'PME, DPI &amp; Sensitivity'!$B$6)^10</f>
        <v>2.823729941252142E-2</v>
      </c>
      <c r="E53" s="35">
        <f>'Fund Economics'!E46/(1+'PME, DPI &amp; Sensitivity'!$B$6)^10</f>
        <v>3.2904663175040287</v>
      </c>
      <c r="F53" s="35">
        <f>'Fund Economics'!F46/(1+'PME, DPI &amp; Sensitivity'!$B$6)^10</f>
        <v>1.6816016519043335</v>
      </c>
    </row>
    <row r="54" spans="1:6" ht="15" customHeight="1" x14ac:dyDescent="0.2">
      <c r="A54" s="13" t="s">
        <v>441</v>
      </c>
      <c r="B54" s="15">
        <f>('Fund Economics'!B46/(1+'PME, DPI &amp; Sensitivity'!$B$6)^10)^(1/10)-1</f>
        <v>2.3171690153350966E-2</v>
      </c>
      <c r="C54" s="15">
        <f>('Fund Economics'!C46/(1+'PME, DPI &amp; Sensitivity'!$B$6)^10)^(1/10)-1</f>
        <v>0.11916225883374376</v>
      </c>
      <c r="D54" s="15">
        <f>('Fund Economics'!D46/(1+'PME, DPI &amp; Sensitivity'!$B$6)^10)^(1/10)-1</f>
        <v>-0.30002534383995338</v>
      </c>
      <c r="E54" s="39">
        <f>('Fund Economics'!E46/(1+'PME, DPI &amp; Sensitivity'!$B$6)^10)^(1/10)-1</f>
        <v>0.12648586067472145</v>
      </c>
      <c r="F54" s="40">
        <f>('Fund Economics'!F46/(1+'PME, DPI &amp; Sensitivity'!$B$6)^10)^(1/10)-1</f>
        <v>5.3349061210391291E-2</v>
      </c>
    </row>
    <row r="55" spans="1:6" ht="15" customHeight="1" x14ac:dyDescent="0.2">
      <c r="A55" s="23" t="s">
        <v>442</v>
      </c>
      <c r="B55" s="36">
        <f>('Fund Economics'!B38/Assumptions!$B$5)/(1+'PME, DPI &amp; Sensitivity'!$B$5)^10</f>
        <v>2.1314104790903929</v>
      </c>
      <c r="C55" s="36">
        <f>('Fund Economics'!C38/Assumptions!$B$5)/(1+'PME, DPI &amp; Sensitivity'!$B$5)^10</f>
        <v>5.4029673992439609</v>
      </c>
      <c r="D55" s="36">
        <f>('Fund Economics'!D38/Assumptions!$B$5)/(1+'PME, DPI &amp; Sensitivity'!$B$5)^10</f>
        <v>0.12497168007623023</v>
      </c>
      <c r="E55" s="37">
        <f>('Fund Economics'!E38/Assumptions!$B$5)/(1+'PME, DPI &amp; Sensitivity'!$B$5)^10</f>
        <v>5.7753719765228952</v>
      </c>
      <c r="F55" s="38">
        <f>('Fund Economics'!F38/Assumptions!$B$5)/(1+'PME, DPI &amp; Sensitivity'!$B$5)^10</f>
        <v>2.9310283279331499</v>
      </c>
    </row>
    <row r="56" spans="1:6" ht="15" customHeight="1" x14ac:dyDescent="0.2">
      <c r="A56" s="23" t="s">
        <v>443</v>
      </c>
      <c r="B56" s="36">
        <f>('Fund Economics'!B38/Assumptions!$B$5)/(1+'PME, DPI &amp; Sensitivity'!$B$6)^10</f>
        <v>1.4864408816344628</v>
      </c>
      <c r="C56" s="36">
        <f>('Fund Economics'!C38/Assumptions!$B$5)/(1+'PME, DPI &amp; Sensitivity'!$B$6)^10</f>
        <v>3.7680173308530738</v>
      </c>
      <c r="D56" s="36">
        <f>('Fund Economics'!D38/Assumptions!$B$5)/(1+'PME, DPI &amp; Sensitivity'!$B$6)^10</f>
        <v>8.7154969037746527E-2</v>
      </c>
      <c r="E56" s="37">
        <f>('Fund Economics'!E38/Assumptions!$B$5)/(1+'PME, DPI &amp; Sensitivity'!$B$6)^10</f>
        <v>4.0277314467428695</v>
      </c>
      <c r="F56" s="38">
        <f>('Fund Economics'!F38/Assumptions!$B$5)/(1+'PME, DPI &amp; Sensitivity'!$B$6)^10</f>
        <v>2.044092573725103</v>
      </c>
    </row>
    <row r="57" spans="1:6" ht="15" customHeight="1" x14ac:dyDescent="0.2">
      <c r="A57" s="1"/>
      <c r="B57" s="1"/>
      <c r="C57" s="1"/>
      <c r="D57" s="1"/>
      <c r="E57" s="1"/>
      <c r="F57" s="1"/>
    </row>
    <row r="58" spans="1:6" ht="15" customHeight="1" x14ac:dyDescent="0.2">
      <c r="A58" s="1"/>
      <c r="B58" s="1"/>
      <c r="C58" s="1"/>
      <c r="D58" s="1"/>
      <c r="E58" s="1"/>
      <c r="F58" s="1"/>
    </row>
    <row r="59" spans="1:6" ht="15" customHeight="1" x14ac:dyDescent="0.2">
      <c r="A59" s="85" t="s">
        <v>446</v>
      </c>
      <c r="B59" s="1"/>
      <c r="C59" s="1"/>
      <c r="D59" s="1"/>
      <c r="E59" s="1"/>
      <c r="F59" s="1"/>
    </row>
    <row r="60" spans="1:6" ht="25.5" customHeight="1" x14ac:dyDescent="0.2">
      <c r="A60" s="97" t="s">
        <v>447</v>
      </c>
      <c r="B60" s="98"/>
      <c r="C60" s="98"/>
      <c r="D60" s="98"/>
      <c r="E60" s="98"/>
      <c r="F60" s="98"/>
    </row>
    <row r="61" spans="1:6" ht="27.75" customHeight="1" x14ac:dyDescent="0.2">
      <c r="A61" s="21" t="s">
        <v>448</v>
      </c>
      <c r="B61" s="12" t="s">
        <v>449</v>
      </c>
      <c r="C61" s="12" t="s">
        <v>450</v>
      </c>
      <c r="D61" s="12" t="s">
        <v>451</v>
      </c>
      <c r="E61" s="12" t="s">
        <v>452</v>
      </c>
      <c r="F61" s="22"/>
    </row>
    <row r="62" spans="1:6" ht="15" customHeight="1" x14ac:dyDescent="0.2">
      <c r="A62" s="27">
        <v>0</v>
      </c>
      <c r="B62" s="15">
        <f>(((1-$A62)*('Defense Supercycle'!$B$17*'Fund Economics'!B12+'Defense Supercycle'!$B$18*'Fund Economics'!C12+'Defense Supercycle'!$B$19*'Fund Economics'!D12)/('Defense Supercycle'!$B$17+'Defense Supercycle'!$B$18+'Defense Supercycle'!$B$19)+$A62*'Fund Economics'!E12)/Assumptions!$B$5)^(1/5)-1</f>
        <v>0.1349446502829188</v>
      </c>
      <c r="C62" s="15">
        <f>(((1-$A62)*('Defense Supercycle'!$B$17*'Fund Economics'!B28+'Defense Supercycle'!$B$18*'Fund Economics'!C28+'Defense Supercycle'!$B$19*'Fund Economics'!D28)/('Defense Supercycle'!$B$17+'Defense Supercycle'!$B$18+'Defense Supercycle'!$B$19)+$A62*'Fund Economics'!E28)/Assumptions!$B$5)^(1/7)-1</f>
        <v>0.15010161784226272</v>
      </c>
      <c r="D62" s="15">
        <f>(((1-$A62)*('Defense Supercycle'!$B$17*'Fund Economics'!B44+'Defense Supercycle'!$B$18*'Fund Economics'!C44+'Defense Supercycle'!$B$19*'Fund Economics'!D44)/('Defense Supercycle'!$B$17+'Defense Supercycle'!$B$18+'Defense Supercycle'!$B$19)+$A62*'Fund Economics'!E44)/Assumptions!$B$5)^(1/10)-1</f>
        <v>0.16847480910121226</v>
      </c>
      <c r="E62" s="42" t="s">
        <v>453</v>
      </c>
      <c r="F62" s="86"/>
    </row>
    <row r="63" spans="1:6" ht="15" customHeight="1" x14ac:dyDescent="0.2">
      <c r="A63" s="27">
        <v>0.05</v>
      </c>
      <c r="B63" s="15">
        <f>(((1-$A63)*('Defense Supercycle'!$B$17*'Fund Economics'!B12+'Defense Supercycle'!$B$18*'Fund Economics'!C12+'Defense Supercycle'!$B$19*'Fund Economics'!D12)/('Defense Supercycle'!$B$17+'Defense Supercycle'!$B$18+'Defense Supercycle'!$B$19)+$A63*'Fund Economics'!E12)/Assumptions!$B$5)^(1/5)-1</f>
        <v>0.14232199408343194</v>
      </c>
      <c r="C63" s="15">
        <f>(((1-$A63)*('Defense Supercycle'!$B$17*'Fund Economics'!B28+'Defense Supercycle'!$B$18*'Fund Economics'!C28+'Defense Supercycle'!$B$19*'Fund Economics'!D28)/('Defense Supercycle'!$B$17+'Defense Supercycle'!$B$18+'Defense Supercycle'!$B$19)+$A63*'Fund Economics'!E28)/Assumptions!$B$5)^(1/7)-1</f>
        <v>0.15759826401546717</v>
      </c>
      <c r="D63" s="15">
        <f>(((1-$A63)*('Defense Supercycle'!$B$17*'Fund Economics'!B44+'Defense Supercycle'!$B$18*'Fund Economics'!C44+'Defense Supercycle'!$B$19*'Fund Economics'!D44)/('Defense Supercycle'!$B$17+'Defense Supercycle'!$B$18+'Defense Supercycle'!$B$19)+$A63*'Fund Economics'!E44)/Assumptions!$B$5)^(1/10)-1</f>
        <v>0.17615548974372652</v>
      </c>
      <c r="E63" s="42"/>
      <c r="F63" s="86"/>
    </row>
    <row r="64" spans="1:6" ht="15" customHeight="1" x14ac:dyDescent="0.2">
      <c r="A64" s="27">
        <v>0.1</v>
      </c>
      <c r="B64" s="15">
        <f>(((1-$A64)*('Defense Supercycle'!$B$17*'Fund Economics'!B12+'Defense Supercycle'!$B$18*'Fund Economics'!C12+'Defense Supercycle'!$B$19*'Fund Economics'!D12)/('Defense Supercycle'!$B$17+'Defense Supercycle'!$B$18+'Defense Supercycle'!$B$19)+$A64*'Fund Economics'!E12)/Assumptions!$B$5)^(1/5)-1</f>
        <v>0.14951354120228433</v>
      </c>
      <c r="C64" s="15">
        <f>(((1-$A64)*('Defense Supercycle'!$B$17*'Fund Economics'!B28+'Defense Supercycle'!$B$18*'Fund Economics'!C28+'Defense Supercycle'!$B$19*'Fund Economics'!D28)/('Defense Supercycle'!$B$17+'Defense Supercycle'!$B$18+'Defense Supercycle'!$B$19)+$A64*'Fund Economics'!E28)/Assumptions!$B$5)^(1/7)-1</f>
        <v>0.16481446322770554</v>
      </c>
      <c r="D64" s="15">
        <f>(((1-$A64)*('Defense Supercycle'!$B$17*'Fund Economics'!B44+'Defense Supercycle'!$B$18*'Fund Economics'!C44+'Defense Supercycle'!$B$19*'Fund Economics'!D44)/('Defense Supercycle'!$B$17+'Defense Supercycle'!$B$18+'Defense Supercycle'!$B$19)+$A64*'Fund Economics'!E44)/Assumptions!$B$5)^(1/10)-1</f>
        <v>0.1834096637306295</v>
      </c>
      <c r="E64" s="42"/>
      <c r="F64" s="86"/>
    </row>
    <row r="65" spans="1:6" ht="15" customHeight="1" x14ac:dyDescent="0.2">
      <c r="A65" s="87">
        <v>0.15</v>
      </c>
      <c r="B65" s="88">
        <f>(((1-$A65)*('Defense Supercycle'!$B$17*'Fund Economics'!B12+'Defense Supercycle'!$B$18*'Fund Economics'!C12+'Defense Supercycle'!$B$19*'Fund Economics'!D12)/('Defense Supercycle'!$B$17+'Defense Supercycle'!$B$18+'Defense Supercycle'!$B$19)+$A65*'Fund Economics'!E12)/Assumptions!$B$5)^(1/5)-1</f>
        <v>0.15652949956835926</v>
      </c>
      <c r="C65" s="88">
        <f>(((1-$A65)*('Defense Supercycle'!$B$17*'Fund Economics'!B28+'Defense Supercycle'!$B$18*'Fund Economics'!C28+'Defense Supercycle'!$B$19*'Fund Economics'!D28)/('Defense Supercycle'!$B$17+'Defense Supercycle'!$B$18+'Defense Supercycle'!$B$19)+$A65*'Fund Economics'!E28)/Assumptions!$B$5)^(1/7)-1</f>
        <v>0.17177199991143088</v>
      </c>
      <c r="D65" s="88">
        <f>(((1-$A65)*('Defense Supercycle'!$B$17*'Fund Economics'!B44+'Defense Supercycle'!$B$18*'Fund Economics'!C44+'Defense Supercycle'!$B$19*'Fund Economics'!D44)/('Defense Supercycle'!$B$17+'Defense Supercycle'!$B$18+'Defense Supercycle'!$B$19)+$A65*'Fund Economics'!E44)/Assumptions!$B$5)^(1/10)-1</f>
        <v>0.19028443916774207</v>
      </c>
      <c r="E65" s="42" t="s">
        <v>454</v>
      </c>
      <c r="F65" s="86"/>
    </row>
    <row r="66" spans="1:6" ht="15" customHeight="1" x14ac:dyDescent="0.2">
      <c r="A66" s="27">
        <v>0.2</v>
      </c>
      <c r="B66" s="15">
        <f>(((1-$A66)*('Defense Supercycle'!$B$17*'Fund Economics'!B12+'Defense Supercycle'!$B$18*'Fund Economics'!C12+'Defense Supercycle'!$B$19*'Fund Economics'!D12)/('Defense Supercycle'!$B$17+'Defense Supercycle'!$B$18+'Defense Supercycle'!$B$19)+$A66*'Fund Economics'!E12)/Assumptions!$B$5)^(1/5)-1</f>
        <v>0.16337923046184666</v>
      </c>
      <c r="C66" s="15">
        <f>(((1-$A66)*('Defense Supercycle'!$B$17*'Fund Economics'!B28+'Defense Supercycle'!$B$18*'Fund Economics'!C28+'Defense Supercycle'!$B$19*'Fund Economics'!D28)/('Defense Supercycle'!$B$17+'Defense Supercycle'!$B$18+'Defense Supercycle'!$B$19)+$A66*'Fund Economics'!E28)/Assumptions!$B$5)^(1/7)-1</f>
        <v>0.17849015930681777</v>
      </c>
      <c r="D66" s="15">
        <f>(((1-$A66)*('Defense Supercycle'!$B$17*'Fund Economics'!B44+'Defense Supercycle'!$B$18*'Fund Economics'!C44+'Defense Supercycle'!$B$19*'Fund Economics'!D44)/('Defense Supercycle'!$B$17+'Defense Supercycle'!$B$18+'Defense Supercycle'!$B$19)+$A66*'Fund Economics'!E44)/Assumptions!$B$5)^(1/10)-1</f>
        <v>0.19681941675466486</v>
      </c>
      <c r="E66" s="42"/>
      <c r="F66" s="86"/>
    </row>
    <row r="67" spans="1:6" ht="15" customHeight="1" x14ac:dyDescent="0.2">
      <c r="A67" s="27">
        <v>0.25</v>
      </c>
      <c r="B67" s="15">
        <f>(((1-$A67)*('Defense Supercycle'!$B$17*'Fund Economics'!B12+'Defense Supercycle'!$B$18*'Fund Economics'!C12+'Defense Supercycle'!$B$19*'Fund Economics'!D12)/('Defense Supercycle'!$B$17+'Defense Supercycle'!$B$18+'Defense Supercycle'!$B$19)+$A67*'Fund Economics'!E12)/Assumptions!$B$5)^(1/5)-1</f>
        <v>0.17007134108050437</v>
      </c>
      <c r="C67" s="15">
        <f>(((1-$A67)*('Defense Supercycle'!$B$17*'Fund Economics'!B28+'Defense Supercycle'!$B$18*'Fund Economics'!C28+'Defense Supercycle'!$B$19*'Fund Economics'!D28)/('Defense Supercycle'!$B$17+'Defense Supercycle'!$B$18+'Defense Supercycle'!$B$19)+$A67*'Fund Economics'!E28)/Assumptions!$B$5)^(1/7)-1</f>
        <v>0.18498609964006141</v>
      </c>
      <c r="D67" s="15">
        <f>(((1-$A67)*('Defense Supercycle'!$B$17*'Fund Economics'!B44+'Defense Supercycle'!$B$18*'Fund Economics'!C44+'Defense Supercycle'!$B$19*'Fund Economics'!D44)/('Defense Supercycle'!$B$17+'Defense Supercycle'!$B$18+'Defense Supercycle'!$B$19)+$A67*'Fund Economics'!E44)/Assumptions!$B$5)^(1/10)-1</f>
        <v>0.20304821533016604</v>
      </c>
      <c r="E67" s="42"/>
      <c r="F67" s="86"/>
    </row>
    <row r="68" spans="1:6" ht="15" customHeight="1" x14ac:dyDescent="0.2">
      <c r="A68" s="27">
        <v>0.3</v>
      </c>
      <c r="B68" s="15">
        <f>(((1-$A68)*('Defense Supercycle'!$B$17*'Fund Economics'!B12+'Defense Supercycle'!$B$18*'Fund Economics'!C12+'Defense Supercycle'!$B$19*'Fund Economics'!D12)/('Defense Supercycle'!$B$17+'Defense Supercycle'!$B$18+'Defense Supercycle'!$B$19)+$A68*'Fund Economics'!E12)/Assumptions!$B$5)^(1/5)-1</f>
        <v>0.17661376467867473</v>
      </c>
      <c r="C68" s="15">
        <f>(((1-$A68)*('Defense Supercycle'!$B$17*'Fund Economics'!B28+'Defense Supercycle'!$B$18*'Fund Economics'!C28+'Defense Supercycle'!$B$19*'Fund Economics'!D28)/('Defense Supercycle'!$B$17+'Defense Supercycle'!$B$18+'Defense Supercycle'!$B$19)+$A68*'Fund Economics'!E28)/Assumptions!$B$5)^(1/7)-1</f>
        <v>0.1912751570934208</v>
      </c>
      <c r="D68" s="15">
        <f>(((1-$A68)*('Defense Supercycle'!$B$17*'Fund Economics'!B44+'Defense Supercycle'!$B$18*'Fund Economics'!C44+'Defense Supercycle'!$B$19*'Fund Economics'!D44)/('Defense Supercycle'!$B$17+'Defense Supercycle'!$B$18+'Defense Supercycle'!$B$19)+$A68*'Fund Economics'!E44)/Assumptions!$B$5)^(1/10)-1</f>
        <v>0.208999627137467</v>
      </c>
      <c r="E68" s="42"/>
      <c r="F68" s="86"/>
    </row>
    <row r="69" spans="1:6" ht="15" customHeight="1" x14ac:dyDescent="0.2">
      <c r="A69" s="27">
        <v>0.4</v>
      </c>
      <c r="B69" s="15">
        <f>(((1-$A69)*('Defense Supercycle'!$B$17*'Fund Economics'!B12+'Defense Supercycle'!$B$18*'Fund Economics'!C12+'Defense Supercycle'!$B$19*'Fund Economics'!D12)/('Defense Supercycle'!$B$17+'Defense Supercycle'!$B$18+'Defense Supercycle'!$B$19)+$A69*'Fund Economics'!E12)/Assumptions!$B$5)^(1/5)-1</f>
        <v>0.18927832329405714</v>
      </c>
      <c r="C69" s="15">
        <f>(((1-$A69)*('Defense Supercycle'!$B$17*'Fund Economics'!B28+'Defense Supercycle'!$B$18*'Fund Economics'!C28+'Defense Supercycle'!$B$19*'Fund Economics'!D28)/('Defense Supercycle'!$B$17+'Defense Supercycle'!$B$18+'Defense Supercycle'!$B$19)+$A69*'Fund Economics'!E28)/Assumptions!$B$5)^(1/7)-1</f>
        <v>0.2032863267813847</v>
      </c>
      <c r="D69" s="15">
        <f>(((1-$A69)*('Defense Supercycle'!$B$17*'Fund Economics'!B44+'Defense Supercycle'!$B$18*'Fund Economics'!C44+'Defense Supercycle'!$B$19*'Fund Economics'!D44)/('Defense Supercycle'!$B$17+'Defense Supercycle'!$B$18+'Defense Supercycle'!$B$19)+$A69*'Fund Economics'!E44)/Assumptions!$B$5)^(1/10)-1</f>
        <v>0.22016645902617848</v>
      </c>
      <c r="E69" s="42"/>
      <c r="F69" s="86"/>
    </row>
  </sheetData>
  <mergeCells count="2">
    <mergeCell ref="A9:F9"/>
    <mergeCell ref="A60:F60"/>
  </mergeCells>
  <printOptions horizontalCentered="1"/>
  <pageMargins left="0.4" right="0.4" top="1" bottom="1" header="0.511811023622047" footer="0.511811023622047"/>
  <pageSetup paperSize="9" fitToHeight="0" orientation="landscape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F2A44"/>
    <pageSetUpPr fitToPage="1"/>
  </sheetPr>
  <dimension ref="A1:F29"/>
  <sheetViews>
    <sheetView showGridLines="0" zoomScaleNormal="100" workbookViewId="0"/>
  </sheetViews>
  <sheetFormatPr baseColWidth="10" defaultColWidth="8.6640625" defaultRowHeight="15" x14ac:dyDescent="0.2"/>
  <cols>
    <col min="1" max="1" width="22" customWidth="1"/>
    <col min="2" max="4" width="12" customWidth="1"/>
    <col min="5" max="6" width="13" customWidth="1"/>
    <col min="7" max="7" width="2" customWidth="1"/>
  </cols>
  <sheetData>
    <row r="1" spans="1:6" ht="18" customHeight="1" x14ac:dyDescent="0.2">
      <c r="A1" s="9" t="s">
        <v>455</v>
      </c>
      <c r="B1" s="1"/>
      <c r="C1" s="1"/>
      <c r="D1" s="1"/>
      <c r="E1" s="1"/>
      <c r="F1" s="1"/>
    </row>
    <row r="2" spans="1:6" ht="15" customHeight="1" x14ac:dyDescent="0.2">
      <c r="A2" s="10" t="s">
        <v>456</v>
      </c>
      <c r="B2" s="1"/>
      <c r="C2" s="1"/>
      <c r="D2" s="1"/>
      <c r="E2" s="1"/>
      <c r="F2" s="1"/>
    </row>
    <row r="3" spans="1:6" ht="15" customHeight="1" x14ac:dyDescent="0.2">
      <c r="A3" s="1"/>
      <c r="B3" s="1"/>
      <c r="C3" s="1"/>
      <c r="D3" s="1"/>
      <c r="E3" s="1"/>
      <c r="F3" s="1"/>
    </row>
    <row r="4" spans="1:6" ht="15" customHeight="1" x14ac:dyDescent="0.2">
      <c r="A4" s="28" t="s">
        <v>457</v>
      </c>
      <c r="B4" s="1"/>
      <c r="C4" s="1"/>
      <c r="D4" s="1"/>
      <c r="E4" s="1"/>
      <c r="F4" s="1"/>
    </row>
    <row r="5" spans="1:6" ht="15" customHeight="1" x14ac:dyDescent="0.2">
      <c r="A5" s="12" t="s">
        <v>458</v>
      </c>
      <c r="B5" s="12" t="s">
        <v>50</v>
      </c>
      <c r="C5" s="12" t="s">
        <v>51</v>
      </c>
      <c r="D5" s="12" t="s">
        <v>52</v>
      </c>
      <c r="E5" s="21" t="s">
        <v>53</v>
      </c>
      <c r="F5" s="29" t="s">
        <v>64</v>
      </c>
    </row>
    <row r="6" spans="1:6" ht="15" customHeight="1" x14ac:dyDescent="0.2">
      <c r="A6" s="89" t="s">
        <v>459</v>
      </c>
      <c r="B6" s="26">
        <f>'Fund Economics'!B16</f>
        <v>0.14921756925053842</v>
      </c>
      <c r="C6" s="26">
        <f>'Fund Economics'!C16</f>
        <v>0.2529405230598698</v>
      </c>
      <c r="D6" s="26">
        <f>'Fund Economics'!D16</f>
        <v>-0.1653039932407776</v>
      </c>
      <c r="E6" s="72">
        <f>'Fund Economics'!E16</f>
        <v>0.25579574901845725</v>
      </c>
      <c r="F6" s="90">
        <f>'Fund Economics'!F16</f>
        <v>0.15652949956835926</v>
      </c>
    </row>
    <row r="7" spans="1:6" ht="15" customHeight="1" x14ac:dyDescent="0.2">
      <c r="A7" s="89" t="s">
        <v>460</v>
      </c>
      <c r="B7" s="26">
        <f>'Fund Economics'!B32</f>
        <v>0.15201290496463771</v>
      </c>
      <c r="C7" s="26">
        <f>'Fund Economics'!C32</f>
        <v>0.25825364455940703</v>
      </c>
      <c r="D7" s="26">
        <f>'Fund Economics'!D32</f>
        <v>-0.17499437274931617</v>
      </c>
      <c r="E7" s="72">
        <f>'Fund Economics'!E32</f>
        <v>0.26342428915744498</v>
      </c>
      <c r="F7" s="90">
        <f>'Fund Economics'!F32</f>
        <v>0.17177199991143088</v>
      </c>
    </row>
    <row r="8" spans="1:6" ht="15" customHeight="1" x14ac:dyDescent="0.2">
      <c r="A8" s="89" t="s">
        <v>461</v>
      </c>
      <c r="B8" s="26">
        <f>'Fund Economics'!B48</f>
        <v>0.15618400987328629</v>
      </c>
      <c r="C8" s="26">
        <f>'Fund Economics'!C48</f>
        <v>0.26465335248213018</v>
      </c>
      <c r="D8" s="26">
        <f>'Fund Economics'!D48</f>
        <v>-0.20902863853914744</v>
      </c>
      <c r="E8" s="72">
        <f>'Fund Economics'!E48</f>
        <v>0.27292902256243501</v>
      </c>
      <c r="F8" s="90">
        <f>'Fund Economics'!F48</f>
        <v>0.19028443916774207</v>
      </c>
    </row>
    <row r="9" spans="1:6" ht="15" customHeight="1" x14ac:dyDescent="0.2">
      <c r="A9" s="1"/>
      <c r="B9" s="1"/>
      <c r="C9" s="1"/>
      <c r="D9" s="1"/>
      <c r="E9" s="1"/>
      <c r="F9" s="1"/>
    </row>
    <row r="10" spans="1:6" ht="15" customHeight="1" x14ac:dyDescent="0.2">
      <c r="A10" s="1"/>
      <c r="B10" s="1"/>
      <c r="C10" s="1"/>
      <c r="D10" s="1"/>
      <c r="E10" s="1"/>
      <c r="F10" s="1"/>
    </row>
    <row r="11" spans="1:6" ht="15" customHeight="1" x14ac:dyDescent="0.2">
      <c r="A11" s="28" t="s">
        <v>462</v>
      </c>
      <c r="B11" s="1"/>
      <c r="C11" s="1"/>
      <c r="D11" s="1"/>
      <c r="E11" s="1"/>
      <c r="F11" s="1"/>
    </row>
    <row r="12" spans="1:6" ht="15" customHeight="1" x14ac:dyDescent="0.2">
      <c r="A12" s="12" t="s">
        <v>458</v>
      </c>
      <c r="B12" s="12" t="s">
        <v>50</v>
      </c>
      <c r="C12" s="12" t="s">
        <v>51</v>
      </c>
      <c r="D12" s="12" t="s">
        <v>52</v>
      </c>
      <c r="E12" s="21" t="s">
        <v>53</v>
      </c>
      <c r="F12" s="29" t="s">
        <v>64</v>
      </c>
    </row>
    <row r="13" spans="1:6" ht="15" customHeight="1" x14ac:dyDescent="0.2">
      <c r="A13" s="89" t="s">
        <v>459</v>
      </c>
      <c r="B13" s="91">
        <f>'Fund Economics'!B14</f>
        <v>2.0045241105768166</v>
      </c>
      <c r="C13" s="91">
        <f>'Fund Economics'!C14</f>
        <v>3.0878221475160164</v>
      </c>
      <c r="D13" s="91">
        <f>'Fund Economics'!D14</f>
        <v>0.40517410275635002</v>
      </c>
      <c r="E13" s="92">
        <f>'Fund Economics'!E14</f>
        <v>3.1231658193606862</v>
      </c>
      <c r="F13" s="93">
        <f>'Fund Economics'!F14</f>
        <v>2.0691099727181435</v>
      </c>
    </row>
    <row r="14" spans="1:6" ht="15" customHeight="1" x14ac:dyDescent="0.2">
      <c r="A14" s="89" t="s">
        <v>460</v>
      </c>
      <c r="B14" s="91">
        <f>'Fund Economics'!B30</f>
        <v>2.6927833224803281</v>
      </c>
      <c r="C14" s="91">
        <f>'Fund Economics'!C30</f>
        <v>4.9931818028609003</v>
      </c>
      <c r="D14" s="91">
        <f>'Fund Economics'!D30</f>
        <v>0.26013475277443154</v>
      </c>
      <c r="E14" s="92">
        <f>'Fund Economics'!E30</f>
        <v>5.1385969316305182</v>
      </c>
      <c r="F14" s="93">
        <f>'Fund Economics'!F30</f>
        <v>3.0332053459877915</v>
      </c>
    </row>
    <row r="15" spans="1:6" ht="15" customHeight="1" x14ac:dyDescent="0.2">
      <c r="A15" s="89" t="s">
        <v>461</v>
      </c>
      <c r="B15" s="91">
        <f>'Fund Economics'!B46</f>
        <v>4.2684439945294228</v>
      </c>
      <c r="C15" s="91">
        <f>'Fund Economics'!C46</f>
        <v>10.464416004235042</v>
      </c>
      <c r="D15" s="91">
        <f>'Fund Economics'!D46</f>
        <v>9.5853415765215055E-2</v>
      </c>
      <c r="E15" s="92">
        <f>'Fund Economics'!E46</f>
        <v>11.169709659036627</v>
      </c>
      <c r="F15" s="93">
        <f>'Fund Economics'!F46</f>
        <v>5.7083101303937855</v>
      </c>
    </row>
    <row r="16" spans="1:6" ht="15" customHeight="1" x14ac:dyDescent="0.2">
      <c r="A16" s="1"/>
      <c r="B16" s="1"/>
      <c r="C16" s="1"/>
      <c r="D16" s="1"/>
      <c r="E16" s="1"/>
      <c r="F16" s="1"/>
    </row>
    <row r="17" spans="1:6" ht="15" customHeight="1" x14ac:dyDescent="0.2">
      <c r="A17" s="1"/>
      <c r="B17" s="1"/>
      <c r="C17" s="1"/>
      <c r="D17" s="1"/>
      <c r="E17" s="1"/>
      <c r="F17" s="1"/>
    </row>
    <row r="18" spans="1:6" ht="15" customHeight="1" x14ac:dyDescent="0.2">
      <c r="A18" s="28" t="s">
        <v>463</v>
      </c>
      <c r="B18" s="1"/>
      <c r="C18" s="1"/>
      <c r="D18" s="1"/>
      <c r="E18" s="1"/>
      <c r="F18" s="1"/>
    </row>
    <row r="19" spans="1:6" ht="15" customHeight="1" x14ac:dyDescent="0.2">
      <c r="A19" s="12" t="s">
        <v>458</v>
      </c>
      <c r="B19" s="12" t="s">
        <v>50</v>
      </c>
      <c r="C19" s="12" t="s">
        <v>51</v>
      </c>
      <c r="D19" s="12" t="s">
        <v>52</v>
      </c>
      <c r="E19" s="21" t="s">
        <v>53</v>
      </c>
      <c r="F19" s="29" t="s">
        <v>64</v>
      </c>
    </row>
    <row r="20" spans="1:6" ht="15" customHeight="1" x14ac:dyDescent="0.2">
      <c r="A20" s="89" t="s">
        <v>459</v>
      </c>
      <c r="B20" s="94">
        <f>'Fund Economics'!B12</f>
        <v>501.1310276442041</v>
      </c>
      <c r="C20" s="94">
        <f>'Fund Economics'!C12</f>
        <v>771.95553687900406</v>
      </c>
      <c r="D20" s="94">
        <f>'Fund Economics'!D12</f>
        <v>101.2935256890875</v>
      </c>
      <c r="E20" s="95">
        <f>'Fund Economics'!E12</f>
        <v>780.79145484017158</v>
      </c>
      <c r="F20" s="96">
        <f>'Fund Economics'!F12</f>
        <v>517.2774931795359</v>
      </c>
    </row>
    <row r="21" spans="1:6" ht="15" customHeight="1" x14ac:dyDescent="0.2">
      <c r="A21" s="89" t="s">
        <v>460</v>
      </c>
      <c r="B21" s="94">
        <f>'Fund Economics'!B28</f>
        <v>673.19583062008201</v>
      </c>
      <c r="C21" s="94">
        <f>'Fund Economics'!C28</f>
        <v>1248.2954507152251</v>
      </c>
      <c r="D21" s="94">
        <f>'Fund Economics'!D28</f>
        <v>65.033688193607887</v>
      </c>
      <c r="E21" s="95">
        <f>'Fund Economics'!E28</f>
        <v>1284.6492329076295</v>
      </c>
      <c r="F21" s="96">
        <f>'Fund Economics'!F28</f>
        <v>758.3013364969479</v>
      </c>
    </row>
    <row r="22" spans="1:6" ht="15" customHeight="1" x14ac:dyDescent="0.2">
      <c r="A22" s="89" t="s">
        <v>461</v>
      </c>
      <c r="B22" s="94">
        <f>'Fund Economics'!B44</f>
        <v>1067.1109986323556</v>
      </c>
      <c r="C22" s="94">
        <f>'Fund Economics'!C44</f>
        <v>2616.1040010587608</v>
      </c>
      <c r="D22" s="94">
        <f>'Fund Economics'!D44</f>
        <v>23.963353941303765</v>
      </c>
      <c r="E22" s="95">
        <f>'Fund Economics'!E44</f>
        <v>2792.4274147591568</v>
      </c>
      <c r="F22" s="96">
        <f>'Fund Economics'!F44</f>
        <v>1427.0775325984464</v>
      </c>
    </row>
    <row r="23" spans="1:6" ht="15" customHeight="1" x14ac:dyDescent="0.2">
      <c r="A23" s="1"/>
      <c r="B23" s="1"/>
      <c r="C23" s="1"/>
      <c r="D23" s="1"/>
      <c r="E23" s="1"/>
      <c r="F23" s="1"/>
    </row>
    <row r="24" spans="1:6" ht="15" customHeight="1" x14ac:dyDescent="0.2">
      <c r="A24" s="1"/>
      <c r="B24" s="1"/>
      <c r="C24" s="1"/>
      <c r="D24" s="1"/>
      <c r="E24" s="1"/>
      <c r="F24" s="1"/>
    </row>
    <row r="25" spans="1:6" ht="15" customHeight="1" x14ac:dyDescent="0.2">
      <c r="A25" s="11" t="s">
        <v>84</v>
      </c>
      <c r="B25" s="1"/>
      <c r="C25" s="1"/>
      <c r="D25" s="1"/>
      <c r="E25" s="1"/>
      <c r="F25" s="1"/>
    </row>
    <row r="26" spans="1:6" ht="27.75" customHeight="1" x14ac:dyDescent="0.2">
      <c r="A26" s="100" t="s">
        <v>464</v>
      </c>
      <c r="B26" s="98"/>
      <c r="C26" s="98"/>
      <c r="D26" s="98"/>
      <c r="E26" s="98"/>
      <c r="F26" s="98"/>
    </row>
    <row r="27" spans="1:6" ht="40.5" customHeight="1" x14ac:dyDescent="0.2">
      <c r="A27" s="100" t="s">
        <v>465</v>
      </c>
      <c r="B27" s="98"/>
      <c r="C27" s="98"/>
      <c r="D27" s="98"/>
      <c r="E27" s="98"/>
      <c r="F27" s="98"/>
    </row>
    <row r="28" spans="1:6" ht="27.75" customHeight="1" x14ac:dyDescent="0.2">
      <c r="A28" s="100" t="s">
        <v>466</v>
      </c>
      <c r="B28" s="98"/>
      <c r="C28" s="98"/>
      <c r="D28" s="98"/>
      <c r="E28" s="98"/>
      <c r="F28" s="98"/>
    </row>
    <row r="29" spans="1:6" ht="27.75" customHeight="1" x14ac:dyDescent="0.2">
      <c r="A29" s="107" t="str">
        <f>"• Recommended: 7-year vehicle, base sizing, "&amp;TEXT(Assumptions!B7,"$#,##0")&amp;"M reserve steered to Substrate + EUV Tech + EdgeCortix pro-rata."</f>
        <v>• Recommended: 7-year vehicle, base sizing, $25M reserve steered to Substrate + EUV Tech + EdgeCortix pro-rata.</v>
      </c>
      <c r="B29" s="98"/>
      <c r="C29" s="98"/>
      <c r="D29" s="98"/>
      <c r="E29" s="98"/>
      <c r="F29" s="98"/>
    </row>
  </sheetData>
  <mergeCells count="4">
    <mergeCell ref="A26:F26"/>
    <mergeCell ref="A29:F29"/>
    <mergeCell ref="A28:F28"/>
    <mergeCell ref="A27:F27"/>
  </mergeCells>
  <printOptions horizontalCentered="1"/>
  <pageMargins left="0.4" right="0.4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 Me</vt:lpstr>
      <vt:lpstr>Holdco Summary</vt:lpstr>
      <vt:lpstr>Macro Overlay</vt:lpstr>
      <vt:lpstr>Assumptions</vt:lpstr>
      <vt:lpstr>Defense Supercycle</vt:lpstr>
      <vt:lpstr>Allocation</vt:lpstr>
      <vt:lpstr>Portfolio Returns</vt:lpstr>
      <vt:lpstr>Fund Economics</vt:lpstr>
      <vt:lpstr>IQT Clusters</vt:lpstr>
      <vt:lpstr>Weapons Sleeve</vt:lpstr>
      <vt:lpstr>Consumer Sleeve</vt:lpstr>
      <vt:lpstr>PME, DPI &amp; Sensitivity</vt:lpstr>
      <vt:lpstr>Scenario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Donald Ritts</cp:lastModifiedBy>
  <cp:revision>0</cp:revision>
  <dcterms:created xsi:type="dcterms:W3CDTF">2026-09-22T13:41:58Z</dcterms:created>
  <dcterms:modified xsi:type="dcterms:W3CDTF">2026-10-02T03:25:38Z</dcterms:modified>
  <dc:language>en-US</dc:language>
</cp:coreProperties>
</file>