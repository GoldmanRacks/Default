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Sources &amp; Uses" sheetId="3" state="visible" r:id="rId3"/>
    <sheet name="PropCo" sheetId="4" state="visible" r:id="rId4"/>
    <sheet name="OpCo" sheetId="5" state="visible" r:id="rId5"/>
    <sheet name="Returns" sheetId="6" state="visible" r:id="rId6"/>
    <sheet name="Sensitivities" sheetId="7" state="visible" r:id="rId7"/>
    <sheet name="Phase 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0.0&quot;x&quot;"/>
    <numFmt numFmtId="166" formatCode="0.0%;(0.0%);&quot;-&quot;"/>
    <numFmt numFmtId="167" formatCode="$#,##0"/>
    <numFmt numFmtId="168" formatCode="0.0"/>
    <numFmt numFmtId="169" formatCode="$#,##0.0;($#,##0.0);&quot;-&quot;"/>
    <numFmt numFmtId="170" formatCode="#,##0;(#,##0);&quot;-&quot;"/>
    <numFmt numFmtId="171" formatCode="$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A95228"/>
      <sz val="10"/>
    </font>
    <font>
      <name val="Arial"/>
      <i val="1"/>
      <color rgb="00727272"/>
      <sz val="9"/>
    </font>
    <font>
      <name val="Arial"/>
      <b val="1"/>
      <color rgb="00A95228"/>
      <sz val="12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E3DA"/>
      </patternFill>
    </fill>
    <fill>
      <patternFill patternType="solid">
        <fgColor rgb="00FFFF00"/>
      </patternFill>
    </fill>
    <fill>
      <patternFill patternType="solid">
        <fgColor rgb="001B5E5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8" fontId="7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  <xf numFmtId="1" fontId="8" fillId="3" borderId="0" pivotButton="0" quotePrefix="0" xfId="0"/>
    <xf numFmtId="0" fontId="9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/>
    </xf>
    <xf numFmtId="169" fontId="8" fillId="0" borderId="0" pivotButton="0" quotePrefix="0" xfId="0"/>
    <xf numFmtId="169" fontId="5" fillId="0" borderId="0" pivotButton="0" quotePrefix="0" xfId="0"/>
    <xf numFmtId="169" fontId="6" fillId="0" borderId="1" pivotButton="0" quotePrefix="0" xfId="0"/>
    <xf numFmtId="169" fontId="5" fillId="0" borderId="1" pivotButton="0" quotePrefix="0" xfId="0"/>
    <xf numFmtId="165" fontId="8" fillId="0" borderId="0" pivotButton="0" quotePrefix="0" xfId="0"/>
    <xf numFmtId="165" fontId="5" fillId="0" borderId="0" pivotButton="0" quotePrefix="0" xfId="0"/>
    <xf numFmtId="166" fontId="8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" fontId="8" fillId="0" borderId="0" pivotButton="0" quotePrefix="0" xfId="0"/>
    <xf numFmtId="168" fontId="8" fillId="0" borderId="0" pivotButton="0" quotePrefix="0" xfId="0"/>
    <xf numFmtId="168" fontId="5" fillId="0" borderId="0" pivotButton="0" quotePrefix="0" xfId="0"/>
    <xf numFmtId="171" fontId="8" fillId="0" borderId="0" pivotButton="0" quotePrefix="0" xfId="0"/>
    <xf numFmtId="169" fontId="7" fillId="0" borderId="0" pivotButton="0" quotePrefix="0" xfId="0"/>
    <xf numFmtId="166" fontId="5" fillId="0" borderId="0" pivotButton="0" quotePrefix="0" xfId="0"/>
    <xf numFmtId="169" fontId="6" fillId="0" borderId="0" pivotButton="0" quotePrefix="0" xfId="0"/>
    <xf numFmtId="0" fontId="3" fillId="0" borderId="0" applyAlignment="1" pivotButton="0" quotePrefix="0" xfId="0">
      <alignment wrapText="1"/>
    </xf>
    <xf numFmtId="1" fontId="5" fillId="0" borderId="0" pivotButton="0" quotePrefix="0" xfId="0"/>
    <xf numFmtId="170" fontId="7" fillId="0" borderId="0" pivotButton="0" quotePrefix="0" xfId="0"/>
    <xf numFmtId="167" fontId="5" fillId="0" borderId="0" pivotButton="0" quotePrefix="0" xfId="0"/>
    <xf numFmtId="166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C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70" customWidth="1" min="3" max="3"/>
  </cols>
  <sheetData>
    <row r="1">
      <c r="A1" s="1" t="inlineStr">
        <is>
          <t>Project Equity Belt — Investment Model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4" t="inlineStr">
        <is>
          <t>STAGE 1 MODEL</t>
        </is>
      </c>
      <c r="B5" s="5" t="n"/>
      <c r="C5" s="5" t="n"/>
    </row>
    <row r="6" ht="30" customHeight="1">
      <c r="A6" s="6" t="inlineStr">
        <is>
          <t>This model is in Stage 1 because of the accelerated timeline: Phase 1 capital must be committed before November 3, 2026. Returns are exit-based (entry and exit cash flows) using deal-team assumptions that match the IC memo dated October 5, 2026.</t>
        </is>
      </c>
    </row>
    <row r="7" ht="30" customHeight="1">
      <c r="A7" s="6" t="inlineStr">
        <is>
          <t>Stage 2 (before the Phase 2 IC in Q1 2027) adds: full OpCo debt schedule and cash sweep, quarterly build by carrier, diligence-validated carrier financials, tax structuring and fee/carry waterfall.</t>
        </is>
      </c>
    </row>
    <row r="9">
      <c r="A9" s="7" t="inlineStr">
        <is>
          <t>Deal team</t>
        </is>
      </c>
    </row>
    <row r="10">
      <c r="A10" s="8" t="inlineStr">
        <is>
          <t>Christopher James</t>
        </is>
      </c>
      <c r="B10" s="8" t="inlineStr">
        <is>
          <t>Global Head</t>
        </is>
      </c>
    </row>
    <row r="11">
      <c r="A11" s="8" t="inlineStr">
        <is>
          <t>John Watson</t>
        </is>
      </c>
      <c r="B11" s="8" t="inlineStr">
        <is>
          <t>Senior Managing Director</t>
        </is>
      </c>
    </row>
    <row r="12">
      <c r="A12" s="8" t="inlineStr">
        <is>
          <t>Joseph Cassanelli</t>
        </is>
      </c>
      <c r="B12" s="8" t="inlineStr">
        <is>
          <t>Legal &amp; Compliance</t>
        </is>
      </c>
    </row>
    <row r="13">
      <c r="A13" s="8" t="inlineStr">
        <is>
          <t>Donald B Ritts III</t>
        </is>
      </c>
      <c r="B13" s="8" t="inlineStr">
        <is>
          <t>Senior Associate</t>
        </is>
      </c>
    </row>
    <row r="15">
      <c r="A15" s="7" t="inlineStr">
        <is>
          <t>Key outputs (selected scenario)</t>
        </is>
      </c>
    </row>
    <row r="16">
      <c r="A16" t="inlineStr">
        <is>
          <t>Scenario</t>
        </is>
      </c>
      <c r="B16" s="9">
        <f>Assumptions!F6</f>
        <v/>
      </c>
    </row>
    <row r="17">
      <c r="A17" s="8" t="inlineStr">
        <is>
          <t>Total capitalization ($mm)</t>
        </is>
      </c>
      <c r="B17" s="10">
        <f>'Sources &amp; Uses'!C12</f>
        <v/>
      </c>
    </row>
    <row r="18">
      <c r="A18" s="8" t="inlineStr">
        <is>
          <t>Tac Opps equity ($mm)</t>
        </is>
      </c>
      <c r="B18" s="10">
        <f>'Sources &amp; Uses'!G6</f>
        <v/>
      </c>
    </row>
    <row r="19">
      <c r="A19" s="8" t="inlineStr">
        <is>
          <t>BIP equity ($mm)</t>
        </is>
      </c>
      <c r="B19" s="10">
        <f>'Sources &amp; Uses'!G7</f>
        <v/>
      </c>
    </row>
    <row r="20">
      <c r="A20" s="8" t="inlineStr">
        <is>
          <t>OpCo (Tac Opps) MOIC</t>
        </is>
      </c>
      <c r="B20" s="11">
        <f>OpCo!C30</f>
        <v/>
      </c>
    </row>
    <row r="21">
      <c r="A21" s="8" t="inlineStr">
        <is>
          <t>OpCo (Tac Opps) IRR</t>
        </is>
      </c>
      <c r="B21" s="12">
        <f>OpCo!C31</f>
        <v/>
      </c>
    </row>
    <row r="22">
      <c r="A22" s="8" t="inlineStr">
        <is>
          <t>PropCo (BIP) MOIC</t>
        </is>
      </c>
      <c r="B22" s="11">
        <f>PropCo!C24</f>
        <v/>
      </c>
    </row>
    <row r="23">
      <c r="A23" s="8" t="inlineStr">
        <is>
          <t>PropCo (BIP) IRR</t>
        </is>
      </c>
      <c r="B23" s="12">
        <f>PropCo!C25</f>
        <v/>
      </c>
    </row>
    <row r="24">
      <c r="A24" s="8" t="inlineStr">
        <is>
          <t>Combined Blackstone IRR</t>
        </is>
      </c>
      <c r="B24" s="12">
        <f>Returns!C32</f>
        <v/>
      </c>
    </row>
    <row r="25">
      <c r="A25" s="8" t="inlineStr">
        <is>
          <t>Avg payout per employee ($000)</t>
        </is>
      </c>
      <c r="B25" s="13">
        <f>OpCo!C35</f>
        <v/>
      </c>
    </row>
    <row r="26">
      <c r="A26" s="8" t="inlineStr">
        <is>
          <t>Months of salary</t>
        </is>
      </c>
      <c r="B26" s="14">
        <f>OpCo!C36</f>
        <v/>
      </c>
    </row>
    <row r="28">
      <c r="A28" s="7" t="inlineStr">
        <is>
          <t>Legend</t>
        </is>
      </c>
    </row>
    <row r="29">
      <c r="A29" s="15" t="inlineStr">
        <is>
          <t>Blue text</t>
        </is>
      </c>
      <c r="B29" s="8" t="inlineStr">
        <is>
          <t>Hard-coded input — edit these on the Assumptions tab</t>
        </is>
      </c>
    </row>
    <row r="30">
      <c r="A30" s="8" t="inlineStr">
        <is>
          <t>Black text</t>
        </is>
      </c>
      <c r="B30" s="8" t="inlineStr">
        <is>
          <t>Formula</t>
        </is>
      </c>
    </row>
    <row r="31">
      <c r="A31" s="9" t="inlineStr">
        <is>
          <t>Green text</t>
        </is>
      </c>
      <c r="B31" s="8" t="inlineStr">
        <is>
          <t>Link to another tab</t>
        </is>
      </c>
    </row>
    <row r="32">
      <c r="A32" s="16" t="inlineStr">
        <is>
          <t>Yellow fill</t>
        </is>
      </c>
      <c r="B32" s="8" t="inlineStr">
        <is>
          <t>Scenario selector (Assumptions!C5): 1 = Downside, 2 = Base, 3 = Upside</t>
        </is>
      </c>
    </row>
    <row r="34">
      <c r="A34" s="7" t="inlineStr">
        <is>
          <t>Tabs</t>
        </is>
      </c>
    </row>
    <row r="35">
      <c r="A35" s="8" t="inlineStr">
        <is>
          <t>Assumptions</t>
        </is>
      </c>
      <c r="B35" s="8" t="inlineStr">
        <is>
          <t>All inputs, by scenario</t>
        </is>
      </c>
    </row>
    <row r="36">
      <c r="A36" s="8" t="inlineStr">
        <is>
          <t>Sources &amp; Uses</t>
        </is>
      </c>
      <c r="B36" s="8" t="inlineStr">
        <is>
          <t>Capitalization and fund split</t>
        </is>
      </c>
    </row>
    <row r="37">
      <c r="A37" s="8" t="inlineStr">
        <is>
          <t>OpCo</t>
        </is>
      </c>
      <c r="B37" s="8" t="inlineStr">
        <is>
          <t>Tac Opps operating company: EBITDAR build and Exit A returns</t>
        </is>
      </c>
    </row>
    <row r="38">
      <c r="A38" s="8" t="inlineStr">
        <is>
          <t>PropCo</t>
        </is>
      </c>
      <c r="B38" s="8" t="inlineStr">
        <is>
          <t>BIP fleet and terminal property company: lease cash flows and returns</t>
        </is>
      </c>
    </row>
    <row r="39">
      <c r="A39" s="8" t="inlineStr">
        <is>
          <t>Returns</t>
        </is>
      </c>
      <c r="B39" s="8" t="inlineStr">
        <is>
          <t>All scenarios, combined Blackstone view, Exit B (ESOP)</t>
        </is>
      </c>
    </row>
    <row r="40">
      <c r="A40" s="8" t="inlineStr">
        <is>
          <t>Sensitivities</t>
        </is>
      </c>
      <c r="B40" s="8" t="inlineStr">
        <is>
          <t>OpCo IRR grid; diesel exposure grid</t>
        </is>
      </c>
    </row>
    <row r="41">
      <c r="A41" s="8" t="inlineStr">
        <is>
          <t>Phase 1</t>
        </is>
      </c>
      <c r="B41" s="8" t="inlineStr">
        <is>
          <t>Pre-Nov 3 deployment ($48M) and key dates</t>
        </is>
      </c>
    </row>
    <row r="43" ht="40" customHeight="1">
      <c r="A43" s="17" t="inlineStr">
        <is>
          <t>Sources: AP (Oct 3, 2026) on Navistar Springfield layoffs; FreightWaves / Newsweek on carrier bankruptcies and $6.37/gal diesel; Blackstone (QTS ownership by BIP and BREIT); internal paper "The Ownership Realignment"; Ownership Works C.H.I. case. All model inputs are deal-team estimates (illustrative, unaudited).</t>
        </is>
      </c>
    </row>
  </sheetData>
  <mergeCells count="3">
    <mergeCell ref="A7:C7"/>
    <mergeCell ref="A43:C43"/>
    <mergeCell ref="A6:C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G6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Assumptions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7" t="inlineStr">
        <is>
          <t>Scenario selector (1 = Downside, 2 = Base, 3 = Upside)</t>
        </is>
      </c>
      <c r="C5" s="18" t="n">
        <v>2</v>
      </c>
    </row>
    <row r="6">
      <c r="A6" s="8" t="inlineStr">
        <is>
          <t>Selected scenario</t>
        </is>
      </c>
      <c r="F6" s="8">
        <f>INDEX(C8:E8,1,$C$5)</f>
        <v/>
      </c>
    </row>
    <row r="8">
      <c r="A8" s="19" t="inlineStr">
        <is>
          <t>Scenario inputs ($mm)</t>
        </is>
      </c>
      <c r="B8" s="20" t="inlineStr"/>
      <c r="C8" s="20" t="inlineStr">
        <is>
          <t>Downside</t>
        </is>
      </c>
      <c r="D8" s="20" t="inlineStr">
        <is>
          <t>Base</t>
        </is>
      </c>
      <c r="E8" s="20" t="inlineStr">
        <is>
          <t>Upside</t>
        </is>
      </c>
      <c r="F8" s="20" t="inlineStr">
        <is>
          <t>Selected</t>
        </is>
      </c>
      <c r="G8" s="21" t="inlineStr">
        <is>
          <t>Note</t>
        </is>
      </c>
    </row>
    <row r="9">
      <c r="A9" s="8" t="inlineStr">
        <is>
          <t>Normalized EBITDAR</t>
        </is>
      </c>
      <c r="C9" s="22" t="n">
        <v>36</v>
      </c>
      <c r="D9" s="22" t="n">
        <v>36</v>
      </c>
      <c r="E9" s="22" t="n">
        <v>36</v>
      </c>
      <c r="F9" s="23">
        <f>INDEX(C9:E9,1,$C$5)</f>
        <v/>
      </c>
      <c r="G9" s="3" t="inlineStr">
        <is>
          <t>Platform $15M + six distressed carriers $21M (normalized)</t>
        </is>
      </c>
    </row>
    <row r="10">
      <c r="A10" s="8" t="inlineStr">
        <is>
          <t>Fuel &amp; procurement synergies (Y4)</t>
        </is>
      </c>
      <c r="C10" s="22" t="n">
        <v>4</v>
      </c>
      <c r="D10" s="22" t="n">
        <v>8</v>
      </c>
      <c r="E10" s="22" t="n">
        <v>12</v>
      </c>
      <c r="F10" s="23">
        <f>INDEX(C10:E10,1,$C$5)</f>
        <v/>
      </c>
      <c r="G10" s="3" t="inlineStr">
        <is>
          <t>Base ≈ 2% of ~$350M revenue</t>
        </is>
      </c>
    </row>
    <row r="11">
      <c r="A11" s="8" t="inlineStr">
        <is>
          <t>Retention savings from employee ownership (Y4)</t>
        </is>
      </c>
      <c r="C11" s="22" t="n">
        <v>2</v>
      </c>
      <c r="D11" s="22" t="n">
        <v>7</v>
      </c>
      <c r="E11" s="22" t="n">
        <v>10</v>
      </c>
      <c r="F11" s="23">
        <f>INDEX(C11:E11,1,$C$5)</f>
        <v/>
      </c>
      <c r="G11" s="3" t="inlineStr">
        <is>
          <t>Base cross-check in row 44</t>
        </is>
      </c>
    </row>
    <row r="12">
      <c r="A12" s="8" t="inlineStr">
        <is>
          <t>Arsenal-1 / QTS dedicated growth (Y4)</t>
        </is>
      </c>
      <c r="C12" s="22" t="n">
        <v>3</v>
      </c>
      <c r="D12" s="22" t="n">
        <v>16</v>
      </c>
      <c r="E12" s="22" t="n">
        <v>32</v>
      </c>
      <c r="F12" s="23">
        <f>INDEX(C12:E12,1,$C$5)</f>
        <v/>
      </c>
      <c r="G12" s="3" t="inlineStr">
        <is>
          <t>Requires signed LOIs before Phase 2</t>
        </is>
      </c>
    </row>
    <row r="13">
      <c r="A13" s="7" t="inlineStr">
        <is>
          <t>Y4 EBITDAR</t>
        </is>
      </c>
      <c r="C13" s="24">
        <f>SUM(C9:C12)</f>
        <v/>
      </c>
      <c r="D13" s="24">
        <f>SUM(D9:D12)</f>
        <v/>
      </c>
      <c r="E13" s="24">
        <f>SUM(E9:E12)</f>
        <v/>
      </c>
      <c r="F13" s="25">
        <f>INDEX(C13:E13,1,$C$5)</f>
        <v/>
      </c>
      <c r="G13" s="3" t="inlineStr">
        <is>
          <t>Sum of rows 9–12</t>
        </is>
      </c>
    </row>
    <row r="14">
      <c r="A14" s="8" t="inlineStr">
        <is>
          <t>Exit multiple on OpCo EBITDA (x)</t>
        </is>
      </c>
      <c r="C14" s="26" t="n">
        <v>6.5</v>
      </c>
      <c r="D14" s="26" t="n">
        <v>8</v>
      </c>
      <c r="E14" s="26" t="n">
        <v>9</v>
      </c>
      <c r="F14" s="27">
        <f>INDEX(C14:E14,1,$C$5)</f>
        <v/>
      </c>
      <c r="G14" s="3" t="inlineStr">
        <is>
          <t>Exit A: sale to strategic or sponsor</t>
        </is>
      </c>
    </row>
    <row r="15">
      <c r="A15" s="8" t="inlineStr">
        <is>
          <t>Exit net debt, OpCo ($mm)</t>
        </is>
      </c>
      <c r="C15" s="22" t="n">
        <v>35</v>
      </c>
      <c r="D15" s="22" t="n">
        <v>20</v>
      </c>
      <c r="E15" s="22" t="n">
        <v>15</v>
      </c>
      <c r="F15" s="23">
        <f>INDEX(C15:E15,1,$C$5)</f>
        <v/>
      </c>
      <c r="G15" s="3" t="inlineStr">
        <is>
          <t>Stage 1 input; Stage 2 replaces with debt schedule</t>
        </is>
      </c>
    </row>
    <row r="17">
      <c r="A17" s="19" t="inlineStr">
        <is>
          <t>Transaction</t>
        </is>
      </c>
      <c r="B17" s="20" t="inlineStr"/>
      <c r="C17" s="20" t="inlineStr">
        <is>
          <t>Value</t>
        </is>
      </c>
      <c r="D17" s="20" t="inlineStr"/>
      <c r="E17" s="20" t="inlineStr"/>
      <c r="F17" s="20" t="inlineStr"/>
      <c r="G17" s="21" t="inlineStr">
        <is>
          <t>Note</t>
        </is>
      </c>
    </row>
    <row r="18">
      <c r="A18" s="8" t="inlineStr">
        <is>
          <t>Platform carrier EBITDA ($mm)</t>
        </is>
      </c>
      <c r="C18" s="22" t="n">
        <v>15</v>
      </c>
      <c r="G18" s="3" t="inlineStr">
        <is>
          <t>Healthy flatbed / heavy-haul carrier</t>
        </is>
      </c>
    </row>
    <row r="19">
      <c r="A19" s="8" t="inlineStr">
        <is>
          <t>Platform entry multiple (x)</t>
        </is>
      </c>
      <c r="C19" s="26" t="n">
        <v>6.5</v>
      </c>
      <c r="G19" s="3" t="inlineStr">
        <is>
          <t>Route D</t>
        </is>
      </c>
    </row>
    <row r="20">
      <c r="A20" s="8" t="inlineStr">
        <is>
          <t>Distressed carriers normalized EBITDA ($mm)</t>
        </is>
      </c>
      <c r="C20" s="22" t="n">
        <v>21</v>
      </c>
      <c r="G20" s="3" t="inlineStr">
        <is>
          <t>Six Chapter 11 / 363 targets</t>
        </is>
      </c>
    </row>
    <row r="21">
      <c r="A21" s="8" t="inlineStr">
        <is>
          <t>Distressed entry multiple (x)</t>
        </is>
      </c>
      <c r="C21" s="26" t="n">
        <v>3</v>
      </c>
      <c r="G21" s="3" t="inlineStr">
        <is>
          <t>Routes A/B; 2.5–3.5x range</t>
        </is>
      </c>
    </row>
    <row r="22">
      <c r="A22" s="8" t="inlineStr">
        <is>
          <t>Chapter 7 fleet &amp; yard purchases ($mm)</t>
        </is>
      </c>
      <c r="C22" s="22" t="n">
        <v>20</v>
      </c>
      <c r="G22" s="3" t="inlineStr">
        <is>
          <t>Route C; 50–65% of replacement cost</t>
        </is>
      </c>
    </row>
    <row r="23">
      <c r="A23" s="8" t="inlineStr">
        <is>
          <t>Turnaround working capital &amp; capex ($mm)</t>
        </is>
      </c>
      <c r="C23" s="22" t="n">
        <v>15</v>
      </c>
      <c r="G23" s="3" t="inlineStr"/>
    </row>
    <row r="24">
      <c r="A24" s="8" t="inlineStr">
        <is>
          <t>Fees &amp; expenses ($mm)</t>
        </is>
      </c>
      <c r="C24" s="22" t="n">
        <v>10.5</v>
      </c>
      <c r="G24" s="3" t="inlineStr">
        <is>
          <t>Memo shows $10M (rounded)</t>
        </is>
      </c>
    </row>
    <row r="25">
      <c r="A25" s="8" t="inlineStr">
        <is>
          <t>OpCo senior debt ($mm)</t>
        </is>
      </c>
      <c r="C25" s="22" t="n">
        <v>45</v>
      </c>
      <c r="G25" s="3" t="inlineStr">
        <is>
          <t>About 2.0x Y0 OpCo EBITDA</t>
        </is>
      </c>
    </row>
    <row r="27">
      <c r="A27" s="19" t="inlineStr">
        <is>
          <t>PropCo / FleetCo (BIP)</t>
        </is>
      </c>
      <c r="B27" s="20" t="inlineStr"/>
      <c r="C27" s="20" t="inlineStr">
        <is>
          <t>Value</t>
        </is>
      </c>
      <c r="D27" s="20" t="inlineStr"/>
      <c r="E27" s="20" t="inlineStr"/>
      <c r="F27" s="20" t="inlineStr"/>
      <c r="G27" s="21" t="inlineStr">
        <is>
          <t>Note</t>
        </is>
      </c>
    </row>
    <row r="28">
      <c r="A28" s="8" t="inlineStr">
        <is>
          <t>Fleet assets ($mm)</t>
        </is>
      </c>
      <c r="C28" s="22" t="n">
        <v>70</v>
      </c>
      <c r="G28" s="3" t="inlineStr">
        <is>
          <t>Tractors and trailers incl. Chapter 7 purchases</t>
        </is>
      </c>
    </row>
    <row r="29">
      <c r="A29" s="8" t="inlineStr">
        <is>
          <t>Real estate ($mm)</t>
        </is>
      </c>
      <c r="C29" s="22" t="n">
        <v>30</v>
      </c>
      <c r="G29" s="3" t="inlineStr">
        <is>
          <t>Terminals, yards, transload, training campus</t>
        </is>
      </c>
    </row>
    <row r="30">
      <c r="A30" s="8" t="inlineStr">
        <is>
          <t>Lease rate (% of asset value)</t>
        </is>
      </c>
      <c r="C30" s="28" t="n">
        <v>0.13</v>
      </c>
      <c r="G30" s="3" t="inlineStr">
        <is>
          <t>Triple-net master lease to OpCo</t>
        </is>
      </c>
    </row>
    <row r="31">
      <c r="A31" s="8" t="inlineStr">
        <is>
          <t>Lease escalator (annual)</t>
        </is>
      </c>
      <c r="C31" s="28" t="n">
        <v>0.025</v>
      </c>
      <c r="G31" s="3" t="inlineStr"/>
    </row>
    <row r="32">
      <c r="A32" s="8" t="inlineStr">
        <is>
          <t>PropCo asset-backed debt ($mm)</t>
        </is>
      </c>
      <c r="C32" s="22" t="n">
        <v>55</v>
      </c>
      <c r="G32" s="3" t="inlineStr"/>
    </row>
    <row r="33">
      <c r="A33" s="8" t="inlineStr">
        <is>
          <t>PropCo interest rate</t>
        </is>
      </c>
      <c r="C33" s="28" t="n">
        <v>0.07000000000000001</v>
      </c>
      <c r="G33" s="3" t="inlineStr"/>
    </row>
    <row r="34">
      <c r="A34" s="8" t="inlineStr">
        <is>
          <t>Fleet replacement reserve (% of fleet)</t>
        </is>
      </c>
      <c r="C34" s="28" t="n">
        <v>0.06</v>
      </c>
      <c r="G34" s="3" t="inlineStr">
        <is>
          <t>Keeps fleet value flat over hold</t>
        </is>
      </c>
    </row>
    <row r="35">
      <c r="A35" s="8" t="inlineStr">
        <is>
          <t>Real estate appreciation (annual)</t>
        </is>
      </c>
      <c r="C35" s="28" t="n">
        <v>0.03</v>
      </c>
      <c r="G35" s="3" t="inlineStr"/>
    </row>
    <row r="37">
      <c r="A37" s="19" t="inlineStr">
        <is>
          <t>Workforce &amp; ownership</t>
        </is>
      </c>
      <c r="B37" s="20" t="inlineStr"/>
      <c r="C37" s="20" t="inlineStr">
        <is>
          <t>Value</t>
        </is>
      </c>
      <c r="D37" s="20" t="inlineStr"/>
      <c r="E37" s="20" t="inlineStr"/>
      <c r="F37" s="20" t="inlineStr"/>
      <c r="G37" s="21" t="inlineStr">
        <is>
          <t>Note</t>
        </is>
      </c>
    </row>
    <row r="38">
      <c r="A38" s="8" t="inlineStr">
        <is>
          <t>Employees</t>
        </is>
      </c>
      <c r="C38" s="29" t="n">
        <v>1500</v>
      </c>
      <c r="G38" s="3" t="inlineStr">
        <is>
          <t>Drivers, technicians, dispatch, yard</t>
        </is>
      </c>
    </row>
    <row r="39">
      <c r="A39" s="8" t="inlineStr">
        <is>
          <t>Average salary ($000)</t>
        </is>
      </c>
      <c r="C39" s="30" t="n">
        <v>65</v>
      </c>
      <c r="G39" s="3" t="inlineStr"/>
    </row>
    <row r="40">
      <c r="A40" s="8" t="inlineStr">
        <is>
          <t>Employee equity pool (% of exit equity)</t>
        </is>
      </c>
      <c r="C40" s="28" t="n">
        <v>0.18</v>
      </c>
      <c r="G40" s="3" t="inlineStr">
        <is>
          <t>Ownership Works target: 6–12 months of salary</t>
        </is>
      </c>
    </row>
    <row r="41">
      <c r="A41" s="8" t="inlineStr">
        <is>
          <t>Driver turnover — current</t>
        </is>
      </c>
      <c r="C41" s="28" t="n">
        <v>0.6</v>
      </c>
      <c r="G41" s="3" t="inlineStr"/>
    </row>
    <row r="42">
      <c r="A42" s="8" t="inlineStr">
        <is>
          <t>Driver turnover — target</t>
        </is>
      </c>
      <c r="C42" s="28" t="n">
        <v>0.2</v>
      </c>
      <c r="G42" s="3" t="inlineStr"/>
    </row>
    <row r="43">
      <c r="A43" s="8" t="inlineStr">
        <is>
          <t>Cost per replacement hire ($000)</t>
        </is>
      </c>
      <c r="C43" s="30" t="n">
        <v>12</v>
      </c>
      <c r="G43" s="3" t="inlineStr">
        <is>
          <t>Recruiting, onboarding, lost utilization</t>
        </is>
      </c>
    </row>
    <row r="44">
      <c r="A44" s="8" t="inlineStr">
        <is>
          <t>Retention savings cross-check ($mm)</t>
        </is>
      </c>
      <c r="C44" s="23">
        <f>(C41-C42)*C38*C43/1000</f>
        <v/>
      </c>
      <c r="G44" s="3" t="inlineStr">
        <is>
          <t>Compare with Base row 11</t>
        </is>
      </c>
    </row>
    <row r="46">
      <c r="A46" s="19" t="inlineStr">
        <is>
          <t>Hold &amp; exit</t>
        </is>
      </c>
      <c r="B46" s="20" t="inlineStr"/>
      <c r="C46" s="20" t="inlineStr">
        <is>
          <t>Value</t>
        </is>
      </c>
      <c r="D46" s="20" t="inlineStr"/>
      <c r="E46" s="20" t="inlineStr"/>
      <c r="F46" s="20" t="inlineStr"/>
      <c r="G46" s="21" t="inlineStr">
        <is>
          <t>Note</t>
        </is>
      </c>
    </row>
    <row r="47">
      <c r="A47" s="8" t="inlineStr">
        <is>
          <t>Hold period (years)</t>
        </is>
      </c>
      <c r="C47" s="31" t="n">
        <v>4</v>
      </c>
      <c r="G47" s="3" t="inlineStr"/>
    </row>
    <row r="48">
      <c r="A48" s="8" t="inlineStr">
        <is>
          <t>Exit B: ESOP purchase multiple (x)</t>
        </is>
      </c>
      <c r="C48" s="26" t="n">
        <v>7</v>
      </c>
      <c r="G48" s="3" t="inlineStr">
        <is>
          <t>100% S-corp ESOP</t>
        </is>
      </c>
    </row>
    <row r="49">
      <c r="A49" s="8" t="inlineStr">
        <is>
          <t>Exit B: cash at close (%)</t>
        </is>
      </c>
      <c r="C49" s="28" t="n">
        <v>0.6</v>
      </c>
      <c r="G49" s="3" t="inlineStr">
        <is>
          <t>Senior ESOP acquisition debt (BIP can provide)</t>
        </is>
      </c>
    </row>
    <row r="50">
      <c r="A50" s="8" t="inlineStr">
        <is>
          <t>Exit B: seller note rate</t>
        </is>
      </c>
      <c r="C50" s="28" t="n">
        <v>0.08</v>
      </c>
      <c r="G50" s="3" t="inlineStr"/>
    </row>
    <row r="51">
      <c r="A51" s="8" t="inlineStr">
        <is>
          <t>Exit B: seller note term (years)</t>
        </is>
      </c>
      <c r="C51" s="31" t="n">
        <v>5</v>
      </c>
      <c r="G51" s="3" t="inlineStr">
        <is>
          <t>Level amortization</t>
        </is>
      </c>
    </row>
    <row r="53">
      <c r="A53" s="19" t="inlineStr">
        <is>
          <t>Diesel</t>
        </is>
      </c>
      <c r="B53" s="20" t="inlineStr"/>
      <c r="C53" s="20" t="inlineStr">
        <is>
          <t>Value</t>
        </is>
      </c>
      <c r="D53" s="20" t="inlineStr"/>
      <c r="E53" s="20" t="inlineStr"/>
      <c r="F53" s="20" t="inlineStr"/>
      <c r="G53" s="21" t="inlineStr">
        <is>
          <t>Note</t>
        </is>
      </c>
    </row>
    <row r="54">
      <c r="A54" s="8" t="inlineStr">
        <is>
          <t>Trucks</t>
        </is>
      </c>
      <c r="C54" s="29" t="n">
        <v>1500</v>
      </c>
      <c r="G54" s="3" t="inlineStr"/>
    </row>
    <row r="55">
      <c r="A55" s="8" t="inlineStr">
        <is>
          <t>Annual miles per truck</t>
        </is>
      </c>
      <c r="C55" s="29" t="n">
        <v>100000</v>
      </c>
      <c r="G55" s="3" t="inlineStr"/>
    </row>
    <row r="56">
      <c r="A56" s="8" t="inlineStr">
        <is>
          <t>Miles per gallon</t>
        </is>
      </c>
      <c r="C56" s="32" t="n">
        <v>6.5</v>
      </c>
      <c r="G56" s="3" t="inlineStr"/>
    </row>
    <row r="57">
      <c r="A57" s="8" t="inlineStr">
        <is>
          <t>Fuel-surcharge pass-through (% of cost)</t>
        </is>
      </c>
      <c r="C57" s="28" t="n">
        <v>0.5</v>
      </c>
      <c r="G57" s="3" t="inlineStr">
        <is>
          <t>Dedicated contracts</t>
        </is>
      </c>
    </row>
    <row r="58">
      <c r="A58" s="8" t="inlineStr">
        <is>
          <t>Hedge ratio (12-month volume)</t>
        </is>
      </c>
      <c r="C58" s="28" t="n">
        <v>0.5</v>
      </c>
      <c r="G58" s="3" t="inlineStr">
        <is>
          <t>Policy range 50–70%</t>
        </is>
      </c>
    </row>
    <row r="59">
      <c r="A59" s="8" t="inlineStr">
        <is>
          <t>Annual gallons (mm)</t>
        </is>
      </c>
      <c r="C59" s="33">
        <f>C54*C55/C56/1000000</f>
        <v/>
      </c>
      <c r="G59" s="3" t="inlineStr"/>
    </row>
    <row r="60">
      <c r="A60" s="8" t="inlineStr">
        <is>
          <t>Record national average diesel ($/gal)</t>
        </is>
      </c>
      <c r="C60" s="34" t="n">
        <v>6.37</v>
      </c>
      <c r="G60" s="3" t="inlineStr">
        <is>
          <t>FreightWaves / Newsweek, Sep 2026</t>
        </is>
      </c>
    </row>
    <row r="62">
      <c r="A62" s="19" t="inlineStr">
        <is>
          <t>Synergy ramp</t>
        </is>
      </c>
      <c r="B62" s="20" t="inlineStr"/>
      <c r="C62" s="20" t="inlineStr">
        <is>
          <t>Y1</t>
        </is>
      </c>
      <c r="D62" s="20" t="inlineStr">
        <is>
          <t>Y2</t>
        </is>
      </c>
      <c r="E62" s="20" t="inlineStr">
        <is>
          <t>Y3</t>
        </is>
      </c>
      <c r="F62" s="20" t="inlineStr">
        <is>
          <t>Y4</t>
        </is>
      </c>
      <c r="G62" s="20" t="inlineStr">
        <is>
          <t>Note</t>
        </is>
      </c>
    </row>
    <row r="63">
      <c r="A63" s="8" t="inlineStr">
        <is>
          <t>Share of Y4 synergies realized</t>
        </is>
      </c>
      <c r="C63" s="28" t="n">
        <v>0.25</v>
      </c>
      <c r="D63" s="28" t="n">
        <v>0.5</v>
      </c>
      <c r="E63" s="28" t="n">
        <v>0.75</v>
      </c>
      <c r="F63" s="28" t="n">
        <v>1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H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" customWidth="1" min="4" max="4"/>
    <col width="3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Sources &amp; Uses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19" t="inlineStr">
        <is>
          <t>Uses</t>
        </is>
      </c>
      <c r="B5" s="20" t="inlineStr"/>
      <c r="C5" s="20" t="inlineStr">
        <is>
          <t>$mm</t>
        </is>
      </c>
      <c r="E5" s="19" t="inlineStr">
        <is>
          <t>Sources</t>
        </is>
      </c>
      <c r="F5" s="20" t="inlineStr"/>
      <c r="G5" s="20" t="inlineStr">
        <is>
          <t>$mm</t>
        </is>
      </c>
      <c r="H5" s="20" t="inlineStr">
        <is>
          <t>% total</t>
        </is>
      </c>
    </row>
    <row r="6">
      <c r="A6" s="8" t="inlineStr">
        <is>
          <t>Specialized platform carrier</t>
        </is>
      </c>
      <c r="C6" s="35">
        <f>Assumptions!C18*Assumptions!C19</f>
        <v/>
      </c>
      <c r="E6" s="8" t="inlineStr">
        <is>
          <t>Tac Opps equity (OpCo)</t>
        </is>
      </c>
      <c r="G6" s="23">
        <f>C12-G8-G9-G7</f>
        <v/>
      </c>
      <c r="H6" s="36">
        <f>G6/$G$12</f>
        <v/>
      </c>
    </row>
    <row r="7">
      <c r="A7" s="8" t="inlineStr">
        <is>
          <t>6 distressed carriers</t>
        </is>
      </c>
      <c r="C7" s="35">
        <f>Assumptions!C20*Assumptions!C21</f>
        <v/>
      </c>
      <c r="E7" s="8" t="inlineStr">
        <is>
          <t>BIP equity (PropCo)</t>
        </is>
      </c>
      <c r="G7" s="35">
        <f>Assumptions!C28+Assumptions!C29-Assumptions!C32</f>
        <v/>
      </c>
      <c r="H7" s="36">
        <f>G7/$G$12</f>
        <v/>
      </c>
    </row>
    <row r="8">
      <c r="A8" s="8" t="inlineStr">
        <is>
          <t>Chapter 7 fleet &amp; yards</t>
        </is>
      </c>
      <c r="C8" s="35">
        <f>Assumptions!C22</f>
        <v/>
      </c>
      <c r="E8" s="8" t="inlineStr">
        <is>
          <t>PropCo asset-backed debt</t>
        </is>
      </c>
      <c r="G8" s="35">
        <f>Assumptions!C32</f>
        <v/>
      </c>
      <c r="H8" s="36">
        <f>G8/$G$12</f>
        <v/>
      </c>
    </row>
    <row r="9">
      <c r="A9" s="8" t="inlineStr">
        <is>
          <t>Turnaround working capital &amp; capex</t>
        </is>
      </c>
      <c r="C9" s="35">
        <f>Assumptions!C23</f>
        <v/>
      </c>
      <c r="E9" s="8" t="inlineStr">
        <is>
          <t>OpCo senior debt</t>
        </is>
      </c>
      <c r="G9" s="35">
        <f>Assumptions!C25</f>
        <v/>
      </c>
      <c r="H9" s="36">
        <f>G9/$G$12</f>
        <v/>
      </c>
    </row>
    <row r="10">
      <c r="A10" s="8" t="inlineStr">
        <is>
          <t>Fees &amp; expenses</t>
        </is>
      </c>
      <c r="C10" s="35">
        <f>Assumptions!C24</f>
        <v/>
      </c>
    </row>
    <row r="12">
      <c r="A12" s="7" t="inlineStr">
        <is>
          <t>Total uses</t>
        </is>
      </c>
      <c r="C12" s="24">
        <f>SUM(C6:C10)</f>
        <v/>
      </c>
      <c r="E12" s="7" t="inlineStr">
        <is>
          <t>Total sources</t>
        </is>
      </c>
      <c r="G12" s="24">
        <f>SUM(G6:G9)</f>
        <v/>
      </c>
    </row>
    <row r="13">
      <c r="A13" t="inlineStr">
        <is>
          <t>All-in entry multiple on normalized EBITDAR</t>
        </is>
      </c>
      <c r="C13" s="27">
        <f>C12/Assumptions!F9</f>
        <v/>
      </c>
      <c r="E13" t="inlineStr">
        <is>
          <t>Check: sources − uses</t>
        </is>
      </c>
      <c r="G13" s="23">
        <f>G12-C12</f>
        <v/>
      </c>
    </row>
    <row r="15">
      <c r="A15" s="7" t="inlineStr">
        <is>
          <t>PropCo carve-out (sale-leaseback of hard assets)</t>
        </is>
      </c>
      <c r="E15" s="7" t="inlineStr">
        <is>
          <t>Blackstone equity</t>
        </is>
      </c>
      <c r="G15" s="37">
        <f>G6+G7</f>
        <v/>
      </c>
    </row>
    <row r="16">
      <c r="A16" t="inlineStr">
        <is>
          <t>Fleet assets</t>
        </is>
      </c>
      <c r="C16" s="35">
        <f>Assumptions!C28</f>
        <v/>
      </c>
      <c r="E16" s="8" t="inlineStr">
        <is>
          <t>Single-fund Tac Opps equity (prior structure)</t>
        </is>
      </c>
      <c r="G16" s="22" t="n">
        <v>111</v>
      </c>
    </row>
    <row r="17">
      <c r="A17" t="inlineStr">
        <is>
          <t>Real estate</t>
        </is>
      </c>
      <c r="C17" s="35">
        <f>Assumptions!C29</f>
        <v/>
      </c>
      <c r="E17" t="inlineStr">
        <is>
          <t>Reduction in Tac Opps check</t>
        </is>
      </c>
      <c r="G17" s="23">
        <f>G16-G6</f>
        <v/>
      </c>
    </row>
    <row r="18">
      <c r="A18" t="inlineStr">
        <is>
          <t>PropCo assets</t>
        </is>
      </c>
      <c r="C18" s="24">
        <f>C16+C17</f>
        <v/>
      </c>
    </row>
    <row r="20" ht="28" customHeight="1">
      <c r="A20" s="38" t="inlineStr">
        <is>
          <t>G16 is the Tac Opps equity in the earlier single-fund version of the plan ($206M with $95M of debt), per the IC memo; input from the deal team.</t>
        </is>
      </c>
    </row>
  </sheetData>
  <mergeCells count="1">
    <mergeCell ref="A20:H20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G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PropCo / FleetCo — Blackstone Infrastructure Partners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19" t="inlineStr">
        <is>
          <t>$mm</t>
        </is>
      </c>
      <c r="B5" s="20" t="inlineStr"/>
      <c r="C5" s="20" t="inlineStr">
        <is>
          <t>Y0</t>
        </is>
      </c>
      <c r="D5" s="20" t="inlineStr">
        <is>
          <t>Y1</t>
        </is>
      </c>
      <c r="E5" s="20" t="inlineStr">
        <is>
          <t>Y2</t>
        </is>
      </c>
      <c r="F5" s="20" t="inlineStr">
        <is>
          <t>Y3</t>
        </is>
      </c>
      <c r="G5" s="20" t="inlineStr">
        <is>
          <t>Y4</t>
        </is>
      </c>
    </row>
    <row r="6">
      <c r="A6" t="inlineStr">
        <is>
          <t>Year</t>
        </is>
      </c>
      <c r="C6" s="39" t="n">
        <v>0</v>
      </c>
      <c r="D6" s="39" t="n">
        <v>1</v>
      </c>
      <c r="E6" s="39" t="n">
        <v>2</v>
      </c>
      <c r="F6" s="39" t="n">
        <v>3</v>
      </c>
      <c r="G6" s="39" t="n">
        <v>4</v>
      </c>
    </row>
    <row r="8">
      <c r="A8" s="8" t="inlineStr">
        <is>
          <t>Lease income from OpCo</t>
        </is>
      </c>
      <c r="D8" s="35">
        <f>(Assumptions!$C$28+Assumptions!$C$29)*Assumptions!$C$30*(1+Assumptions!$C$31)^(D6-1)</f>
        <v/>
      </c>
      <c r="E8" s="35">
        <f>(Assumptions!$C$28+Assumptions!$C$29)*Assumptions!$C$30*(1+Assumptions!$C$31)^(E6-1)</f>
        <v/>
      </c>
      <c r="F8" s="35">
        <f>(Assumptions!$C$28+Assumptions!$C$29)*Assumptions!$C$30*(1+Assumptions!$C$31)^(F6-1)</f>
        <v/>
      </c>
      <c r="G8" s="35">
        <f>(Assumptions!$C$28+Assumptions!$C$29)*Assumptions!$C$30*(1+Assumptions!$C$31)^(G6-1)</f>
        <v/>
      </c>
    </row>
    <row r="9">
      <c r="A9" s="8" t="inlineStr">
        <is>
          <t>Less: interest</t>
        </is>
      </c>
      <c r="D9" s="35">
        <f>-Assumptions!$C$32*Assumptions!$C$33</f>
        <v/>
      </c>
      <c r="E9" s="35">
        <f>-Assumptions!$C$32*Assumptions!$C$33</f>
        <v/>
      </c>
      <c r="F9" s="35">
        <f>-Assumptions!$C$32*Assumptions!$C$33</f>
        <v/>
      </c>
      <c r="G9" s="35">
        <f>-Assumptions!$C$32*Assumptions!$C$33</f>
        <v/>
      </c>
    </row>
    <row r="10">
      <c r="A10" s="8" t="inlineStr">
        <is>
          <t>Less: fleet replacement reserve</t>
        </is>
      </c>
      <c r="D10" s="35">
        <f>-Assumptions!$C$28*Assumptions!$C$34</f>
        <v/>
      </c>
      <c r="E10" s="35">
        <f>-Assumptions!$C$28*Assumptions!$C$34</f>
        <v/>
      </c>
      <c r="F10" s="35">
        <f>-Assumptions!$C$28*Assumptions!$C$34</f>
        <v/>
      </c>
      <c r="G10" s="35">
        <f>-Assumptions!$C$28*Assumptions!$C$34</f>
        <v/>
      </c>
    </row>
    <row r="11">
      <c r="A11" s="7" t="inlineStr">
        <is>
          <t>Cash to equity</t>
        </is>
      </c>
      <c r="D11" s="24">
        <f>SUM(D8:D10)</f>
        <v/>
      </c>
      <c r="E11" s="24">
        <f>SUM(E8:E10)</f>
        <v/>
      </c>
      <c r="F11" s="24">
        <f>SUM(F8:F10)</f>
        <v/>
      </c>
      <c r="G11" s="24">
        <f>SUM(G8:G10)</f>
        <v/>
      </c>
    </row>
    <row r="12">
      <c r="A12" t="inlineStr">
        <is>
          <t>Cash yield on BIP equity</t>
        </is>
      </c>
      <c r="D12" s="12">
        <f>D11/'Sources &amp; Uses'!$G$7</f>
        <v/>
      </c>
      <c r="E12" s="12">
        <f>E11/'Sources &amp; Uses'!$G$7</f>
        <v/>
      </c>
      <c r="F12" s="12">
        <f>F11/'Sources &amp; Uses'!$G$7</f>
        <v/>
      </c>
      <c r="G12" s="12">
        <f>G11/'Sources &amp; Uses'!$G$7</f>
        <v/>
      </c>
    </row>
    <row r="14">
      <c r="A14" s="7" t="inlineStr">
        <is>
          <t>Exit (Y4)</t>
        </is>
      </c>
    </row>
    <row r="15">
      <c r="A15" t="inlineStr">
        <is>
          <t>Fleet value (held flat by reserve)</t>
        </is>
      </c>
      <c r="G15" s="35">
        <f>Assumptions!C28</f>
        <v/>
      </c>
    </row>
    <row r="16">
      <c r="A16" t="inlineStr">
        <is>
          <t>Real estate value</t>
        </is>
      </c>
      <c r="G16" s="35">
        <f>Assumptions!C29*(1+Assumptions!C35)^Assumptions!C47</f>
        <v/>
      </c>
    </row>
    <row r="17">
      <c r="A17" t="inlineStr">
        <is>
          <t>Less: PropCo debt</t>
        </is>
      </c>
      <c r="G17" s="35">
        <f>-Assumptions!C32</f>
        <v/>
      </c>
    </row>
    <row r="18">
      <c r="A18" s="7" t="inlineStr">
        <is>
          <t>Exit equity value</t>
        </is>
      </c>
      <c r="G18" s="24">
        <f>SUM(G15:G17)</f>
        <v/>
      </c>
    </row>
    <row r="20">
      <c r="A20" s="7" t="inlineStr">
        <is>
          <t>BIP equity cash flows</t>
        </is>
      </c>
      <c r="C20" s="35">
        <f>-'Sources &amp; Uses'!G7</f>
        <v/>
      </c>
      <c r="D20" s="23">
        <f>D11</f>
        <v/>
      </c>
      <c r="E20" s="23">
        <f>E11</f>
        <v/>
      </c>
      <c r="F20" s="23">
        <f>F11</f>
        <v/>
      </c>
      <c r="G20" s="23">
        <f>G11+G18</f>
        <v/>
      </c>
    </row>
    <row r="22">
      <c r="A22" s="7" t="inlineStr">
        <is>
          <t>Returns</t>
        </is>
      </c>
    </row>
    <row r="23">
      <c r="A23" t="inlineStr">
        <is>
          <t>Y1 cash yield</t>
        </is>
      </c>
      <c r="C23" s="36">
        <f>D12</f>
        <v/>
      </c>
    </row>
    <row r="24">
      <c r="A24" t="inlineStr">
        <is>
          <t>Gross MOIC</t>
        </is>
      </c>
      <c r="C24" s="27">
        <f>SUM(D20:G20)/-C20</f>
        <v/>
      </c>
    </row>
    <row r="25">
      <c r="A25" t="inlineStr">
        <is>
          <t>Gross IRR</t>
        </is>
      </c>
      <c r="C25" s="36">
        <f>IRR(C20:G20)</f>
        <v/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</sheetPr>
  <dimension ref="A1:G3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OpCo — Tactical Opportunities (Exit A: sale to strategic or sponsor)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4">
      <c r="A4" s="7" t="inlineStr">
        <is>
          <t>Scenario:</t>
        </is>
      </c>
      <c r="C4" s="9">
        <f>Assumptions!F6</f>
        <v/>
      </c>
    </row>
    <row r="5">
      <c r="A5" s="19" t="inlineStr">
        <is>
          <t>$mm</t>
        </is>
      </c>
      <c r="B5" s="20" t="inlineStr"/>
      <c r="C5" s="20" t="inlineStr">
        <is>
          <t>Y0</t>
        </is>
      </c>
      <c r="D5" s="20" t="inlineStr">
        <is>
          <t>Y1</t>
        </is>
      </c>
      <c r="E5" s="20" t="inlineStr">
        <is>
          <t>Y2</t>
        </is>
      </c>
      <c r="F5" s="20" t="inlineStr">
        <is>
          <t>Y3</t>
        </is>
      </c>
      <c r="G5" s="20" t="inlineStr">
        <is>
          <t>Y4</t>
        </is>
      </c>
    </row>
    <row r="6">
      <c r="A6" t="inlineStr">
        <is>
          <t>Year</t>
        </is>
      </c>
      <c r="C6" s="39" t="n">
        <v>0</v>
      </c>
      <c r="D6" s="39" t="n">
        <v>1</v>
      </c>
      <c r="E6" s="39" t="n">
        <v>2</v>
      </c>
      <c r="F6" s="39" t="n">
        <v>3</v>
      </c>
      <c r="G6" s="39" t="n">
        <v>4</v>
      </c>
    </row>
    <row r="7">
      <c r="A7" t="inlineStr">
        <is>
          <t>Synergy ramp</t>
        </is>
      </c>
      <c r="C7" s="36" t="n">
        <v>0</v>
      </c>
      <c r="D7" s="12">
        <f>Assumptions!C63</f>
        <v/>
      </c>
      <c r="E7" s="12">
        <f>Assumptions!D63</f>
        <v/>
      </c>
      <c r="F7" s="12">
        <f>Assumptions!E63</f>
        <v/>
      </c>
      <c r="G7" s="12">
        <f>Assumptions!F63</f>
        <v/>
      </c>
    </row>
    <row r="9">
      <c r="A9" s="8" t="inlineStr">
        <is>
          <t>Normalized EBITDAR</t>
        </is>
      </c>
      <c r="C9" s="35">
        <f>Assumptions!$F$9</f>
        <v/>
      </c>
      <c r="D9" s="35">
        <f>Assumptions!$F$9</f>
        <v/>
      </c>
      <c r="E9" s="35">
        <f>Assumptions!$F$9</f>
        <v/>
      </c>
      <c r="F9" s="35">
        <f>Assumptions!$F$9</f>
        <v/>
      </c>
      <c r="G9" s="35">
        <f>Assumptions!$F$9</f>
        <v/>
      </c>
    </row>
    <row r="10">
      <c r="A10" s="8" t="inlineStr">
        <is>
          <t>Fuel &amp; procurement synergies</t>
        </is>
      </c>
      <c r="C10" s="35">
        <f>Assumptions!$F$10*C$7</f>
        <v/>
      </c>
      <c r="D10" s="35">
        <f>Assumptions!$F$10*D$7</f>
        <v/>
      </c>
      <c r="E10" s="35">
        <f>Assumptions!$F$10*E$7</f>
        <v/>
      </c>
      <c r="F10" s="35">
        <f>Assumptions!$F$10*F$7</f>
        <v/>
      </c>
      <c r="G10" s="35">
        <f>Assumptions!$F$10*G$7</f>
        <v/>
      </c>
    </row>
    <row r="11">
      <c r="A11" s="8" t="inlineStr">
        <is>
          <t>Retention savings</t>
        </is>
      </c>
      <c r="C11" s="35">
        <f>Assumptions!$F$11*C$7</f>
        <v/>
      </c>
      <c r="D11" s="35">
        <f>Assumptions!$F$11*D$7</f>
        <v/>
      </c>
      <c r="E11" s="35">
        <f>Assumptions!$F$11*E$7</f>
        <v/>
      </c>
      <c r="F11" s="35">
        <f>Assumptions!$F$11*F$7</f>
        <v/>
      </c>
      <c r="G11" s="35">
        <f>Assumptions!$F$11*G$7</f>
        <v/>
      </c>
    </row>
    <row r="12">
      <c r="A12" s="8" t="inlineStr">
        <is>
          <t>Arsenal-1 / QTS dedicated growth</t>
        </is>
      </c>
      <c r="C12" s="35">
        <f>Assumptions!$F$12*C$7</f>
        <v/>
      </c>
      <c r="D12" s="35">
        <f>Assumptions!$F$12*D$7</f>
        <v/>
      </c>
      <c r="E12" s="35">
        <f>Assumptions!$F$12*E$7</f>
        <v/>
      </c>
      <c r="F12" s="35">
        <f>Assumptions!$F$12*F$7</f>
        <v/>
      </c>
      <c r="G12" s="35">
        <f>Assumptions!$F$12*G$7</f>
        <v/>
      </c>
    </row>
    <row r="13">
      <c r="A13" s="7" t="inlineStr">
        <is>
          <t>EBITDAR</t>
        </is>
      </c>
      <c r="C13" s="24">
        <f>SUM(C9:C12)</f>
        <v/>
      </c>
      <c r="D13" s="24">
        <f>SUM(D9:D12)</f>
        <v/>
      </c>
      <c r="E13" s="24">
        <f>SUM(E9:E12)</f>
        <v/>
      </c>
      <c r="F13" s="24">
        <f>SUM(F9:F12)</f>
        <v/>
      </c>
      <c r="G13" s="24">
        <f>SUM(G9:G12)</f>
        <v/>
      </c>
    </row>
    <row r="14">
      <c r="A14" s="8" t="inlineStr">
        <is>
          <t>Less: PropCo lease</t>
        </is>
      </c>
      <c r="C14" s="35">
        <f>-PropCo!D8</f>
        <v/>
      </c>
      <c r="D14" s="35">
        <f>-PropCo!D8</f>
        <v/>
      </c>
      <c r="E14" s="35">
        <f>-PropCo!E8</f>
        <v/>
      </c>
      <c r="F14" s="35">
        <f>-PropCo!F8</f>
        <v/>
      </c>
      <c r="G14" s="35">
        <f>-PropCo!G8</f>
        <v/>
      </c>
    </row>
    <row r="15">
      <c r="A15" s="7" t="inlineStr">
        <is>
          <t>OpCo EBITDA</t>
        </is>
      </c>
      <c r="C15" s="37">
        <f>C13+C14</f>
        <v/>
      </c>
      <c r="D15" s="37">
        <f>D13+D14</f>
        <v/>
      </c>
      <c r="E15" s="37">
        <f>E13+E14</f>
        <v/>
      </c>
      <c r="F15" s="37">
        <f>F13+F14</f>
        <v/>
      </c>
      <c r="G15" s="37">
        <f>G13+G14</f>
        <v/>
      </c>
    </row>
    <row r="16">
      <c r="A16" s="3" t="inlineStr">
        <is>
          <t>Y0 lease shown at Y1 run-rate</t>
        </is>
      </c>
    </row>
    <row r="18">
      <c r="A18" s="7" t="inlineStr">
        <is>
          <t>Exit A (Y4)</t>
        </is>
      </c>
    </row>
    <row r="19">
      <c r="A19" s="8" t="inlineStr">
        <is>
          <t>Y4 OpCo EBITDA</t>
        </is>
      </c>
      <c r="C19" s="23">
        <f>G15</f>
        <v/>
      </c>
    </row>
    <row r="20">
      <c r="A20" s="8" t="inlineStr">
        <is>
          <t>Exit multiple (x)</t>
        </is>
      </c>
      <c r="C20" s="11">
        <f>Assumptions!F14</f>
        <v/>
      </c>
    </row>
    <row r="21">
      <c r="A21" s="8" t="inlineStr">
        <is>
          <t>Enterprise value</t>
        </is>
      </c>
      <c r="C21" s="23">
        <f>C19*C20</f>
        <v/>
      </c>
    </row>
    <row r="22">
      <c r="A22" s="8" t="inlineStr">
        <is>
          <t>Less: exit net debt</t>
        </is>
      </c>
      <c r="C22" s="35">
        <f>-Assumptions!F15</f>
        <v/>
      </c>
    </row>
    <row r="23">
      <c r="A23" s="7" t="inlineStr">
        <is>
          <t>Equity value</t>
        </is>
      </c>
      <c r="C23" s="23">
        <f>C21+C22</f>
        <v/>
      </c>
    </row>
    <row r="24">
      <c r="A24" s="8" t="inlineStr">
        <is>
          <t>Employee pool (%)</t>
        </is>
      </c>
      <c r="C24" s="12">
        <f>Assumptions!C40</f>
        <v/>
      </c>
    </row>
    <row r="25">
      <c r="A25" s="8" t="inlineStr">
        <is>
          <t>Employee pool ($mm)</t>
        </is>
      </c>
      <c r="C25" s="23">
        <f>C23*C24</f>
        <v/>
      </c>
    </row>
    <row r="26">
      <c r="A26" s="7" t="inlineStr">
        <is>
          <t>Proceeds to Tac Opps</t>
        </is>
      </c>
      <c r="C26" s="23">
        <f>C23-C25</f>
        <v/>
      </c>
    </row>
    <row r="28">
      <c r="A28" s="7" t="inlineStr">
        <is>
          <t>Tac Opps cash flows</t>
        </is>
      </c>
      <c r="C28" s="35">
        <f>-'Sources &amp; Uses'!G6</f>
        <v/>
      </c>
      <c r="D28" s="23" t="n">
        <v>0</v>
      </c>
      <c r="E28" s="23" t="n">
        <v>0</v>
      </c>
      <c r="F28" s="23" t="n">
        <v>0</v>
      </c>
      <c r="G28" s="23">
        <f>C26</f>
        <v/>
      </c>
    </row>
    <row r="30">
      <c r="A30" t="inlineStr">
        <is>
          <t>Gross MOIC</t>
        </is>
      </c>
      <c r="C30" s="27">
        <f>SUM(D28:G28)/-C28</f>
        <v/>
      </c>
    </row>
    <row r="31">
      <c r="A31" t="inlineStr">
        <is>
          <t>Gross IRR</t>
        </is>
      </c>
      <c r="C31" s="36">
        <f>IRR(C28:G28)</f>
        <v/>
      </c>
    </row>
    <row r="33">
      <c r="A33" s="7" t="inlineStr">
        <is>
          <t>Employee ownership payout</t>
        </is>
      </c>
    </row>
    <row r="34">
      <c r="A34" t="inlineStr">
        <is>
          <t>Employees</t>
        </is>
      </c>
      <c r="C34" s="40">
        <f>Assumptions!C38</f>
        <v/>
      </c>
    </row>
    <row r="35">
      <c r="A35" t="inlineStr">
        <is>
          <t>Average payout per employee ($000)</t>
        </is>
      </c>
      <c r="C35" s="41">
        <f>C25/C34*1000</f>
        <v/>
      </c>
    </row>
    <row r="36">
      <c r="A36" t="inlineStr">
        <is>
          <t>Months of salary</t>
        </is>
      </c>
      <c r="C36" s="33">
        <f>C35/Assumptions!C39*12</f>
        <v/>
      </c>
    </row>
    <row r="37">
      <c r="A37" t="inlineStr">
        <is>
          <t>Within Ownership Works 6–12 month target?</t>
        </is>
      </c>
      <c r="C37" s="8">
        <f>IF(AND(C36&gt;=6,C36&lt;=12),"Yes",IF(C36&gt;12,"Above","Below"))</f>
        <v/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</sheetPr>
  <dimension ref="A1:L4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Returns — all scenarios, combined Blackstone, Exit B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19" t="inlineStr">
        <is>
          <t>Exit A by scenario ($mm)</t>
        </is>
      </c>
      <c r="B5" s="20" t="inlineStr"/>
      <c r="C5" s="20" t="inlineStr">
        <is>
          <t>Downside</t>
        </is>
      </c>
      <c r="D5" s="20" t="inlineStr">
        <is>
          <t>Base</t>
        </is>
      </c>
      <c r="E5" s="20" t="inlineStr">
        <is>
          <t>Upside</t>
        </is>
      </c>
    </row>
    <row r="6">
      <c r="A6" s="8" t="inlineStr">
        <is>
          <t>Y4 EBITDAR</t>
        </is>
      </c>
      <c r="C6" s="35">
        <f>Assumptions!C13</f>
        <v/>
      </c>
      <c r="D6" s="35">
        <f>Assumptions!D13</f>
        <v/>
      </c>
      <c r="E6" s="35">
        <f>Assumptions!E13</f>
        <v/>
      </c>
    </row>
    <row r="7">
      <c r="A7" s="8" t="inlineStr">
        <is>
          <t>Less: PropCo lease (Y4)</t>
        </is>
      </c>
      <c r="C7" s="35">
        <f>-PropCo!$G$8</f>
        <v/>
      </c>
      <c r="D7" s="35">
        <f>-PropCo!$G$8</f>
        <v/>
      </c>
      <c r="E7" s="35">
        <f>-PropCo!$G$8</f>
        <v/>
      </c>
    </row>
    <row r="8">
      <c r="A8" s="8" t="inlineStr">
        <is>
          <t>OpCo EBITDA</t>
        </is>
      </c>
      <c r="C8" s="23">
        <f>C6+C7</f>
        <v/>
      </c>
      <c r="D8" s="23">
        <f>D6+D7</f>
        <v/>
      </c>
      <c r="E8" s="23">
        <f>E6+E7</f>
        <v/>
      </c>
    </row>
    <row r="9">
      <c r="A9" s="8" t="inlineStr">
        <is>
          <t>Exit multiple (x)</t>
        </is>
      </c>
      <c r="C9" s="11">
        <f>Assumptions!C14</f>
        <v/>
      </c>
      <c r="D9" s="11">
        <f>Assumptions!D14</f>
        <v/>
      </c>
      <c r="E9" s="11">
        <f>Assumptions!E14</f>
        <v/>
      </c>
    </row>
    <row r="10">
      <c r="A10" s="8" t="inlineStr">
        <is>
          <t>Enterprise value</t>
        </is>
      </c>
      <c r="C10" s="23">
        <f>C8*C9</f>
        <v/>
      </c>
      <c r="D10" s="23">
        <f>D8*D9</f>
        <v/>
      </c>
      <c r="E10" s="23">
        <f>E8*E9</f>
        <v/>
      </c>
    </row>
    <row r="11">
      <c r="A11" s="8" t="inlineStr">
        <is>
          <t>Less: exit net debt</t>
        </is>
      </c>
      <c r="C11" s="35">
        <f>-Assumptions!C15</f>
        <v/>
      </c>
      <c r="D11" s="35">
        <f>-Assumptions!D15</f>
        <v/>
      </c>
      <c r="E11" s="35">
        <f>-Assumptions!E15</f>
        <v/>
      </c>
    </row>
    <row r="12">
      <c r="A12" s="7" t="inlineStr">
        <is>
          <t>Equity value</t>
        </is>
      </c>
      <c r="C12" s="23">
        <f>C10+C11</f>
        <v/>
      </c>
      <c r="D12" s="23">
        <f>D10+D11</f>
        <v/>
      </c>
      <c r="E12" s="23">
        <f>E10+E11</f>
        <v/>
      </c>
    </row>
    <row r="13">
      <c r="A13" s="8" t="inlineStr">
        <is>
          <t>Employee pool ($mm)</t>
        </is>
      </c>
      <c r="C13" s="35">
        <f>C12*Assumptions!$C$40</f>
        <v/>
      </c>
      <c r="D13" s="35">
        <f>D12*Assumptions!$C$40</f>
        <v/>
      </c>
      <c r="E13" s="35">
        <f>E12*Assumptions!$C$40</f>
        <v/>
      </c>
    </row>
    <row r="14">
      <c r="A14" s="8" t="inlineStr">
        <is>
          <t>Average per employee ($000)</t>
        </is>
      </c>
      <c r="C14" s="13">
        <f>C13/Assumptions!$C$38*1000</f>
        <v/>
      </c>
      <c r="D14" s="13">
        <f>D13/Assumptions!$C$38*1000</f>
        <v/>
      </c>
      <c r="E14" s="13">
        <f>E13/Assumptions!$C$38*1000</f>
        <v/>
      </c>
    </row>
    <row r="15">
      <c r="A15" s="8" t="inlineStr">
        <is>
          <t>Months of salary</t>
        </is>
      </c>
      <c r="C15" s="14">
        <f>C14/Assumptions!$C$39*12</f>
        <v/>
      </c>
      <c r="D15" s="14">
        <f>D14/Assumptions!$C$39*12</f>
        <v/>
      </c>
      <c r="E15" s="14">
        <f>E14/Assumptions!$C$39*12</f>
        <v/>
      </c>
    </row>
    <row r="16">
      <c r="A16" s="8" t="inlineStr">
        <is>
          <t>Proceeds to Tac Opps</t>
        </is>
      </c>
      <c r="C16" s="23">
        <f>C12-C13</f>
        <v/>
      </c>
      <c r="D16" s="23">
        <f>D12-D13</f>
        <v/>
      </c>
      <c r="E16" s="23">
        <f>E12-E13</f>
        <v/>
      </c>
    </row>
    <row r="17">
      <c r="A17" s="8" t="inlineStr">
        <is>
          <t>Tac Opps equity</t>
        </is>
      </c>
      <c r="C17" s="35">
        <f>'Sources &amp; Uses'!$G$6</f>
        <v/>
      </c>
      <c r="D17" s="35">
        <f>'Sources &amp; Uses'!$G$6</f>
        <v/>
      </c>
      <c r="E17" s="35">
        <f>'Sources &amp; Uses'!$G$6</f>
        <v/>
      </c>
    </row>
    <row r="18">
      <c r="A18" s="7" t="inlineStr">
        <is>
          <t>Gross MOIC</t>
        </is>
      </c>
      <c r="C18" s="27">
        <f>C16/C17</f>
        <v/>
      </c>
      <c r="D18" s="27">
        <f>D16/D17</f>
        <v/>
      </c>
      <c r="E18" s="27">
        <f>E16/E17</f>
        <v/>
      </c>
    </row>
    <row r="19">
      <c r="A19" s="7" t="inlineStr">
        <is>
          <t>Gross IRR</t>
        </is>
      </c>
      <c r="C19" s="12">
        <f>IFERROR(C18^(1/Assumptions!$C$47)-1,-1)</f>
        <v/>
      </c>
      <c r="D19" s="12">
        <f>IFERROR(D18^(1/Assumptions!$C$47)-1,-1)</f>
        <v/>
      </c>
      <c r="E19" s="12">
        <f>IFERROR(E18^(1/Assumptions!$C$47)-1,-1)</f>
        <v/>
      </c>
    </row>
    <row r="20">
      <c r="A20" s="3" t="inlineStr">
        <is>
          <t>IRR = MOIC^(1/hold) − 1, equivalent to IRR() for a single entry and single exit cash flow.</t>
        </is>
      </c>
    </row>
    <row r="22">
      <c r="A22" s="19" t="inlineStr">
        <is>
          <t>Combined Blackstone (selected scenario)</t>
        </is>
      </c>
      <c r="B22" s="20" t="inlineStr"/>
      <c r="C22" s="20" t="inlineStr">
        <is>
          <t>Y0</t>
        </is>
      </c>
      <c r="D22" s="20" t="inlineStr">
        <is>
          <t>Y1</t>
        </is>
      </c>
      <c r="E22" s="20" t="inlineStr">
        <is>
          <t>Y2</t>
        </is>
      </c>
      <c r="F22" s="20" t="inlineStr">
        <is>
          <t>Y3</t>
        </is>
      </c>
      <c r="G22" s="20" t="inlineStr">
        <is>
          <t>Y4</t>
        </is>
      </c>
    </row>
    <row r="23">
      <c r="A23" t="inlineStr">
        <is>
          <t>Tac Opps (OpCo)</t>
        </is>
      </c>
      <c r="C23" s="35">
        <f>OpCo!C28</f>
        <v/>
      </c>
      <c r="D23" s="35">
        <f>OpCo!D28</f>
        <v/>
      </c>
      <c r="E23" s="35">
        <f>OpCo!E28</f>
        <v/>
      </c>
      <c r="F23" s="35">
        <f>OpCo!F28</f>
        <v/>
      </c>
      <c r="G23" s="35">
        <f>OpCo!G28</f>
        <v/>
      </c>
    </row>
    <row r="24">
      <c r="A24" t="inlineStr">
        <is>
          <t>BIP (PropCo)</t>
        </is>
      </c>
      <c r="C24" s="35">
        <f>PropCo!C20</f>
        <v/>
      </c>
      <c r="D24" s="35">
        <f>PropCo!D20</f>
        <v/>
      </c>
      <c r="E24" s="35">
        <f>PropCo!E20</f>
        <v/>
      </c>
      <c r="F24" s="35">
        <f>PropCo!F20</f>
        <v/>
      </c>
      <c r="G24" s="35">
        <f>PropCo!G20</f>
        <v/>
      </c>
    </row>
    <row r="25">
      <c r="A25" s="7" t="inlineStr">
        <is>
          <t>Combined</t>
        </is>
      </c>
      <c r="C25" s="24">
        <f>C23+C24</f>
        <v/>
      </c>
      <c r="D25" s="24">
        <f>D23+D24</f>
        <v/>
      </c>
      <c r="E25" s="24">
        <f>E23+E24</f>
        <v/>
      </c>
      <c r="F25" s="24">
        <f>F23+F24</f>
        <v/>
      </c>
      <c r="G25" s="24">
        <f>G23+G24</f>
        <v/>
      </c>
    </row>
    <row r="27">
      <c r="A27" t="inlineStr">
        <is>
          <t>Combined Blackstone equity in</t>
        </is>
      </c>
      <c r="C27" s="23">
        <f>-C25</f>
        <v/>
      </c>
    </row>
    <row r="28">
      <c r="A28" t="inlineStr">
        <is>
          <t>Combined value out</t>
        </is>
      </c>
      <c r="C28" s="23">
        <f>SUM(D25:G25)</f>
        <v/>
      </c>
    </row>
    <row r="31">
      <c r="A31" t="inlineStr">
        <is>
          <t>Combined gross MOIC</t>
        </is>
      </c>
      <c r="C31" s="27">
        <f>C28/C27</f>
        <v/>
      </c>
    </row>
    <row r="32">
      <c r="A32" t="inlineStr">
        <is>
          <t>Combined gross IRR</t>
        </is>
      </c>
      <c r="C32" s="36">
        <f>IRR(C25:G25)</f>
        <v/>
      </c>
    </row>
    <row r="35">
      <c r="A35" s="19" t="inlineStr">
        <is>
          <t>Exit B: 100% S-corp ESOP (selected scenario)</t>
        </is>
      </c>
      <c r="B35" s="20" t="inlineStr"/>
      <c r="C35" s="20" t="inlineStr">
        <is>
          <t>Y0</t>
        </is>
      </c>
      <c r="D35" s="20" t="inlineStr">
        <is>
          <t>Y1</t>
        </is>
      </c>
      <c r="E35" s="20" t="inlineStr">
        <is>
          <t>Y2</t>
        </is>
      </c>
      <c r="F35" s="20" t="inlineStr">
        <is>
          <t>Y3</t>
        </is>
      </c>
      <c r="G35" s="20" t="inlineStr">
        <is>
          <t>Y4</t>
        </is>
      </c>
      <c r="H35" s="20" t="inlineStr">
        <is>
          <t>Y5</t>
        </is>
      </c>
      <c r="I35" s="20" t="inlineStr">
        <is>
          <t>Y6</t>
        </is>
      </c>
      <c r="J35" s="20" t="inlineStr">
        <is>
          <t>Y7</t>
        </is>
      </c>
      <c r="K35" s="20" t="inlineStr">
        <is>
          <t>Y8</t>
        </is>
      </c>
      <c r="L35" s="20" t="inlineStr">
        <is>
          <t>Y9</t>
        </is>
      </c>
    </row>
    <row r="36">
      <c r="A36" s="8" t="inlineStr">
        <is>
          <t>ESOP purchase multiple (x)</t>
        </is>
      </c>
      <c r="C36" s="11">
        <f>Assumptions!C48</f>
        <v/>
      </c>
    </row>
    <row r="37">
      <c r="A37" s="8" t="inlineStr">
        <is>
          <t>Equity value to Tac Opps</t>
        </is>
      </c>
      <c r="C37" s="35">
        <f>OpCo!C19*C36+OpCo!C22</f>
        <v/>
      </c>
    </row>
    <row r="38">
      <c r="A38" s="8" t="inlineStr">
        <is>
          <t>Cash at close</t>
        </is>
      </c>
      <c r="C38" s="35">
        <f>C37*Assumptions!C49</f>
        <v/>
      </c>
    </row>
    <row r="39">
      <c r="A39" s="8" t="inlineStr">
        <is>
          <t>Seller note</t>
        </is>
      </c>
      <c r="C39" s="23">
        <f>C37-C38</f>
        <v/>
      </c>
    </row>
    <row r="40">
      <c r="A40" s="8" t="inlineStr">
        <is>
          <t>Annual note payment</t>
        </is>
      </c>
      <c r="C40" s="35">
        <f>-PMT(Assumptions!C50,Assumptions!C51,C39)</f>
        <v/>
      </c>
    </row>
    <row r="42">
      <c r="A42" s="7" t="inlineStr">
        <is>
          <t>Tac Opps cash flows</t>
        </is>
      </c>
      <c r="C42" s="35">
        <f>OpCo!C28</f>
        <v/>
      </c>
      <c r="D42" s="23" t="n">
        <v>0</v>
      </c>
      <c r="E42" s="23" t="n">
        <v>0</v>
      </c>
      <c r="F42" s="23" t="n">
        <v>0</v>
      </c>
      <c r="G42" s="23">
        <f>$C$38</f>
        <v/>
      </c>
      <c r="H42" s="23">
        <f>IF(5-4&lt;=Assumptions!$C$51,$C$40,0)</f>
        <v/>
      </c>
      <c r="I42" s="23">
        <f>IF(6-4&lt;=Assumptions!$C$51,$C$40,0)</f>
        <v/>
      </c>
      <c r="J42" s="23">
        <f>IF(7-4&lt;=Assumptions!$C$51,$C$40,0)</f>
        <v/>
      </c>
      <c r="K42" s="23">
        <f>IF(8-4&lt;=Assumptions!$C$51,$C$40,0)</f>
        <v/>
      </c>
      <c r="L42" s="23">
        <f>IF(9-4&lt;=Assumptions!$C$51,$C$40,0)</f>
        <v/>
      </c>
    </row>
    <row r="43">
      <c r="A43" t="inlineStr">
        <is>
          <t>Gross MOIC</t>
        </is>
      </c>
      <c r="C43" s="27">
        <f>SUM(D42:L42)/-C42</f>
        <v/>
      </c>
    </row>
    <row r="44">
      <c r="A44" t="inlineStr">
        <is>
          <t>Gross IRR</t>
        </is>
      </c>
      <c r="C44" s="36">
        <f>IRR(C42:L42)</f>
        <v/>
      </c>
    </row>
    <row r="45">
      <c r="A45" s="3" t="inlineStr">
        <is>
          <t>Under Exit B employees own 100%; no separate pool. A 100% ESOP S-corp pays no federal income tax, so the note is serviced from untaxed cash flow.</t>
        </is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</sheetPr>
  <dimension ref="A1:G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Sensitivities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7" t="inlineStr">
        <is>
          <t>OpCo gross IRR — Y4 EBITDAR (rows) × exit multiple (columns); base-case exit net debt and pool</t>
        </is>
      </c>
    </row>
    <row r="6">
      <c r="A6" s="19" t="inlineStr">
        <is>
          <t>Y4 EBITDAR ($mm)</t>
        </is>
      </c>
      <c r="B6" s="20" t="inlineStr">
        <is>
          <t>6.5x</t>
        </is>
      </c>
      <c r="C6" s="20" t="inlineStr">
        <is>
          <t>7.0x</t>
        </is>
      </c>
      <c r="D6" s="20" t="inlineStr">
        <is>
          <t>7.5x</t>
        </is>
      </c>
      <c r="E6" s="20" t="inlineStr">
        <is>
          <t>8.0x</t>
        </is>
      </c>
      <c r="F6" s="20" t="inlineStr">
        <is>
          <t>8.5x</t>
        </is>
      </c>
      <c r="G6" s="20" t="inlineStr">
        <is>
          <t>9.0x</t>
        </is>
      </c>
    </row>
    <row r="7">
      <c r="A7" s="3" t="inlineStr">
        <is>
          <t>Multiple →</t>
        </is>
      </c>
      <c r="B7" s="26" t="n">
        <v>6.5</v>
      </c>
      <c r="C7" s="26" t="n">
        <v>7</v>
      </c>
      <c r="D7" s="26" t="n">
        <v>7.5</v>
      </c>
      <c r="E7" s="26" t="n">
        <v>8</v>
      </c>
      <c r="F7" s="26" t="n">
        <v>8.5</v>
      </c>
      <c r="G7" s="26" t="n">
        <v>9</v>
      </c>
    </row>
    <row r="8">
      <c r="A8" s="22" t="n">
        <v>45</v>
      </c>
      <c r="B8" s="36">
        <f>IFERROR(((($A8-PropCo!$G$8)*B$7-Assumptions!$D$15)*(1-Assumptions!$C$40)/'Sources &amp; Uses'!$G$6)^(1/Assumptions!$C$47)-1,-1)</f>
        <v/>
      </c>
      <c r="C8" s="36">
        <f>IFERROR(((($A8-PropCo!$G$8)*C$7-Assumptions!$D$15)*(1-Assumptions!$C$40)/'Sources &amp; Uses'!$G$6)^(1/Assumptions!$C$47)-1,-1)</f>
        <v/>
      </c>
      <c r="D8" s="36">
        <f>IFERROR(((($A8-PropCo!$G$8)*D$7-Assumptions!$D$15)*(1-Assumptions!$C$40)/'Sources &amp; Uses'!$G$6)^(1/Assumptions!$C$47)-1,-1)</f>
        <v/>
      </c>
      <c r="E8" s="36">
        <f>IFERROR(((($A8-PropCo!$G$8)*E$7-Assumptions!$D$15)*(1-Assumptions!$C$40)/'Sources &amp; Uses'!$G$6)^(1/Assumptions!$C$47)-1,-1)</f>
        <v/>
      </c>
      <c r="F8" s="36">
        <f>IFERROR(((($A8-PropCo!$G$8)*F$7-Assumptions!$D$15)*(1-Assumptions!$C$40)/'Sources &amp; Uses'!$G$6)^(1/Assumptions!$C$47)-1,-1)</f>
        <v/>
      </c>
      <c r="G8" s="36">
        <f>IFERROR(((($A8-PropCo!$G$8)*G$7-Assumptions!$D$15)*(1-Assumptions!$C$40)/'Sources &amp; Uses'!$G$6)^(1/Assumptions!$C$47)-1,-1)</f>
        <v/>
      </c>
    </row>
    <row r="9">
      <c r="A9" s="22" t="n">
        <v>55</v>
      </c>
      <c r="B9" s="36">
        <f>IFERROR(((($A9-PropCo!$G$8)*B$7-Assumptions!$D$15)*(1-Assumptions!$C$40)/'Sources &amp; Uses'!$G$6)^(1/Assumptions!$C$47)-1,-1)</f>
        <v/>
      </c>
      <c r="C9" s="36">
        <f>IFERROR(((($A9-PropCo!$G$8)*C$7-Assumptions!$D$15)*(1-Assumptions!$C$40)/'Sources &amp; Uses'!$G$6)^(1/Assumptions!$C$47)-1,-1)</f>
        <v/>
      </c>
      <c r="D9" s="36">
        <f>IFERROR(((($A9-PropCo!$G$8)*D$7-Assumptions!$D$15)*(1-Assumptions!$C$40)/'Sources &amp; Uses'!$G$6)^(1/Assumptions!$C$47)-1,-1)</f>
        <v/>
      </c>
      <c r="E9" s="36">
        <f>IFERROR(((($A9-PropCo!$G$8)*E$7-Assumptions!$D$15)*(1-Assumptions!$C$40)/'Sources &amp; Uses'!$G$6)^(1/Assumptions!$C$47)-1,-1)</f>
        <v/>
      </c>
      <c r="F9" s="36">
        <f>IFERROR(((($A9-PropCo!$G$8)*F$7-Assumptions!$D$15)*(1-Assumptions!$C$40)/'Sources &amp; Uses'!$G$6)^(1/Assumptions!$C$47)-1,-1)</f>
        <v/>
      </c>
      <c r="G9" s="36">
        <f>IFERROR(((($A9-PropCo!$G$8)*G$7-Assumptions!$D$15)*(1-Assumptions!$C$40)/'Sources &amp; Uses'!$G$6)^(1/Assumptions!$C$47)-1,-1)</f>
        <v/>
      </c>
    </row>
    <row r="10">
      <c r="A10" s="22" t="n">
        <v>67</v>
      </c>
      <c r="B10" s="36">
        <f>IFERROR(((($A10-PropCo!$G$8)*B$7-Assumptions!$D$15)*(1-Assumptions!$C$40)/'Sources &amp; Uses'!$G$6)^(1/Assumptions!$C$47)-1,-1)</f>
        <v/>
      </c>
      <c r="C10" s="36">
        <f>IFERROR(((($A10-PropCo!$G$8)*C$7-Assumptions!$D$15)*(1-Assumptions!$C$40)/'Sources &amp; Uses'!$G$6)^(1/Assumptions!$C$47)-1,-1)</f>
        <v/>
      </c>
      <c r="D10" s="36">
        <f>IFERROR(((($A10-PropCo!$G$8)*D$7-Assumptions!$D$15)*(1-Assumptions!$C$40)/'Sources &amp; Uses'!$G$6)^(1/Assumptions!$C$47)-1,-1)</f>
        <v/>
      </c>
      <c r="E10" s="42">
        <f>IFERROR(((($A10-PropCo!$G$8)*E$7-Assumptions!$D$15)*(1-Assumptions!$C$40)/'Sources &amp; Uses'!$G$6)^(1/Assumptions!$C$47)-1,-1)</f>
        <v/>
      </c>
      <c r="F10" s="36">
        <f>IFERROR(((($A10-PropCo!$G$8)*F$7-Assumptions!$D$15)*(1-Assumptions!$C$40)/'Sources &amp; Uses'!$G$6)^(1/Assumptions!$C$47)-1,-1)</f>
        <v/>
      </c>
      <c r="G10" s="36">
        <f>IFERROR(((($A10-PropCo!$G$8)*G$7-Assumptions!$D$15)*(1-Assumptions!$C$40)/'Sources &amp; Uses'!$G$6)^(1/Assumptions!$C$47)-1,-1)</f>
        <v/>
      </c>
    </row>
    <row r="11">
      <c r="A11" s="22" t="n">
        <v>80</v>
      </c>
      <c r="B11" s="36">
        <f>IFERROR(((($A11-PropCo!$G$8)*B$7-Assumptions!$D$15)*(1-Assumptions!$C$40)/'Sources &amp; Uses'!$G$6)^(1/Assumptions!$C$47)-1,-1)</f>
        <v/>
      </c>
      <c r="C11" s="36">
        <f>IFERROR(((($A11-PropCo!$G$8)*C$7-Assumptions!$D$15)*(1-Assumptions!$C$40)/'Sources &amp; Uses'!$G$6)^(1/Assumptions!$C$47)-1,-1)</f>
        <v/>
      </c>
      <c r="D11" s="36">
        <f>IFERROR(((($A11-PropCo!$G$8)*D$7-Assumptions!$D$15)*(1-Assumptions!$C$40)/'Sources &amp; Uses'!$G$6)^(1/Assumptions!$C$47)-1,-1)</f>
        <v/>
      </c>
      <c r="E11" s="36">
        <f>IFERROR(((($A11-PropCo!$G$8)*E$7-Assumptions!$D$15)*(1-Assumptions!$C$40)/'Sources &amp; Uses'!$G$6)^(1/Assumptions!$C$47)-1,-1)</f>
        <v/>
      </c>
      <c r="F11" s="36">
        <f>IFERROR(((($A11-PropCo!$G$8)*F$7-Assumptions!$D$15)*(1-Assumptions!$C$40)/'Sources &amp; Uses'!$G$6)^(1/Assumptions!$C$47)-1,-1)</f>
        <v/>
      </c>
      <c r="G11" s="36">
        <f>IFERROR(((($A11-PropCo!$G$8)*G$7-Assumptions!$D$15)*(1-Assumptions!$C$40)/'Sources &amp; Uses'!$G$6)^(1/Assumptions!$C$47)-1,-1)</f>
        <v/>
      </c>
    </row>
    <row r="12">
      <c r="A12" s="22" t="n">
        <v>90</v>
      </c>
      <c r="B12" s="36">
        <f>IFERROR(((($A12-PropCo!$G$8)*B$7-Assumptions!$D$15)*(1-Assumptions!$C$40)/'Sources &amp; Uses'!$G$6)^(1/Assumptions!$C$47)-1,-1)</f>
        <v/>
      </c>
      <c r="C12" s="36">
        <f>IFERROR(((($A12-PropCo!$G$8)*C$7-Assumptions!$D$15)*(1-Assumptions!$C$40)/'Sources &amp; Uses'!$G$6)^(1/Assumptions!$C$47)-1,-1)</f>
        <v/>
      </c>
      <c r="D12" s="36">
        <f>IFERROR(((($A12-PropCo!$G$8)*D$7-Assumptions!$D$15)*(1-Assumptions!$C$40)/'Sources &amp; Uses'!$G$6)^(1/Assumptions!$C$47)-1,-1)</f>
        <v/>
      </c>
      <c r="E12" s="36">
        <f>IFERROR(((($A12-PropCo!$G$8)*E$7-Assumptions!$D$15)*(1-Assumptions!$C$40)/'Sources &amp; Uses'!$G$6)^(1/Assumptions!$C$47)-1,-1)</f>
        <v/>
      </c>
      <c r="F12" s="36">
        <f>IFERROR(((($A12-PropCo!$G$8)*F$7-Assumptions!$D$15)*(1-Assumptions!$C$40)/'Sources &amp; Uses'!$G$6)^(1/Assumptions!$C$47)-1,-1)</f>
        <v/>
      </c>
      <c r="G12" s="36">
        <f>IFERROR(((($A12-PropCo!$G$8)*G$7-Assumptions!$D$15)*(1-Assumptions!$C$40)/'Sources &amp; Uses'!$G$6)^(1/Assumptions!$C$47)-1,-1)</f>
        <v/>
      </c>
    </row>
    <row r="14">
      <c r="A14" s="3" t="inlineStr">
        <is>
          <t>Shaded cell = base case.</t>
        </is>
      </c>
    </row>
    <row r="16">
      <c r="A16" s="7" t="inlineStr">
        <is>
          <t>Diesel — net annual EBITDA impact ($mm) of a price increase; rows = $/gal move, columns = hedge ratio</t>
        </is>
      </c>
    </row>
    <row r="17">
      <c r="A17" s="19" t="inlineStr">
        <is>
          <t>Diesel move ($/gal)</t>
        </is>
      </c>
      <c r="B17" s="20" t="inlineStr">
        <is>
          <t>0%</t>
        </is>
      </c>
      <c r="C17" s="20" t="inlineStr">
        <is>
          <t>25%</t>
        </is>
      </c>
      <c r="D17" s="20" t="inlineStr">
        <is>
          <t>50%</t>
        </is>
      </c>
      <c r="E17" s="20" t="inlineStr">
        <is>
          <t>70%</t>
        </is>
      </c>
    </row>
    <row r="18">
      <c r="A18" s="3" t="inlineStr">
        <is>
          <t>Hedge ratio →</t>
        </is>
      </c>
      <c r="B18" s="28" t="n">
        <v>0</v>
      </c>
      <c r="C18" s="28" t="n">
        <v>0.25</v>
      </c>
      <c r="D18" s="28" t="n">
        <v>0.5</v>
      </c>
      <c r="E18" s="28" t="n">
        <v>0.7</v>
      </c>
    </row>
    <row r="19">
      <c r="A19" s="34" t="n">
        <v>0.5</v>
      </c>
      <c r="B19" s="23">
        <f>-Assumptions!$C$59*$A19*(1-Assumptions!$C$57)*(1-B$18)</f>
        <v/>
      </c>
      <c r="C19" s="23">
        <f>-Assumptions!$C$59*$A19*(1-Assumptions!$C$57)*(1-C$18)</f>
        <v/>
      </c>
      <c r="D19" s="23">
        <f>-Assumptions!$C$59*$A19*(1-Assumptions!$C$57)*(1-D$18)</f>
        <v/>
      </c>
      <c r="E19" s="23">
        <f>-Assumptions!$C$59*$A19*(1-Assumptions!$C$57)*(1-E$18)</f>
        <v/>
      </c>
    </row>
    <row r="20">
      <c r="A20" s="34" t="n">
        <v>1</v>
      </c>
      <c r="B20" s="23">
        <f>-Assumptions!$C$59*$A20*(1-Assumptions!$C$57)*(1-B$18)</f>
        <v/>
      </c>
      <c r="C20" s="23">
        <f>-Assumptions!$C$59*$A20*(1-Assumptions!$C$57)*(1-C$18)</f>
        <v/>
      </c>
      <c r="D20" s="23">
        <f>-Assumptions!$C$59*$A20*(1-Assumptions!$C$57)*(1-D$18)</f>
        <v/>
      </c>
      <c r="E20" s="23">
        <f>-Assumptions!$C$59*$A20*(1-Assumptions!$C$57)*(1-E$18)</f>
        <v/>
      </c>
    </row>
    <row r="21">
      <c r="A21" s="34" t="n">
        <v>1.5</v>
      </c>
      <c r="B21" s="23">
        <f>-Assumptions!$C$59*$A21*(1-Assumptions!$C$57)*(1-B$18)</f>
        <v/>
      </c>
      <c r="C21" s="23">
        <f>-Assumptions!$C$59*$A21*(1-Assumptions!$C$57)*(1-C$18)</f>
        <v/>
      </c>
      <c r="D21" s="23">
        <f>-Assumptions!$C$59*$A21*(1-Assumptions!$C$57)*(1-D$18)</f>
        <v/>
      </c>
      <c r="E21" s="23">
        <f>-Assumptions!$C$59*$A21*(1-Assumptions!$C$57)*(1-E$18)</f>
        <v/>
      </c>
    </row>
    <row r="22">
      <c r="A22" s="34" t="n">
        <v>2</v>
      </c>
      <c r="B22" s="23">
        <f>-Assumptions!$C$59*$A22*(1-Assumptions!$C$57)*(1-B$18)</f>
        <v/>
      </c>
      <c r="C22" s="23">
        <f>-Assumptions!$C$59*$A22*(1-Assumptions!$C$57)*(1-C$18)</f>
        <v/>
      </c>
      <c r="D22" s="23">
        <f>-Assumptions!$C$59*$A22*(1-Assumptions!$C$57)*(1-D$18)</f>
        <v/>
      </c>
      <c r="E22" s="23">
        <f>-Assumptions!$C$59*$A22*(1-Assumptions!$C$57)*(1-E$18)</f>
        <v/>
      </c>
    </row>
    <row r="24">
      <c r="A24" t="inlineStr">
        <is>
          <t>Unhedged, no pass-through exposure per $1/gal ($mm)</t>
        </is>
      </c>
      <c r="B24" s="35">
        <f>Assumptions!C59</f>
        <v/>
      </c>
    </row>
    <row r="25">
      <c r="A25" s="3" t="inlineStr">
        <is>
          <t>Pass-through on surcharge contracts set on Assumptions!C57; hedge ratios on row 18.</t>
        </is>
      </c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</sheetPr>
  <dimension ref="A1:D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30" customWidth="1" min="4" max="4"/>
  </cols>
  <sheetData>
    <row r="1">
      <c r="A1" s="1" t="inlineStr">
        <is>
          <t>Phase 1 — pre-November 3 deployment</t>
        </is>
      </c>
    </row>
    <row r="2">
      <c r="A2" s="2" t="inlineStr">
        <is>
          <t>STAGE 1 MODEL — accelerated timeline. Exit-based returns on deal-team assumptions; full debt schedule, quarterly build and diligence-validated inputs follow in Stage 2.</t>
        </is>
      </c>
    </row>
    <row r="3">
      <c r="A3" s="3" t="inlineStr">
        <is>
          <t>Project Equity Belt · Blackstone Tactical Opportunities × Infrastructure Partners · Highly Confidential · $ in millions unless noted</t>
        </is>
      </c>
    </row>
    <row r="5">
      <c r="A5" s="19" t="inlineStr">
        <is>
          <t>Use</t>
        </is>
      </c>
      <c r="B5" s="20" t="inlineStr">
        <is>
          <t>$mm</t>
        </is>
      </c>
      <c r="C5" s="20" t="inlineStr">
        <is>
          <t>Fund</t>
        </is>
      </c>
      <c r="D5" s="20" t="inlineStr">
        <is>
          <t>Timing</t>
        </is>
      </c>
    </row>
    <row r="6">
      <c r="A6" s="8" t="inlineStr">
        <is>
          <t>Rescue (DIP) loans, 2–3 Chapter 11 carriers</t>
        </is>
      </c>
      <c r="B6" s="22" t="n">
        <v>25</v>
      </c>
      <c r="C6" s="8" t="inlineStr">
        <is>
          <t>Tac Opps</t>
        </is>
      </c>
      <c r="D6" s="8" t="inlineStr">
        <is>
          <t>Term sheets Oct 14; interim orders Oct 23</t>
        </is>
      </c>
    </row>
    <row r="7">
      <c r="A7" s="8" t="inlineStr">
        <is>
          <t>Chapter 7 fleet &amp; yard purchases</t>
        </is>
      </c>
      <c r="B7" s="22" t="n">
        <v>20</v>
      </c>
      <c r="C7" s="8" t="inlineStr">
        <is>
          <t>BIP (PropCo)</t>
        </is>
      </c>
      <c r="D7" s="8" t="inlineStr">
        <is>
          <t>Bids Oct 14; first closings Oct 19–25</t>
        </is>
      </c>
    </row>
    <row r="8">
      <c r="A8" s="8" t="inlineStr">
        <is>
          <t>Diligence, diesel hedge program, Ownership Works setup</t>
        </is>
      </c>
      <c r="B8" s="22" t="n">
        <v>3</v>
      </c>
      <c r="C8" s="8" t="inlineStr">
        <is>
          <t>Tac Opps / BIP</t>
        </is>
      </c>
      <c r="D8" s="8" t="inlineStr">
        <is>
          <t>Oct 5–16</t>
        </is>
      </c>
    </row>
    <row r="9">
      <c r="A9" s="7" t="inlineStr">
        <is>
          <t>Phase 1 total</t>
        </is>
      </c>
      <c r="B9" s="24">
        <f>SUM(B6:B8)</f>
        <v/>
      </c>
    </row>
    <row r="10">
      <c r="A10" t="inlineStr">
        <is>
          <t>Phase 2 (Q1 2027 IC)</t>
        </is>
      </c>
      <c r="B10" s="35">
        <f>'Sources &amp; Uses'!C12-B9</f>
        <v/>
      </c>
    </row>
    <row r="11">
      <c r="A11" t="inlineStr">
        <is>
          <t>Phase 1 Chapter 7 ties to S&amp;U</t>
        </is>
      </c>
      <c r="B11" s="35">
        <f>B7-Assumptions!C22</f>
        <v/>
      </c>
    </row>
    <row r="13">
      <c r="A13" s="19" t="inlineStr">
        <is>
          <t>Key date</t>
        </is>
      </c>
      <c r="B13" s="20" t="inlineStr">
        <is>
          <t>Date</t>
        </is>
      </c>
      <c r="C13" s="20" t="inlineStr">
        <is>
          <t>Owner</t>
        </is>
      </c>
      <c r="D13" s="20" t="inlineStr"/>
    </row>
    <row r="14">
      <c r="A14" s="8" t="inlineStr">
        <is>
          <t>IC Phase 1 approval</t>
        </is>
      </c>
      <c r="B14" s="8" t="inlineStr">
        <is>
          <t>Oct 7</t>
        </is>
      </c>
      <c r="C14" s="8" t="inlineStr">
        <is>
          <t>Tac Opps / BIP</t>
        </is>
      </c>
    </row>
    <row r="15">
      <c r="A15" s="8" t="inlineStr">
        <is>
          <t>DIP term sheets out; Chapter 7 bids</t>
        </is>
      </c>
      <c r="B15" s="8" t="inlineStr">
        <is>
          <t>Oct 14</t>
        </is>
      </c>
      <c r="C15" s="8" t="inlineStr">
        <is>
          <t>Tac Opps / BIP</t>
        </is>
      </c>
    </row>
    <row r="16">
      <c r="A16" s="8" t="inlineStr">
        <is>
          <t>Diesel hedge placed</t>
        </is>
      </c>
      <c r="B16" s="8" t="inlineStr">
        <is>
          <t>Oct 16</t>
        </is>
      </c>
      <c r="C16" s="8" t="inlineStr">
        <is>
          <t>BIP / Treasury</t>
        </is>
      </c>
    </row>
    <row r="17">
      <c r="A17" s="8" t="inlineStr">
        <is>
          <t>Springfield hiring center opens; CDL cohort 1</t>
        </is>
      </c>
      <c r="B17" s="8" t="inlineStr">
        <is>
          <t>Oct 21</t>
        </is>
      </c>
      <c r="C17" s="8" t="inlineStr">
        <is>
          <t>OpCo / Ownership Works</t>
        </is>
      </c>
    </row>
    <row r="18">
      <c r="A18" s="8" t="inlineStr">
        <is>
          <t>Stalking-horse agreement filed; interim DIP orders</t>
        </is>
      </c>
      <c r="B18" s="8" t="inlineStr">
        <is>
          <t>Oct 23</t>
        </is>
      </c>
      <c r="C18" s="8" t="inlineStr">
        <is>
          <t>Tac Opps</t>
        </is>
      </c>
    </row>
    <row r="19">
      <c r="A19" s="8" t="inlineStr">
        <is>
          <t>First employee equity grants</t>
        </is>
      </c>
      <c r="B19" s="8" t="inlineStr">
        <is>
          <t>Oct 27</t>
        </is>
      </c>
      <c r="C19" s="8" t="inlineStr">
        <is>
          <t>OpCo</t>
        </is>
      </c>
    </row>
    <row r="20">
      <c r="A20" s="8" t="inlineStr">
        <is>
          <t>Public announcement and site visit</t>
        </is>
      </c>
      <c r="B20" s="8" t="inlineStr">
        <is>
          <t>Oct 29</t>
        </is>
      </c>
      <c r="C20" s="8" t="inlineStr">
        <is>
          <t>Public Affairs</t>
        </is>
      </c>
    </row>
    <row r="21">
      <c r="A21" s="8" t="inlineStr">
        <is>
          <t>Election Day</t>
        </is>
      </c>
      <c r="B21" s="8" t="inlineStr">
        <is>
          <t>Nov 3</t>
        </is>
      </c>
      <c r="C21" s="8" t="inlineStr">
        <is>
          <t>—</t>
        </is>
      </c>
    </row>
    <row r="22">
      <c r="A22" s="8" t="inlineStr">
        <is>
          <t>Phase 2 IC; platform close; 363 closings</t>
        </is>
      </c>
      <c r="B22" s="8" t="inlineStr">
        <is>
          <t>Q1 2027</t>
        </is>
      </c>
      <c r="C22" s="8" t="inlineStr">
        <is>
          <t>Tac Opps / BIP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2026-10-05T04:07:01Z</dcterms:created>
  <dcterms:modified xsi:type="dcterms:W3CDTF">2026-10-05T04:07:01Z</dcterms:modified>
</cp:coreProperties>
</file>