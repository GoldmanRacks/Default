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 Summary" sheetId="1" state="visible" r:id="rId3"/>
    <sheet name="Thesis Review" sheetId="2" state="visible" r:id="rId4"/>
    <sheet name="Assumptions" sheetId="3" state="visible" r:id="rId5"/>
    <sheet name="Sources &amp; Uses" sheetId="4" state="visible" r:id="rId6"/>
    <sheet name="Roll-Up Model" sheetId="5" state="visible" r:id="rId7"/>
    <sheet name="Synergies" sheetId="6" state="visible" r:id="rId8"/>
    <sheet name="Exit &amp; Returns" sheetId="7" state="visible" r:id="rId9"/>
    <sheet name="Sensitivity" sheetId="8" state="visible" r:id="rId10"/>
    <sheet name="Scenario 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<sst xmlns="http://schemas.openxmlformats.org/spreadsheetml/2006/main" count="688" uniqueCount="575">
  <si>
    <t xml:space="preserve">LEVIATHAN — 10-YR INFRASTRUCTURE &amp; SMALL BUSINESS ROLL-UP VEHICLE</t>
  </si>
  <si>
    <t xml:space="preserve">Position: East Coast Marine Diesel Engine &amp; Service Center Roll-Up  |  Leviathan equity cap $15M  |  Exit lens: Blackstone Infrastructure (Safe Harbor) / MarineMax</t>
  </si>
  <si>
    <t xml:space="preserve">Live scenario</t>
  </si>
  <si>
    <t xml:space="preserve">Selected exit route / year</t>
  </si>
  <si>
    <t xml:space="preserve">HEADLINE (selected route &amp; year)</t>
  </si>
  <si>
    <t xml:space="preserve">Leviathan equity drawn</t>
  </si>
  <si>
    <t xml:space="preserve">Gross value to Leviathan (exit + interim distributions)</t>
  </si>
  <si>
    <t xml:space="preserve">Gross MOIC</t>
  </si>
  <si>
    <t xml:space="preserve">Gross IRR</t>
  </si>
  <si>
    <t xml:space="preserve">Net MOIC to LPs (after 2% fee / 8% pref / 20% carry)</t>
  </si>
  <si>
    <t xml:space="preserve">Net IRR to LPs</t>
  </si>
  <si>
    <t xml:space="preserve">PLATFORM TRAJECTORY</t>
  </si>
  <si>
    <t xml:space="preserve">Metric</t>
  </si>
  <si>
    <t xml:space="preserve">Close</t>
  </si>
  <si>
    <t xml:space="preserve">Y3 (2029)</t>
  </si>
  <si>
    <t xml:space="preserve">Y5 (2031)</t>
  </si>
  <si>
    <t xml:space="preserve">Y7 (2033)</t>
  </si>
  <si>
    <t xml:space="preserve">Y10 (2036)</t>
  </si>
  <si>
    <t xml:space="preserve">Revenue</t>
  </si>
  <si>
    <t xml:space="preserve">Adjusted EBITDA</t>
  </si>
  <si>
    <t xml:space="preserve">EBITDA margin</t>
  </si>
  <si>
    <t xml:space="preserve">Locations</t>
  </si>
  <si>
    <t xml:space="preserve">Contracted % of revenue</t>
  </si>
  <si>
    <t xml:space="preserve">Safe Harbor embedded bays</t>
  </si>
  <si>
    <t xml:space="preserve">Total leverage</t>
  </si>
  <si>
    <t xml:space="preserve">Cumulative Leviathan equity</t>
  </si>
  <si>
    <t xml:space="preserve">Leviathan ownership</t>
  </si>
  <si>
    <t xml:space="preserve">RETURNS MATRIX (gross to Leviathan)</t>
  </si>
  <si>
    <t xml:space="preserve">Route</t>
  </si>
  <si>
    <t xml:space="preserve">MOIC Y5</t>
  </si>
  <si>
    <t xml:space="preserve">MOIC Y7</t>
  </si>
  <si>
    <t xml:space="preserve">MOIC Y10</t>
  </si>
  <si>
    <t xml:space="preserve">IRR Y7</t>
  </si>
  <si>
    <t xml:space="preserve">IRR Y10</t>
  </si>
  <si>
    <t xml:space="preserve">INTEGRITY CHECKS (1 = OK)</t>
  </si>
  <si>
    <t xml:space="preserve">Sources = uses at close</t>
  </si>
  <si>
    <t xml:space="preserve">Leviathan equity at close &lt;= $15M</t>
  </si>
  <si>
    <t xml:space="preserve">Covenant, cap and min-cash checks (all years)</t>
  </si>
  <si>
    <t xml:space="preserve">HOW TO USE</t>
  </si>
  <si>
    <t xml:space="preserve">• Edit blue cells only. Key levers are in yellow on Assumptions: scenario switch (B4), $15M cap, exit year, exit route.</t>
  </si>
  <si>
    <t xml:space="preserve">• Thesis Review: line-by-line critique of the CIM and the optimized assumptions used here. Synergies: platform operating synergies (feed EBITDA) and buyer synergies (feed exit premium).</t>
  </si>
  <si>
    <t xml:space="preserve">• Roll-Up Model: acquisitions -&gt; revenue -&gt; EBITDA -&gt; FCF -&gt; funding waterfall (cash, then Leviathan equity up to the cap, then revolver) -&gt; debt -&gt; units / ownership.</t>
  </si>
  <si>
    <t xml:space="preserve">• Exit &amp; Returns: all four routes for every exit year, an IRR engine, and the net-to-LP waterfall for the selected case. Sensitivity: live grids. Scenario Summary: pasted snapshot of all four cases.</t>
  </si>
  <si>
    <t xml:space="preserve">• Sources: Safe Harbor / Blackstone Infrastructure ($5.65B, 138 marinas, closed Apr-2025); MarineMax FY26 filings (120+ locations, 65 marinas/storage, FY26 adj. EBITDA guide $110-125M). Marina-bay economics, MarineMax routable volume and infra multiples are estimates, flagged as such.</t>
  </si>
  <si>
    <t xml:space="preserve">MARINE DIESEL ROLL-UP — THESIS REVIEW &amp; OPTIMIZATION</t>
  </si>
  <si>
    <t xml:space="preserve">Source: 'Marine Diesel Engine &amp; Service Center Roll-Up Platform' CIM, Aug-2026 (17 pp). Re-underwritten for Leviathan's 10-Year Infrastructure &amp; Small Business Roll-Up vehicle.</t>
  </si>
  <si>
    <t xml:space="preserve">Area</t>
  </si>
  <si>
    <t xml:space="preserve">CIM position</t>
  </si>
  <si>
    <t xml:space="preserve">Issue / gap</t>
  </si>
  <si>
    <t xml:space="preserve">Optimized thesis (as modeled)</t>
  </si>
  <si>
    <t xml:space="preserve">Model lever</t>
  </si>
  <si>
    <t xml:space="preserve">Capital required</t>
  </si>
  <si>
    <t xml:space="preserve">~$80M cumulative capital by Y5 (p.12); platform $7-22M EV.</t>
  </si>
  <si>
    <t xml:space="preserve">5x+ the $15M mandate. CIM never shows a capital stack.</t>
  </si>
  <si>
    <t xml:space="preserve">Hard $15M Leviathan cap. Stack: 2.25x senior + DDTL (40% of add-on EV) + seller notes (10-15%) + rollover (5-15%) + earnouts (10%) + retained FCF. Revolver only after cap is exhausted.</t>
  </si>
  <si>
    <t xml:space="preserve">Assumptions B-col capital block; Sources &amp; Uses</t>
  </si>
  <si>
    <t xml:space="preserve">Platform size</t>
  </si>
  <si>
    <t xml:space="preserve">$8-15M revenue, 18-25% margin, 5-6x.</t>
  </si>
  <si>
    <t xml:space="preserve">Top of range unaffordable under the cap.</t>
  </si>
  <si>
    <t xml:space="preserve">$10M revenue / 18% normalized margin (QoE haircut) / 5.25x. ~$2.4M Leviathan check at close leaves ~$12.6M for add-ons.</t>
  </si>
  <si>
    <t xml:space="preserve">plat_rev, plat_margin, plat_mult</t>
  </si>
  <si>
    <t xml:space="preserve">Margins</t>
  </si>
  <si>
    <t xml:space="preserve">Blended EBITDA 20% -&gt; 25% by Y5; parts GM 40-60%.</t>
  </si>
  <si>
    <t xml:space="preserve">Owner-operated marine shops normalize to 12-18%. OEM parts GM is closer to 30-40%.</t>
  </si>
  <si>
    <t xml:space="preserve">Platform 18% / add-ons 14% standalone + bottom-up synergies (~5.5 pts) less a real HQ cost line ($1.0M growing 8%).</t>
  </si>
  <si>
    <t xml:space="preserve">Synergies tab part A; oh1</t>
  </si>
  <si>
    <t xml:space="preserve">Synergy math</t>
  </si>
  <si>
    <t xml:space="preserve">Overhead 25-30% -&gt; 18-22%; utilization 65-75% -&gt; 85-95%.</t>
  </si>
  <si>
    <t xml:space="preserve">Double-counts: overhead savings with no HQ cost; 85-95% utilization means technicians relocate seasonally.</t>
  </si>
  <si>
    <t xml:space="preserve">Back-office +3 pts net; utilization 70% -&gt; 80% with 25% flow-through; procurement 10% on parts COGS.</t>
  </si>
  <si>
    <t xml:space="preserve">Synergies C5:D12</t>
  </si>
  <si>
    <t xml:space="preserve">Return math</t>
  </si>
  <si>
    <t xml:space="preserve">'$213M EV vs $80M capital = 2.7x' (p.12).</t>
  </si>
  <si>
    <t xml:space="preserve">Compares EV to capital and ignores debt, seller paper, earnouts, rollover dilution and MIP.</t>
  </si>
  <si>
    <t xml:space="preserve">Equity-level waterfall: EV - net debt - exit costs - MIP, times Leviathan's fully-diluted ownership (units priced at fair-value marks).</t>
  </si>
  <si>
    <t xml:space="preserve">Exit &amp; Returns</t>
  </si>
  <si>
    <t xml:space="preserve">Exit multiple</t>
  </si>
  <si>
    <t xml:space="preserve">9-12x generic 'platform exit'.</t>
  </si>
  <si>
    <t xml:space="preserve">No named buyer and no reason for a premium.</t>
  </si>
  <si>
    <t xml:space="preserve">Blended multiple: services (10x) on transactional cash flows, infra (15x) on contracted / marina-embedded cash flows. Contracted share goes from 15% to 35% by Y7 in Base.</t>
  </si>
  <si>
    <t xml:space="preserve">svc_mult, infra_mult, contract_tgt</t>
  </si>
  <si>
    <t xml:space="preserve">Exit path</t>
  </si>
  <si>
    <t xml:space="preserve">Not specified.</t>
  </si>
  <si>
    <t xml:space="preserve">Exit is the main value driver of a roll-up.</t>
  </si>
  <si>
    <t xml:space="preserve">Pre-wire Blackstone Infrastructure: a Safe Harbor preferred-provider agreement in Y2 and embedded service bays from Y3 (30 marinas by Y10). Four modeled routes: 100% BX sale; spin/partial with 40% retained inside Safe Harbor; MarineMax strategic; sponsor.</t>
  </si>
  <si>
    <t xml:space="preserve">sh_target, route, exit_yr</t>
  </si>
  <si>
    <t xml:space="preserve">Geography</t>
  </si>
  <si>
    <t xml:space="preserve">S. Florida -&gt; Mid-Atlantic -&gt; Northeast by phase.</t>
  </si>
  <si>
    <t xml:space="preserve">Sequenced by vessel counts, not by where the exit buyer operates.</t>
  </si>
  <si>
    <t xml:space="preserve">Same phases, with a new screening rule: favor targets within ~25 miles of a Safe Harbor or MarineMax location (FL, Chesapeake, LI Sound, New England).</t>
  </si>
  <si>
    <t xml:space="preserve">Time-series schedule</t>
  </si>
  <si>
    <t xml:space="preserve">Market sizing</t>
  </si>
  <si>
    <t xml:space="preserve">$5.1B global MRO; 12.7-yr merchant-fleet age.</t>
  </si>
  <si>
    <t xml:space="preserve">Global / merchant-fleet data says little about East Coast recreational and workboat diesel.</t>
  </si>
  <si>
    <t xml:space="preserve">Bottom-up East Coast TAM below: registered vessels x diesel share x annual spend, plus commercial and workboat.</t>
  </si>
  <si>
    <t xml:space="preserve">TAM block below</t>
  </si>
  <si>
    <t xml:space="preserve">Sponsor framing</t>
  </si>
  <si>
    <t xml:space="preserve">Branded Blackstone Tactical Opportunities as sponsor.</t>
  </si>
  <si>
    <t xml:space="preserve">Conflict: BX is the intended buyer. Sponsor-to-affiliate sales need an independent process and fairness opinion.</t>
  </si>
  <si>
    <t xml:space="preserve">Leviathan is the sponsor and BX Infra is the buyer. Run a real auction (BX vs MarineMax vs sponsors); that competition is where the seller's synergy share comes from.</t>
  </si>
  <si>
    <t xml:space="preserve">syn_share</t>
  </si>
  <si>
    <t xml:space="preserve">Key risks</t>
  </si>
  <si>
    <t xml:space="preserve">Technician retention rated Moderate-High.</t>
  </si>
  <si>
    <t xml:space="preserve">This is the binding constraint. OEM authorization transfer is a gating item.</t>
  </si>
  <si>
    <t xml:space="preserve">Rollover + MIP (10% of gains) for GMs and lead techs; OEM consent as a closing condition; earnouts tied to technician retention.</t>
  </si>
  <si>
    <t xml:space="preserve">mip, p_ro, eo_ach</t>
  </si>
  <si>
    <t xml:space="preserve">10-yr vehicle fit</t>
  </si>
  <si>
    <t xml:space="preserve">5-year hold.</t>
  </si>
  <si>
    <t xml:space="preserve">The vehicle has a 10-year life, so there is time for a two-step exit.</t>
  </si>
  <si>
    <t xml:space="preserve">Route 2: sell 60% to BX Infra at Y5-7 for DPI and keep 40% compounding inside Safe Harbor to Y10.</t>
  </si>
  <si>
    <t xml:space="preserve">ret_pct, post_g</t>
  </si>
  <si>
    <t xml:space="preserve">BOTTOM-UP EAST COAST TAM (replaces global MRO figure)</t>
  </si>
  <si>
    <t xml:space="preserve">Registered vessels — East Coast corridor (#)</t>
  </si>
  <si>
    <t xml:space="preserve">CIM Appendix A: S.FL 300k + C/N FL 600k + Mid-Atl 500k + NE 400k.</t>
  </si>
  <si>
    <t xml:space="preserve">Diesel-powered share of recreational fleet</t>
  </si>
  <si>
    <t xml:space="preserve">Estimate: inboard diesel skews to 30ft+ vessels. Verify against NMMA / USCG data.</t>
  </si>
  <si>
    <t xml:space="preserve">Annual diesel service + parts spend per vessel ($)</t>
  </si>
  <si>
    <t xml:space="preserve">Estimate: annual service, impellers, injectors, plus amortized overhaul.</t>
  </si>
  <si>
    <t xml:space="preserve">Recreational diesel TAM ($M)</t>
  </si>
  <si>
    <t xml:space="preserve">Commercial / workboat / fishing / government diesel TAM ($M)</t>
  </si>
  <si>
    <t xml:space="preserve">Estimate: Hampton Roads, New Bedford, Gulf-of-Maine fleets, ferries, tugs.</t>
  </si>
  <si>
    <t xml:space="preserve">TOTAL East Coast addressable ($M)</t>
  </si>
  <si>
    <t xml:space="preserve">Platform Y10 revenue share of TAM</t>
  </si>
  <si>
    <t xml:space="preserve">ASSUMPTIONS &amp; SCENARIO LEVERS</t>
  </si>
  <si>
    <t xml:space="preserve">Blue = hardcoded input. Black = formula. Yellow = key lever. $M unless noted. Column B is the LIVE value used by the model.</t>
  </si>
  <si>
    <t xml:space="preserve">Active scenario (1 = Base, 2 = Upside / Infra Re-Rate, 3 = Downside, 4 = Aggressive)</t>
  </si>
  <si>
    <t xml:space="preserve">Change this one cell to flip every scenario-driven input below.</t>
  </si>
  <si>
    <t xml:space="preserve">SCENARIO-DRIVEN INPUTS</t>
  </si>
  <si>
    <t xml:space="preserve">Lever</t>
  </si>
  <si>
    <t xml:space="preserve">LIVE</t>
  </si>
  <si>
    <t xml:space="preserve">Base</t>
  </si>
  <si>
    <t xml:space="preserve">Upside</t>
  </si>
  <si>
    <t xml:space="preserve">Downside</t>
  </si>
  <si>
    <t xml:space="preserve">Aggressive</t>
  </si>
  <si>
    <t xml:space="preserve">Rationale / source</t>
  </si>
  <si>
    <t xml:space="preserve">Organic revenue growth (same-store)</t>
  </si>
  <si>
    <t xml:space="preserve">CIM 5-8%. Base at low end; Downside = recession boating cycle.</t>
  </si>
  <si>
    <t xml:space="preserve">Platform entry multiple (x EBITDA)</t>
  </si>
  <si>
    <t xml:space="preserve">CIM 5-6x. $15M cap forces the smaller end of the platform range.</t>
  </si>
  <si>
    <t xml:space="preserve">Add-on entry multiple (x EBITDA)</t>
  </si>
  <si>
    <t xml:space="preserve">CIM 4-5x for $2-10M revenue shops.</t>
  </si>
  <si>
    <t xml:space="preserve">Add-on pace multiplier (x base schedule)</t>
  </si>
  <si>
    <t xml:space="preserve">Scales the year-by-year deal schedule at the bottom of this tab.</t>
  </si>
  <si>
    <t xml:space="preserve">Add-on standalone EBITDA margin</t>
  </si>
  <si>
    <t xml:space="preserve">CIM 12-22%. Small shops normalize to low-mid teens after owner add-backs.</t>
  </si>
  <si>
    <t xml:space="preserve">Operating-synergy realization (% of Synergies tab)</t>
  </si>
  <si>
    <t xml:space="preserve">Applied to bottom-up mature margin uplift on Synergies tab.</t>
  </si>
  <si>
    <t xml:space="preserve">Contracted / recurring share of core revenue by Y7</t>
  </si>
  <si>
    <t xml:space="preserve">Fleet MSAs, extended service plans, IoT monitoring subs. Drives the infra-multiple blend.</t>
  </si>
  <si>
    <t xml:space="preserve">Safe Harbor marinas with embedded service bay by Y10 (#)</t>
  </si>
  <si>
    <t xml:space="preserve">Preferred-provider agreement with Safe Harbor (138 marinas). Pre-wires the BX Infra exit.</t>
  </si>
  <si>
    <t xml:space="preserve">Exit multiple — services cash flows (x EBITDA)</t>
  </si>
  <si>
    <t xml:space="preserve">CIM 9-12x. Scaled multi-site industrial services.</t>
  </si>
  <si>
    <t xml:space="preserve">Exit multiple — contracted / infra-like cash flows (x EBITDA)</t>
  </si>
  <si>
    <t xml:space="preserve">Infra buyers capitalize contracted, marina-embedded cash flows like Safe Harbor itself. Estimate.</t>
  </si>
  <si>
    <t xml:space="preserve">Share of buyer synergies paid to seller</t>
  </si>
  <si>
    <t xml:space="preserve">Competitive tension: BX Infra vs MarineMax vs sponsors.</t>
  </si>
  <si>
    <t xml:space="preserve">Base rate (SOFR)</t>
  </si>
  <si>
    <t xml:space="preserve">Floating-rate reference for senior, DDTL and revolver.</t>
  </si>
  <si>
    <t xml:space="preserve">Earnout achievement (% of max paid)</t>
  </si>
  <si>
    <t xml:space="preserve">Higher achievement = more cash out, but only when EBITDA delivered.</t>
  </si>
  <si>
    <t xml:space="preserve">CAPITAL &amp; DEAL STRUCTURE (all scenarios)</t>
  </si>
  <si>
    <t xml:space="preserve">Leviathan equity commitment — HARD CAP ($M)</t>
  </si>
  <si>
    <t xml:space="preserve">User mandate: no more than $15M to start. Model never draws above this.</t>
  </si>
  <si>
    <t xml:space="preserve">Platform LTM revenue ($M)</t>
  </si>
  <si>
    <t xml:space="preserve">CIM platform range $8-15M; sized to the $15M cap.</t>
  </si>
  <si>
    <t xml:space="preserve">Platform normalized EBITDA margin</t>
  </si>
  <si>
    <t xml:space="preserve">CIM 18-25%. Haircut to low end after QoE normalization.</t>
  </si>
  <si>
    <t xml:space="preserve">Platform locations (#)</t>
  </si>
  <si>
    <t xml:space="preserve">CIM Year 1: 1-2 locations.</t>
  </si>
  <si>
    <t xml:space="preserve">Platform transaction costs (% of EV)</t>
  </si>
  <si>
    <t xml:space="preserve">Legal, QoE, OEM consent, financing fees.</t>
  </si>
  <si>
    <t xml:space="preserve">Add-on transaction costs (% of EV)</t>
  </si>
  <si>
    <t xml:space="preserve">Smaller deals carry higher % costs.</t>
  </si>
  <si>
    <t xml:space="preserve">Minimum operating cash ($M)</t>
  </si>
  <si>
    <t xml:space="preserve">Senior term loan at close (x platform EBITDA)</t>
  </si>
  <si>
    <t xml:space="preserve">Lower-middle-market unitranche / SBA-adjacent capacity.</t>
  </si>
  <si>
    <t xml:space="preserve">Platform seller note (% of EV)</t>
  </si>
  <si>
    <t xml:space="preserve">CIM: earnout 15-25%, rollover 10-20%. Optimized toward seller paper.</t>
  </si>
  <si>
    <t xml:space="preserve">Platform seller rollover equity (% of EV)</t>
  </si>
  <si>
    <t xml:space="preserve">Platform earnout — max (% of EV)</t>
  </si>
  <si>
    <t xml:space="preserve">Paid after lag x achievement.</t>
  </si>
  <si>
    <t xml:space="preserve">Add-on: delayed-draw term loan (% of EV)</t>
  </si>
  <si>
    <t xml:space="preserve">Lender sizing ~3.5-4.0x pro forma EBITDA at platform level.</t>
  </si>
  <si>
    <t xml:space="preserve">Add-on: minimum sponsor equity (% of EV) while commitment remains</t>
  </si>
  <si>
    <t xml:space="preserve">Lender equity-cushion requirement; this also forces the $15M to be put to work.</t>
  </si>
  <si>
    <t xml:space="preserve">Add-on: seller note (% of EV)</t>
  </si>
  <si>
    <t xml:space="preserve">Add-on: seller rollover (% of EV)</t>
  </si>
  <si>
    <t xml:space="preserve">CIM 0-10%.</t>
  </si>
  <si>
    <t xml:space="preserve">Add-on: earnout — max (% of EV)</t>
  </si>
  <si>
    <t xml:space="preserve">CIM 10-20%.</t>
  </si>
  <si>
    <t xml:space="preserve">Earnout payment lag (years)</t>
  </si>
  <si>
    <t xml:space="preserve">Avg add-on revenue in Y1 ($M)</t>
  </si>
  <si>
    <t xml:space="preserve">CIM add-on range $2-10M.</t>
  </si>
  <si>
    <t xml:space="preserve">Avg add-on size growth / yr</t>
  </si>
  <si>
    <t xml:space="preserve">Later Northeast targets larger / premium-priced.</t>
  </si>
  <si>
    <t xml:space="preserve">Mid-year convention (share of acquired revenue in deal year)</t>
  </si>
  <si>
    <t xml:space="preserve">OPERATIONS, CONTRACTED REVENUE &amp; SAFE HARBOR PROGRAM</t>
  </si>
  <si>
    <t xml:space="preserve">Contracted share of core revenue at close</t>
  </si>
  <si>
    <t xml:space="preserve">Today: ad-hoc repair; few written service contracts.</t>
  </si>
  <si>
    <t xml:space="preserve">Years to reach contracted-share target</t>
  </si>
  <si>
    <t xml:space="preserve">Platform corporate overhead Y1 ($M)</t>
  </si>
  <si>
    <t xml:space="preserve">CEO/CFO, integration team, IT/CRM, training academy.</t>
  </si>
  <si>
    <t xml:space="preserve">Corporate overhead growth / yr</t>
  </si>
  <si>
    <t xml:space="preserve">Safe Harbor program start year</t>
  </si>
  <si>
    <t xml:space="preserve">Preferred-provider agreement negotiated Y2, first bays Y3.</t>
  </si>
  <si>
    <t xml:space="preserve">Revenue per embedded marina service bay ($M / yr)</t>
  </si>
  <si>
    <t xml:space="preserve">Estimate: 3-4 techs + parts at a 300-500 slip marina. Verify in diligence.</t>
  </si>
  <si>
    <t xml:space="preserve">EBITDA margin — marina service bay (after rev share)</t>
  </si>
  <si>
    <t xml:space="preserve">No real estate cost; ~10% revenue share to Safe Harbor embedded.</t>
  </si>
  <si>
    <t xml:space="preserve">Capex per new marina bay ($M)</t>
  </si>
  <si>
    <t xml:space="preserve">Tooling, service vehicle, parts cage.</t>
  </si>
  <si>
    <t xml:space="preserve">D&amp;A (% of revenue)</t>
  </si>
  <si>
    <t xml:space="preserve">Maintenance capex (% of revenue)</t>
  </si>
  <si>
    <t xml:space="preserve">NWC (% of incremental organic revenue)</t>
  </si>
  <si>
    <t xml:space="preserve">Parts inventory + receivables.</t>
  </si>
  <si>
    <t xml:space="preserve">Cash tax rate on EBT</t>
  </si>
  <si>
    <t xml:space="preserve">Blended fed + state; partnership flow-through ignored.</t>
  </si>
  <si>
    <t xml:space="preserve">DEBT TERMS</t>
  </si>
  <si>
    <t xml:space="preserve">Senior term loan spread over SOFR</t>
  </si>
  <si>
    <t xml:space="preserve">Senior amortization (% of original / yr)</t>
  </si>
  <si>
    <t xml:space="preserve">Excess cash sweep to senior (%)</t>
  </si>
  <si>
    <t xml:space="preserve">First year excess cash is distributed to equity</t>
  </si>
  <si>
    <t xml:space="preserve">10-yr vehicle: DPI from Y5 instead of letting cash sit.</t>
  </si>
  <si>
    <t xml:space="preserve">Share of post-sweep excess cash distributed</t>
  </si>
  <si>
    <t xml:space="preserve">DDTL spread over SOFR</t>
  </si>
  <si>
    <t xml:space="preserve">DDTL amortization (% of beginning balance / yr)</t>
  </si>
  <si>
    <t xml:space="preserve">Revolver spread over SOFR</t>
  </si>
  <si>
    <t xml:space="preserve">Funds any acquisition shortfall once the $15M cap is fully drawn.</t>
  </si>
  <si>
    <t xml:space="preserve">Seller note coupon (fixed)</t>
  </si>
  <si>
    <t xml:space="preserve">Seller note term — straight-line (years)</t>
  </si>
  <si>
    <t xml:space="preserve">Max total leverage covenant (x EBITDA)</t>
  </si>
  <si>
    <t xml:space="preserve">Flag only; check row on Roll-Up Model.</t>
  </si>
  <si>
    <t xml:space="preserve">EQUITY, EXIT &amp; VEHICLE TERMS</t>
  </si>
  <si>
    <t xml:space="preserve">Interim mark multiple for unit pricing (x prior-yr PF EBITDA)</t>
  </si>
  <si>
    <t xml:space="preserve">Prices rollover &amp; later Leviathan draws at fair value, not cost.</t>
  </si>
  <si>
    <t xml:space="preserve">Management incentive pool (% of equity gain)</t>
  </si>
  <si>
    <t xml:space="preserve">Profits interest for platform CEO + GMs.</t>
  </si>
  <si>
    <t xml:space="preserve">Exit transaction costs (% of EV)</t>
  </si>
  <si>
    <t xml:space="preserve">Buyer-synergy probability / timing haircut</t>
  </si>
  <si>
    <t xml:space="preserve">Applied before the seller share.</t>
  </si>
  <si>
    <t xml:space="preserve">Safe Harbor marina count</t>
  </si>
  <si>
    <t xml:space="preserve">Source: Blackstone Infrastructure / Sun Communities, Safe Harbor sale closed Apr-2025 ($5.65B; 138 marinas).</t>
  </si>
  <si>
    <t xml:space="preserve">Share of Safe Harbor network a buyer can equip with service bays</t>
  </si>
  <si>
    <t xml:space="preserve">Buyer-side synergy; non-Atlantic / dry-stack sites excluded.</t>
  </si>
  <si>
    <t xml:space="preserve">BX scale cost synergies (% of revenue) — insurance, GPO, fleet</t>
  </si>
  <si>
    <t xml:space="preserve">Blackstone portfolio procurement programs.</t>
  </si>
  <si>
    <t xml:space="preserve">MarineMax East Coast service / repower volume routable to platform ($M rev)</t>
  </si>
  <si>
    <t xml:space="preserve">Estimate. MarineMax: 120+ locations, 70+ dealerships, 65 marinas/storage (FY26 filings).</t>
  </si>
  <si>
    <t xml:space="preserve">EBITDA margin on routed MarineMax volume</t>
  </si>
  <si>
    <t xml:space="preserve">Platform locations needed to absorb full MarineMax volume (#)</t>
  </si>
  <si>
    <t xml:space="preserve">Volume scales linearly with footprint below this.</t>
  </si>
  <si>
    <t xml:space="preserve">Probability MarineMax channel deal exists under BX ownership</t>
  </si>
  <si>
    <t xml:space="preserve">Commercial agreement (not ownership) when BX is the buyer.</t>
  </si>
  <si>
    <t xml:space="preserve">MarineMax strategic exit multiple (x EBITDA)</t>
  </si>
  <si>
    <t xml:space="preserve">Dealer-group buyer pays services multiple; FY26 adj. EBITDA guide $110-125M.</t>
  </si>
  <si>
    <t xml:space="preserve">MarineMax cost synergies (% of revenue)</t>
  </si>
  <si>
    <t xml:space="preserve">Parts purchasing overlap.</t>
  </si>
  <si>
    <t xml:space="preserve">Partial-sale route: share retained by Leviathan</t>
  </si>
  <si>
    <t xml:space="preserve">Route 2 'Spin / partial' — sell 60% to BX Infra, keep 40% inside Safe Harbor.</t>
  </si>
  <si>
    <t xml:space="preserve">Retained-stake equity value growth / yr post-sale</t>
  </si>
  <si>
    <t xml:space="preserve">Rides Safe Harbor integration to Y10.</t>
  </si>
  <si>
    <t xml:space="preserve">Vehicle management fee (% of commitment / yr)</t>
  </si>
  <si>
    <t xml:space="preserve">Mirrors Leviathan core holdco terms.</t>
  </si>
  <si>
    <t xml:space="preserve">Preferred return (compounded)</t>
  </si>
  <si>
    <t xml:space="preserve">Carried interest</t>
  </si>
  <si>
    <t xml:space="preserve">SELECTED exit year (5-10)</t>
  </si>
  <si>
    <t xml:space="preserve">Drives headline + net-to-LP. All years shown on Exit &amp; Returns.</t>
  </si>
  <si>
    <t xml:space="preserve">SELECTED exit route (1 BX Infra sale, 2 Spin/partial to BX, 3 MarineMax, 4 Sponsor)</t>
  </si>
  <si>
    <t xml:space="preserve">TIME-SERIES INPUTS (columns aligned to model years)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</si>
  <si>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</si>
  <si>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</si>
  <si>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</si>
  <si>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</si>
  <si>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</si>
  <si>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</si>
  <si>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</si>
  <si>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</si>
  <si>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</si>
  <si>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</si>
  <si>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</si>
  <si>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Base add-on schedule (# deals, before pace multiplier)</t>
  </si>
  <si>
    <t xml:space="preserve">Phase I S. Florida (Y1-2) -&gt; Phase II Mid-Atlantic (Y2-4) -&gt; Phase III Northeast (Y3-6) -&gt; fill-ins. Y10 = no deals (exit prep).</t>
  </si>
  <si>
    <t xml:space="preserve">Phase</t>
  </si>
  <si>
    <t xml:space="preserve">Platform</t>
  </si>
  <si>
    <t xml:space="preserve">I  S.FL</t>
  </si>
  <si>
    <t xml:space="preserve">I/II</t>
  </si>
  <si>
    <t xml:space="preserve">II  Mid-Atl</t>
  </si>
  <si>
    <t xml:space="preserve">II/III</t>
  </si>
  <si>
    <t xml:space="preserve">III  NE</t>
  </si>
  <si>
    <t xml:space="preserve">Fill-in</t>
  </si>
  <si>
    <t xml:space="preserve">Exit prep</t>
  </si>
  <si>
    <t xml:space="preserve">PLATFORM SOURCES &amp; USES (Y0) + 10-YEAR CAPITAL STACK</t>
  </si>
  <si>
    <t xml:space="preserve">$M. Leviathan equity is the plug at close and must stay inside the $15M commitment.</t>
  </si>
  <si>
    <t xml:space="preserve">PLATFORM CLOSE — USES</t>
  </si>
  <si>
    <t xml:space="preserve">Platform LTM revenue</t>
  </si>
  <si>
    <t xml:space="preserve">Normalized EBITDA margin</t>
  </si>
  <si>
    <t xml:space="preserve">Platform EBITDA</t>
  </si>
  <si>
    <t xml:space="preserve">Entry multiple</t>
  </si>
  <si>
    <t xml:space="preserve">Purchase enterprise value</t>
  </si>
  <si>
    <t xml:space="preserve">Transaction costs</t>
  </si>
  <si>
    <t xml:space="preserve">Cash to balance sheet</t>
  </si>
  <si>
    <t xml:space="preserve">TOTAL USES</t>
  </si>
  <si>
    <t xml:space="preserve">Less: earnout (contingent, paid later)</t>
  </si>
  <si>
    <t xml:space="preserve">Cash uses at close</t>
  </si>
  <si>
    <t xml:space="preserve">PLATFORM CLOSE — SOURCES</t>
  </si>
  <si>
    <t xml:space="preserve">Source</t>
  </si>
  <si>
    <t xml:space="preserve">$M</t>
  </si>
  <si>
    <t xml:space="preserve">% of EV</t>
  </si>
  <si>
    <t xml:space="preserve">Note</t>
  </si>
  <si>
    <t xml:space="preserve">Senior term loan</t>
  </si>
  <si>
    <t xml:space="preserve">x platform EBITDA</t>
  </si>
  <si>
    <t xml:space="preserve">Seller note</t>
  </si>
  <si>
    <t xml:space="preserve">Subordinated, 7% fixed, 4-yr straight-line</t>
  </si>
  <si>
    <t xml:space="preserve">Seller rollover equity</t>
  </si>
  <si>
    <t xml:space="preserve">Same unit price as Leviathan at close</t>
  </si>
  <si>
    <t xml:space="preserve">Earnout (deferred, max)</t>
  </si>
  <si>
    <t xml:space="preserve">Paid Y2 x achievement</t>
  </si>
  <si>
    <t xml:space="preserve">LEVIATHAN EQUITY (plug)</t>
  </si>
  <si>
    <t xml:space="preserve">Must be &lt;= $15M cap</t>
  </si>
  <si>
    <t xml:space="preserve">TOTAL SOURCES</t>
  </si>
  <si>
    <t xml:space="preserve">Check: sources = uses (0 = OK)</t>
  </si>
  <si>
    <t xml:space="preserve">Total debt at close / EBITDA</t>
  </si>
  <si>
    <t xml:space="preserve">Leviathan equity at close vs $15M cap</t>
  </si>
  <si>
    <t xml:space="preserve">Reserved for add-ons (remaining commitment)</t>
  </si>
  <si>
    <t xml:space="preserve">10-YEAR PROGRAM CAPITAL STACK — how $15M controls the platform</t>
  </si>
  <si>
    <t xml:space="preserve">Funding source (Y0-Y10 cumulative)</t>
  </si>
  <si>
    <t xml:space="preserve">% total</t>
  </si>
  <si>
    <t xml:space="preserve">Leviathan equity (capped)</t>
  </si>
  <si>
    <t xml:space="preserve">Senior term loan (at close)</t>
  </si>
  <si>
    <t xml:space="preserve">DDTL draws</t>
  </si>
  <si>
    <t xml:space="preserve">Seller notes issued</t>
  </si>
  <si>
    <t xml:space="preserve">Earnouts (max, contingent)</t>
  </si>
  <si>
    <t xml:space="preserve">Revolver draws</t>
  </si>
  <si>
    <t xml:space="preserve">Internally generated cash (plug)</t>
  </si>
  <si>
    <t xml:space="preserve">FCF retained and reinvested into add-ons (and cash on hand).</t>
  </si>
  <si>
    <t xml:space="preserve">TOTAL ACQUISITION SPEND (EV + costs + platform cash)</t>
  </si>
  <si>
    <t xml:space="preserve">Acquisition spend per $1 of Leviathan equity</t>
  </si>
  <si>
    <t xml:space="preserve">ROLL-UP OPERATING, FUNDING &amp; DEBT MODEL</t>
  </si>
  <si>
    <t xml:space="preserve">Annual. Y0 = close (LTM). $M. Green = link to Assumptions. Interest on beginning balances (no circularity).</t>
  </si>
  <si>
    <t xml:space="preserve">Year index</t>
  </si>
  <si>
    <t xml:space="preserve">1. ACQUISITION PROGRAM</t>
  </si>
  <si>
    <t xml:space="preserve">Add-ons closed (#)</t>
  </si>
  <si>
    <t xml:space="preserve">Cumulative add-ons (#)</t>
  </si>
  <si>
    <t xml:space="preserve">Locations (#)</t>
  </si>
  <si>
    <t xml:space="preserve">Avg add-on revenue ($M)</t>
  </si>
  <si>
    <t xml:space="preserve">New acquired revenue — run-rate</t>
  </si>
  <si>
    <t xml:space="preserve">New acquired EBITDA — run-rate</t>
  </si>
  <si>
    <t xml:space="preserve">Add-on purchase EV</t>
  </si>
  <si>
    <t xml:space="preserve">Add-on transaction costs</t>
  </si>
  <si>
    <t xml:space="preserve">  Funded by DDTL</t>
  </si>
  <si>
    <t xml:space="preserve">  Funded by seller notes</t>
  </si>
  <si>
    <t xml:space="preserve">  Funded by seller rollover equity</t>
  </si>
  <si>
    <t xml:space="preserve">  Deferred via earnout (max)</t>
  </si>
  <si>
    <t xml:space="preserve">Cash required at close (cash / equity / revolver)</t>
  </si>
  <si>
    <t xml:space="preserve">2. REVENUE BUILD</t>
  </si>
  <si>
    <t xml:space="preserve">Platform run-rate revenue</t>
  </si>
  <si>
    <t xml:space="preserve">Acquired run-rate revenue (cumulative)</t>
  </si>
  <si>
    <t xml:space="preserve">Core revenue — reported (mid-year convention)</t>
  </si>
  <si>
    <t xml:space="preserve">Safe Harbor marinas with embedded bay (#, end of yr)</t>
  </si>
  <si>
    <t xml:space="preserve">Safe Harbor embedded-service revenue</t>
  </si>
  <si>
    <t xml:space="preserve">TOTAL REVENUE</t>
  </si>
  <si>
    <t xml:space="preserve">  Growth %</t>
  </si>
  <si>
    <t xml:space="preserve">Contracted share of core revenue</t>
  </si>
  <si>
    <t xml:space="preserve">Contracted / infra-like revenue</t>
  </si>
  <si>
    <t xml:space="preserve">Contracted % of total revenue (drives exit multiple)</t>
  </si>
  <si>
    <t xml:space="preserve">3. EBITDA BUILD</t>
  </si>
  <si>
    <t xml:space="preserve">Standalone margin (run-rate weighted platform / add-ons)</t>
  </si>
  <si>
    <t xml:space="preserve">Core EBITDA — standalone</t>
  </si>
  <si>
    <t xml:space="preserve">Operating-synergy margin uplift</t>
  </si>
  <si>
    <t xml:space="preserve">Operating-synergy EBITDA</t>
  </si>
  <si>
    <t xml:space="preserve">Safe Harbor embedded-service EBITDA</t>
  </si>
  <si>
    <t xml:space="preserve">Platform corporate overhead</t>
  </si>
  <si>
    <t xml:space="preserve">ADJUSTED EBITDA</t>
  </si>
  <si>
    <t xml:space="preserve">Pro forma run-rate EBITDA (full-year add-ons)</t>
  </si>
  <si>
    <t xml:space="preserve">  EBITDA margin</t>
  </si>
  <si>
    <t xml:space="preserve">4. FREE CASH FLOW</t>
  </si>
  <si>
    <t xml:space="preserve">D&amp;A</t>
  </si>
  <si>
    <t xml:space="preserve">EBIT</t>
  </si>
  <si>
    <t xml:space="preserve">Interest expense (cash)</t>
  </si>
  <si>
    <t xml:space="preserve">EBT</t>
  </si>
  <si>
    <t xml:space="preserve">Cash taxes</t>
  </si>
  <si>
    <t xml:space="preserve">Maintenance capex</t>
  </si>
  <si>
    <t xml:space="preserve">Growth capex — marina service bays</t>
  </si>
  <si>
    <t xml:space="preserve">Change in NWC (organic + marina growth)</t>
  </si>
  <si>
    <t xml:space="preserve">Unlevered FCF (EBITDA - tax - capex - NWC)</t>
  </si>
  <si>
    <t xml:space="preserve">Senior mandatory amortization</t>
  </si>
  <si>
    <t xml:space="preserve">DDTL amortization</t>
  </si>
  <si>
    <t xml:space="preserve">Seller note repayments</t>
  </si>
  <si>
    <t xml:space="preserve">Earnout payments</t>
  </si>
  <si>
    <t xml:space="preserve">FCF after debt service &amp; earnouts</t>
  </si>
  <si>
    <t xml:space="preserve">5. ACQUISITION FUNDING WATERFALL (cash -&gt; Leviathan equity up to $15M cap -&gt; revolver)</t>
  </si>
  <si>
    <t xml:space="preserve">Beginning cash</t>
  </si>
  <si>
    <t xml:space="preserve">Cash available above minimum</t>
  </si>
  <si>
    <t xml:space="preserve">Add-on cash required</t>
  </si>
  <si>
    <t xml:space="preserve">Remaining Leviathan commitment (beginning)</t>
  </si>
  <si>
    <t xml:space="preserve">Leviathan equity draw (max of shortfall, min equity slice; capped)</t>
  </si>
  <si>
    <t xml:space="preserve">Revolver draw (shortfall after cap)</t>
  </si>
  <si>
    <t xml:space="preserve">Excess cash after acquisitions</t>
  </si>
  <si>
    <t xml:space="preserve">Revolver repayment</t>
  </si>
  <si>
    <t xml:space="preserve">Cash sweep to senior</t>
  </si>
  <si>
    <t xml:space="preserve">Distributions to equity (100%)</t>
  </si>
  <si>
    <t xml:space="preserve">Ending cash</t>
  </si>
  <si>
    <t xml:space="preserve">6. DEBT SCHEDULE</t>
  </si>
  <si>
    <t xml:space="preserve">Senior term loan — beginning</t>
  </si>
  <si>
    <t xml:space="preserve">  Mandatory amortization</t>
  </si>
  <si>
    <t xml:space="preserve">  Cash sweep</t>
  </si>
  <si>
    <t xml:space="preserve">Senior term loan — ending</t>
  </si>
  <si>
    <t xml:space="preserve">DDTL — beginning</t>
  </si>
  <si>
    <t xml:space="preserve">  Draws for add-ons</t>
  </si>
  <si>
    <t xml:space="preserve">  Amortization</t>
  </si>
  <si>
    <t xml:space="preserve">DDTL — ending</t>
  </si>
  <si>
    <t xml:space="preserve">Seller notes — beginning</t>
  </si>
  <si>
    <t xml:space="preserve">  Issued</t>
  </si>
  <si>
    <t xml:space="preserve">  Straight-line repayment</t>
  </si>
  <si>
    <t xml:space="preserve">Seller notes — ending</t>
  </si>
  <si>
    <t xml:space="preserve">Revolver — ending</t>
  </si>
  <si>
    <t xml:space="preserve">TOTAL DEBT</t>
  </si>
  <si>
    <t xml:space="preserve">Net debt</t>
  </si>
  <si>
    <t xml:space="preserve">Total leverage (Debt / PF EBITDA)</t>
  </si>
  <si>
    <t xml:space="preserve">Covenant check (1 = OK)</t>
  </si>
  <si>
    <t xml:space="preserve">Earnout liability created (max)</t>
  </si>
  <si>
    <t xml:space="preserve">Interest — senior</t>
  </si>
  <si>
    <t xml:space="preserve">Interest — DDTL (incl. half-year on new draws)</t>
  </si>
  <si>
    <t xml:space="preserve">Interest — seller notes</t>
  </si>
  <si>
    <t xml:space="preserve">Interest — revolver</t>
  </si>
  <si>
    <t xml:space="preserve">7. EQUITY, UNITS &amp; OWNERSHIP</t>
  </si>
  <si>
    <t xml:space="preserve">Cumulative Leviathan equity drawn</t>
  </si>
  <si>
    <t xml:space="preserve">Cap check: drawn &lt;= $15M (1 = OK)</t>
  </si>
  <si>
    <t xml:space="preserve">Seller rollover equity contributed</t>
  </si>
  <si>
    <t xml:space="preserve">Cumulative contributed equity (Leviathan + rollover)</t>
  </si>
  <si>
    <t xml:space="preserve">Unit price ($ per unit)</t>
  </si>
  <si>
    <t xml:space="preserve">Leviathan units (cumulative, M)</t>
  </si>
  <si>
    <t xml:space="preserve">Total units (cumulative, M)</t>
  </si>
  <si>
    <t xml:space="preserve">Leviathan fully-diluted ownership (pre-MIP)</t>
  </si>
  <si>
    <t xml:space="preserve">Distributions to Leviathan (x ownership)</t>
  </si>
  <si>
    <t xml:space="preserve">Cumulative distributions to Leviathan</t>
  </si>
  <si>
    <t xml:space="preserve">Memo: marked equity value @ interim multiple</t>
  </si>
  <si>
    <t xml:space="preserve">Integrity: all covenant + cap checks pass (1 = OK)</t>
  </si>
  <si>
    <t xml:space="preserve">SYNERGIES — PLATFORM OPERATING + BUYER (BX INFRA / SAFE HARBOR, MARINEMAX)</t>
  </si>
  <si>
    <t xml:space="preserve">Part A feeds platform EBITDA. Part B is buyer-side value that a strategic shares with the seller at exit.</t>
  </si>
  <si>
    <t xml:space="preserve">A. PLATFORM OPERATING SYNERGIES — mature margin uplift (% of core revenue)</t>
  </si>
  <si>
    <t xml:space="preserve">OEM parts share of revenue</t>
  </si>
  <si>
    <t xml:space="preserve">CIM: 25-30%.</t>
  </si>
  <si>
    <t xml:space="preserve">Parts COGS as % of parts revenue</t>
  </si>
  <si>
    <t xml:space="preserve">Optimized: OEM parts gross margin ~35%, not CIM's 40-60%.</t>
  </si>
  <si>
    <t xml:space="preserve">Procurement savings on parts COGS</t>
  </si>
  <si>
    <t xml:space="preserve">CIM 8-15%.</t>
  </si>
  <si>
    <t xml:space="preserve">Back-office consolidation (pts of revenue)</t>
  </si>
  <si>
    <t xml:space="preserve">CIM implies 6-8 pts (25-30% -&gt; 18-22%); haircut to 2 pts. HQ cost is modeled separately.</t>
  </si>
  <si>
    <t xml:space="preserve">Labor share of revenue</t>
  </si>
  <si>
    <t xml:space="preserve">Maintenance/repair + repower + mobile.</t>
  </si>
  <si>
    <t xml:space="preserve">Technician utilization: standalone -&gt; platform</t>
  </si>
  <si>
    <t xml:space="preserve">CIM 65-75% -&gt; 85-95%. Optimized target 80% (cell D10).</t>
  </si>
  <si>
    <t xml:space="preserve">Flow-through of incremental billable hours</t>
  </si>
  <si>
    <t xml:space="preserve">Techs are paid more under platform comp plans.</t>
  </si>
  <si>
    <t xml:space="preserve">Pricing / mix (ESPs, e-commerce parts, IoT subs) (pts)</t>
  </si>
  <si>
    <t xml:space="preserve">TOTAL mature margin uplift (pre-scenario scaling)</t>
  </si>
  <si>
    <t xml:space="preserve">Years to full run-rate (integration ramp)</t>
  </si>
  <si>
    <t xml:space="preserve">  Procurement component</t>
  </si>
  <si>
    <t xml:space="preserve">  Back-office component</t>
  </si>
  <si>
    <t xml:space="preserve">  Utilization component</t>
  </si>
  <si>
    <t xml:space="preserve">  Pricing / mix component</t>
  </si>
  <si>
    <t xml:space="preserve">B. BUYER SYNERGIES BY EXIT YEAR ($M EBITDA, run-rate at exit)</t>
  </si>
  <si>
    <t xml:space="preserve">Blackstone Infrastructure (Safe Harbor integration)</t>
  </si>
  <si>
    <t xml:space="preserve">Safe Harbor marinas a buyer could equip (#)</t>
  </si>
  <si>
    <t xml:space="preserve">Incremental marinas = MIN(open network, 1 per platform location)</t>
  </si>
  <si>
    <t xml:space="preserve">Marina-network revenue synergy EBITDA</t>
  </si>
  <si>
    <t xml:space="preserve">BX scale cost synergies (insurance, GPO, fleet)</t>
  </si>
  <si>
    <t xml:space="preserve">MarineMax channel agreement (prob-weighted, scaled to footprint)</t>
  </si>
  <si>
    <t xml:space="preserve">TOTAL BX Infra buyer synergy EBITDA</t>
  </si>
  <si>
    <t xml:space="preserve">Synergy value paid to seller (x infra mult x haircut x share)</t>
  </si>
  <si>
    <t xml:space="preserve">MarineMax (strategic dealer-group buyer)</t>
  </si>
  <si>
    <t xml:space="preserve">Routed MarineMax service / repower EBITDA (scaled to footprint)</t>
  </si>
  <si>
    <t xml:space="preserve">Parts purchasing cost synergies</t>
  </si>
  <si>
    <t xml:space="preserve">TOTAL MarineMax buyer synergy EBITDA</t>
  </si>
  <si>
    <t xml:space="preserve">Synergy value paid to seller (x HZO mult x haircut x share)</t>
  </si>
  <si>
    <t xml:space="preserve">C. WHY BX INFRA IS THE NATURAL OWNER</t>
  </si>
  <si>
    <t xml:space="preserve">1. Safe Harbor (BX Infra, $5.65B, 138 marinas, closed Apr-2025) owns the slips; the platform owns the engine-room. Embedding service bays converts ad-hoc repair into marina-contracted, infra-like revenue.</t>
  </si>
  <si>
    <t xml:space="preserve">2. Every Safe Harbor slip holder with a diesel is a captive service customer; the platform's own embedded-bay program (Roll-Up Model row 'Safe Harbor marinas') is the proof-of-concept a buyer underwrites.</t>
  </si>
  <si>
    <t xml:space="preserve">3. MarineMax (120+ locations, 65 marinas/storage, IGY superyacht marinas) is both a channel (repower, warranty overflow, superyacht diesel work) and the competing strategic bidder that keeps BX honest on price.</t>
  </si>
  <si>
    <t xml:space="preserve">4. Infra capital prices contracted cash flows at a premium to services multiples; the model blends exit multiple by contracted revenue share, so the thesis is to 'infrastructure-ize' revenue before exit.</t>
  </si>
  <si>
    <t xml:space="preserve">EXIT ROUTES &amp; LEVIATHAN RETURNS</t>
  </si>
  <si>
    <t xml:space="preserve">Routes: (1) 100% sale to Blackstone Infrastructure / Safe Harbor  (2) Spin / partial: 60% to BX Infra, 40% retained to Y10  (3) MarineMax strategic  (4) Sponsor-to-sponsor. $M.</t>
  </si>
  <si>
    <t xml:space="preserve">Exit valuation if sold at end of year</t>
  </si>
  <si>
    <t xml:space="preserve">Blended standalone multiple (services x (1-c) + infra x c)</t>
  </si>
  <si>
    <t xml:space="preserve">Cumulative interim distributions to Leviathan (Y5+)</t>
  </si>
  <si>
    <t xml:space="preserve">ROUTE 1 — 100% SALE TO BLACKSTONE INFRASTRUCTURE (Safe Harbor tuck-in)</t>
  </si>
  <si>
    <t xml:space="preserve">Enterprise value</t>
  </si>
  <si>
    <t xml:space="preserve">  Implied EV / EBITDA</t>
  </si>
  <si>
    <t xml:space="preserve">Equity value (EV - net debt - exit costs)</t>
  </si>
  <si>
    <t xml:space="preserve">Less: management incentive pool</t>
  </si>
  <si>
    <t xml:space="preserve">LEVIATHAN GROSS PROCEEDS</t>
  </si>
  <si>
    <t xml:space="preserve">Gross MOIC (incl. interim distributions)</t>
  </si>
  <si>
    <t xml:space="preserve">ROUTE 2 — SPIN / PARTIAL: 60% SOLD TO BX INFRA, 40% RETAINED TO Y10</t>
  </si>
  <si>
    <t xml:space="preserve">Proceeds on 60% sold at exit year (Route 1 pricing)</t>
  </si>
  <si>
    <t xml:space="preserve">Retained 40% value carried to Y10</t>
  </si>
  <si>
    <t xml:space="preserve">LEVIATHAN TOTAL VALUE (sold + retained @Y10)</t>
  </si>
  <si>
    <t xml:space="preserve">ROUTE 3 — STRATEGIC SALE TO MARINEMAX</t>
  </si>
  <si>
    <t xml:space="preserve">ROUTE 4 — SPONSOR-TO-SPONSOR (services multiple, no synergies)</t>
  </si>
  <si>
    <t xml:space="preserve">IRR ENGINE — Leviathan gross cash flows by route x exit year (draws negative, proceeds at exit)</t>
  </si>
  <si>
    <t xml:space="preserve">Route / exit year</t>
  </si>
  <si>
    <t xml:space="preserve">Exit</t>
  </si>
  <si>
    <t xml:space="preserve">Route 1 — BX Infra sale</t>
  </si>
  <si>
    <t xml:space="preserve">Route 2 — Spin/partial to BX</t>
  </si>
  <si>
    <t xml:space="preserve">Route 3 — MarineMax</t>
  </si>
  <si>
    <t xml:space="preserve">Route 4 — Sponsor</t>
  </si>
  <si>
    <t xml:space="preserve">RETURNS MATRIX — Leviathan gross (before vehicle fees / carry)</t>
  </si>
  <si>
    <t xml:space="preserve">IRR Y5</t>
  </si>
  <si>
    <t xml:space="preserve">SELECTED CASE — HEADLINE &amp; NET TO LEVIATHAN LPs (route + exit year set on Assumptions)</t>
  </si>
  <si>
    <t xml:space="preserve">Exit year</t>
  </si>
  <si>
    <t xml:space="preserve">Exit route</t>
  </si>
  <si>
    <t xml:space="preserve">Leviathan equity drawn through exit</t>
  </si>
  <si>
    <t xml:space="preserve">Gross exit proceeds (incl. retained stake for Route 2)</t>
  </si>
  <si>
    <t xml:space="preserve">Interim distributions to Leviathan through exit</t>
  </si>
  <si>
    <t xml:space="preserve">TOTAL gross value to Leviathan</t>
  </si>
  <si>
    <t xml:space="preserve">Management fees (fee x $15M commitment x years)</t>
  </si>
  <si>
    <t xml:space="preserve">Total LP paid-in (drawn + fees)</t>
  </si>
  <si>
    <t xml:space="preserve">Preferred return hurdle (8% compounded on paid-in)</t>
  </si>
  <si>
    <t xml:space="preserve">GP carry (20% of profit above pref, no catch-up)</t>
  </si>
  <si>
    <t xml:space="preserve">NET VALUE TO LPs (exit + distributions - carry)</t>
  </si>
  <si>
    <t xml:space="preserve">Net MOIC (on paid-in)</t>
  </si>
  <si>
    <t xml:space="preserve">Net LP cash flows (draws + fees out; distributions in; exit net of carry)</t>
  </si>
  <si>
    <t xml:space="preserve">Route 2 note: the retained stake is valued at Y10 in the gross IRR engine. The net waterfall above books it at the selected exit year (simplification).</t>
  </si>
  <si>
    <t xml:space="preserve">SENSITIVITIES — ROUTE 1 (BX INFRA SALE)</t>
  </si>
  <si>
    <t xml:space="preserve">Live formulas off the model rows; no data tables. Gross to Leviathan.</t>
  </si>
  <si>
    <t xml:space="preserve">Table 1 — Gross MOIC: exit year (rows) x infra multiple on contracted cash flows (cols)</t>
  </si>
  <si>
    <t xml:space="preserve">Exit year \ Infra multiple</t>
  </si>
  <si>
    <t xml:space="preserve">Table 2 — Gross IRR: same grid</t>
  </si>
  <si>
    <t xml:space="preserve">Table 3 — Gross MOIC at selected exit year: contracted share at exit (rows) x services multiple (cols)</t>
  </si>
  <si>
    <t xml:space="preserve">Contracted % \ Services mult</t>
  </si>
  <si>
    <t xml:space="preserve">Read: each row is the contracted-revenue share actually achieved by exit. Moving from 15% to 45% contracted is worth more than +2 turns of services multiple — the core optimization of the thesis.</t>
  </si>
  <si>
    <t xml:space="preserve">IRR helper — cash flows per grid cell (Y0..Y10 in cols I:S)</t>
  </si>
  <si>
    <t xml:space="preserve">SCENARIO SUMMARY — all four cases</t>
  </si>
  <si>
    <t xml:space="preserve">STATIC SNAPSHOT: values pasted from four full model runs (switch Assumptions!B4 = 1..4). Re-paste after changing inputs. Live case = Assumptions tab.</t>
  </si>
  <si>
    <t xml:space="preserve">Revenue Y5 ($M)</t>
  </si>
  <si>
    <t xml:space="preserve">Adj. EBITDA Y5 ($M)</t>
  </si>
  <si>
    <t xml:space="preserve">Revenue Y7 ($M)</t>
  </si>
  <si>
    <t xml:space="preserve">Adj. EBITDA Y7 ($M)</t>
  </si>
  <si>
    <t xml:space="preserve">Revenue Y10 ($M)</t>
  </si>
  <si>
    <t xml:space="preserve">Adj. EBITDA Y10 ($M)</t>
  </si>
  <si>
    <t xml:space="preserve">EBITDA margin Y7</t>
  </si>
  <si>
    <t xml:space="preserve">Locations Y7</t>
  </si>
  <si>
    <t xml:space="preserve">Contracted % of revenue Y7</t>
  </si>
  <si>
    <t xml:space="preserve">Leviathan equity drawn ($M)</t>
  </si>
  <si>
    <t xml:space="preserve">Year $15M cap fully drawn</t>
  </si>
  <si>
    <t xml:space="preserve">Not reached</t>
  </si>
  <si>
    <t xml:space="preserve">Peak total leverage (x PF EBITDA)</t>
  </si>
  <si>
    <t xml:space="preserve">Revolver drawn (cum, $M)</t>
  </si>
  <si>
    <t xml:space="preserve">Leviathan ownership Y7</t>
  </si>
  <si>
    <t xml:space="preserve">Interim distributions to Leviathan thru Y7 ($M)</t>
  </si>
  <si>
    <t xml:space="preserve">R1 BX Infra sale — gross MOIC Y5</t>
  </si>
  <si>
    <t xml:space="preserve">R1 BX Infra sale — gross MOIC Y7</t>
  </si>
  <si>
    <t xml:space="preserve">R1 BX Infra sale — gross MOIC Y10</t>
  </si>
  <si>
    <t xml:space="preserve">R1 BX Infra sale — gross IRR Y7</t>
  </si>
  <si>
    <t xml:space="preserve">R1 BX Infra sale — gross IRR Y10</t>
  </si>
  <si>
    <t xml:space="preserve">R2 Spin/partial to BX — gross MOIC Y5</t>
  </si>
  <si>
    <t xml:space="preserve">R2 Spin/partial to BX — gross MOIC Y7</t>
  </si>
  <si>
    <t xml:space="preserve">R2 Spin/partial to BX — gross MOIC Y10</t>
  </si>
  <si>
    <t xml:space="preserve">R2 Spin/partial to BX — gross IRR Y7</t>
  </si>
  <si>
    <t xml:space="preserve">R2 Spin/partial to BX — gross IRR Y10</t>
  </si>
  <si>
    <t xml:space="preserve">R3 MarineMax — gross MOIC Y5</t>
  </si>
  <si>
    <t xml:space="preserve">R3 MarineMax — gross MOIC Y7</t>
  </si>
  <si>
    <t xml:space="preserve">R3 MarineMax — gross MOIC Y10</t>
  </si>
  <si>
    <t xml:space="preserve">R3 MarineMax — gross IRR Y7</t>
  </si>
  <si>
    <t xml:space="preserve">R3 MarineMax — gross IRR Y10</t>
  </si>
  <si>
    <t xml:space="preserve">R4 Sponsor — gross MOIC Y5</t>
  </si>
  <si>
    <t xml:space="preserve">R4 Sponsor — gross MOIC Y7</t>
  </si>
  <si>
    <t xml:space="preserve">R4 Sponsor — gross MOIC Y10</t>
  </si>
  <si>
    <t xml:space="preserve">R4 Sponsor — gross IRR Y7</t>
  </si>
  <si>
    <t xml:space="preserve">R4 Sponsor — gross IRR Y10</t>
  </si>
  <si>
    <t xml:space="preserve">Selected case (R1, Y7) — net MOIC to LPs</t>
  </si>
  <si>
    <t xml:space="preserve">Selected case (R1, Y7) — net IRR to LPs</t>
  </si>
  <si>
    <t xml:space="preserve">Integrity checks (1 = OK)</t>
  </si>
  <si>
    <t xml:space="preserve">Static values. To refresh: set Assumptions!B4 to 1-4, recalculate, and re-paste (or re-run the build script).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</si>
</sst>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\$#,##0.0;&quot;($&quot;#,##0.0\);\-"/>
    <numFmt numFmtId="167" formatCode="0.0\x;\(0.0&quot;x)&quot;;\-"/>
    <numFmt numFmtId="168" formatCode="0.0%;\(0.0%\);\-"/>
    <numFmt numFmtId="169" formatCode="#,##0.0;\(#,##0.0\);\-"/>
    <numFmt numFmtId="170" formatCode="\$#,##0"/>
    <numFmt numFmtId="171" formatCode="\$#,##0.00;&quot;($&quot;#,##0.00\);\-"/>
    <numFmt numFmtId="172" formatCode="\$#,##0.0;&quot;($&quot;#,##0.0\);\-"/>
    <numFmt numFmtId="173" formatCode="0.0%;\(0.0%\);\-"/>
    <numFmt numFmtId="174" formatCode="#,##0;\(#,##0\);\-"/>
    <numFmt numFmtId="175" formatCode="0.0\x;\(0.0&quot;x)&quot;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0B2545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DB1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A1: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tr">
        <f aca="false">Assumptions!C4</f>
        <v>Base</v>
      </c>
    </row>
    <row r="5" customFormat="false" ht="15" hidden="false" customHeight="true" outlineLevel="0" collapsed="false">
      <c r="A5" s="4" t="s">
        <v>3</v>
      </c>
      <c r="B5" s="6" t="n">
        <f aca="false">Assumptions!$B$91</f>
        <v>1</v>
      </c>
      <c r="C5" s="6" t="n">
        <f aca="false">Assumptions!$B$90</f>
        <v>7</v>
      </c>
    </row>
    <row r="7" customFormat="false" ht="15" hidden="false" customHeight="true" outlineLevel="0" collapsed="false">
      <c r="A7" s="7" t="s">
        <v>4</v>
      </c>
      <c r="B7" s="8"/>
      <c r="C7" s="8"/>
      <c r="D7" s="8"/>
      <c r="E7" s="8"/>
      <c r="F7" s="8"/>
    </row>
    <row r="8" customFormat="false" ht="15" hidden="false" customHeight="true" outlineLevel="0" collapsed="false">
      <c r="A8" s="4" t="s">
        <v>5</v>
      </c>
      <c r="B8" s="9" t="n">
        <f aca="false">'Exit &amp; Returns'!C82</f>
        <v>15</v>
      </c>
    </row>
    <row r="9" customFormat="false" ht="15" hidden="false" customHeight="true" outlineLevel="0" collapsed="false">
      <c r="A9" s="4" t="s">
        <v>6</v>
      </c>
      <c r="B9" s="9" t="n">
        <f aca="false">'Exit &amp; Returns'!C85</f>
        <v>203.583515353361</v>
      </c>
    </row>
    <row r="10" customFormat="false" ht="15" hidden="false" customHeight="true" outlineLevel="0" collapsed="false">
      <c r="A10" s="4" t="s">
        <v>7</v>
      </c>
      <c r="B10" s="10" t="n">
        <f aca="false">'Exit &amp; Returns'!C86</f>
        <v>13.5722343568908</v>
      </c>
    </row>
    <row r="11" customFormat="false" ht="15" hidden="false" customHeight="true" outlineLevel="0" collapsed="false">
      <c r="A11" s="4" t="s">
        <v>8</v>
      </c>
      <c r="B11" s="11" t="n">
        <f aca="false">'Exit &amp; Returns'!C87</f>
        <v>0.676727473916418</v>
      </c>
    </row>
    <row r="12" customFormat="false" ht="15" hidden="false" customHeight="true" outlineLevel="0" collapsed="false">
      <c r="A12" s="4" t="s">
        <v>9</v>
      </c>
      <c r="B12" s="10" t="n">
        <f aca="false">'Exit &amp; Returns'!C93</f>
        <v>9.86713984104766</v>
      </c>
    </row>
    <row r="13" customFormat="false" ht="15" hidden="false" customHeight="true" outlineLevel="0" collapsed="false">
      <c r="A13" s="4" t="s">
        <v>10</v>
      </c>
      <c r="B13" s="11" t="n">
        <f aca="false">'Exit &amp; Returns'!C96</f>
        <v>0.603195615377543</v>
      </c>
    </row>
    <row r="15" customFormat="false" ht="15" hidden="false" customHeight="true" outlineLevel="0" collapsed="false">
      <c r="A15" s="7" t="s">
        <v>11</v>
      </c>
      <c r="B15" s="8"/>
      <c r="C15" s="8"/>
      <c r="D15" s="8"/>
      <c r="E15" s="8"/>
      <c r="F15" s="8"/>
    </row>
    <row r="16" customFormat="false" ht="15" hidden="false" customHeight="true" outlineLevel="0" collapsed="false">
      <c r="A16" s="12" t="s">
        <v>12</v>
      </c>
      <c r="B16" s="13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</row>
    <row r="17" customFormat="false" ht="15" hidden="false" customHeight="true" outlineLevel="0" collapsed="false">
      <c r="A17" s="4" t="s">
        <v>18</v>
      </c>
      <c r="B17" s="14" t="n">
        <f aca="false">'Roll-Up Model'!C28</f>
        <v>10</v>
      </c>
      <c r="C17" s="14" t="n">
        <f aca="false">'Roll-Up Model'!F28</f>
        <v>38.12565</v>
      </c>
      <c r="D17" s="14" t="n">
        <f aca="false">'Roll-Up Model'!H28</f>
        <v>73.414379415</v>
      </c>
      <c r="E17" s="14" t="n">
        <f aca="false">'Roll-Up Model'!J28</f>
        <v>106.966812530014</v>
      </c>
      <c r="F17" s="14" t="n">
        <f aca="false">'Roll-Up Model'!M28</f>
        <v>151.870398684801</v>
      </c>
    </row>
    <row r="18" customFormat="false" ht="15" hidden="false" customHeight="true" outlineLevel="0" collapsed="false">
      <c r="A18" s="4" t="s">
        <v>19</v>
      </c>
      <c r="B18" s="14" t="n">
        <f aca="false">'Roll-Up Model'!C40</f>
        <v>1.8</v>
      </c>
      <c r="C18" s="14" t="n">
        <f aca="false">'Roll-Up Model'!F40</f>
        <v>6.43850442852791</v>
      </c>
      <c r="D18" s="14" t="n">
        <f aca="false">'Roll-Up Model'!H40</f>
        <v>14.4417662955987</v>
      </c>
      <c r="E18" s="14" t="n">
        <f aca="false">'Roll-Up Model'!J40</f>
        <v>21.5272804407972</v>
      </c>
      <c r="F18" s="14" t="n">
        <f aca="false">'Roll-Up Model'!M40</f>
        <v>31.0086936735131</v>
      </c>
    </row>
    <row r="19" customFormat="false" ht="15" hidden="false" customHeight="true" outlineLevel="0" collapsed="false">
      <c r="A19" s="4" t="s">
        <v>20</v>
      </c>
      <c r="B19" s="15" t="n">
        <f aca="false">'Roll-Up Model'!C42</f>
        <v>0.18</v>
      </c>
      <c r="C19" s="15" t="n">
        <f aca="false">'Roll-Up Model'!F42</f>
        <v>0.168875925486593</v>
      </c>
      <c r="D19" s="15" t="n">
        <f aca="false">'Roll-Up Model'!H42</f>
        <v>0.196715771633261</v>
      </c>
      <c r="E19" s="15" t="n">
        <f aca="false">'Roll-Up Model'!J42</f>
        <v>0.201251957795385</v>
      </c>
      <c r="F19" s="15" t="n">
        <f aca="false">'Roll-Up Model'!M42</f>
        <v>0.204178654576853</v>
      </c>
    </row>
    <row r="20" customFormat="false" ht="15" hidden="false" customHeight="true" outlineLevel="0" collapsed="false">
      <c r="A20" s="4" t="s">
        <v>21</v>
      </c>
      <c r="B20" s="6" t="n">
        <f aca="false">'Roll-Up Model'!C11</f>
        <v>2</v>
      </c>
      <c r="C20" s="6" t="n">
        <f aca="false">'Roll-Up Model'!F11</f>
        <v>10</v>
      </c>
      <c r="D20" s="6" t="n">
        <f aca="false">'Roll-Up Model'!H11</f>
        <v>16</v>
      </c>
      <c r="E20" s="6" t="n">
        <f aca="false">'Roll-Up Model'!J11</f>
        <v>20</v>
      </c>
      <c r="F20" s="6" t="n">
        <f aca="false">'Roll-Up Model'!M11</f>
        <v>23</v>
      </c>
    </row>
    <row r="21" customFormat="false" ht="15" hidden="false" customHeight="true" outlineLevel="0" collapsed="false">
      <c r="A21" s="4" t="s">
        <v>22</v>
      </c>
      <c r="B21" s="15" t="n">
        <f aca="false">'Roll-Up Model'!C32</f>
        <v>0.15</v>
      </c>
      <c r="C21" s="15" t="n">
        <f aca="false">'Roll-Up Model'!F32</f>
        <v>0.269542748779365</v>
      </c>
      <c r="D21" s="15" t="n">
        <f aca="false">'Roll-Up Model'!H32</f>
        <v>0.374128930546242</v>
      </c>
      <c r="E21" s="15" t="n">
        <f aca="false">'Roll-Up Model'!J32</f>
        <v>0.442289138719826</v>
      </c>
      <c r="F21" s="15" t="n">
        <f aca="false">'Roll-Up Model'!M32</f>
        <v>0.458336615578047</v>
      </c>
    </row>
    <row r="22" customFormat="false" ht="15" hidden="false" customHeight="true" outlineLevel="0" collapsed="false">
      <c r="A22" s="4" t="s">
        <v>23</v>
      </c>
      <c r="B22" s="16" t="n">
        <f aca="false">'Roll-Up Model'!C26</f>
        <v>0</v>
      </c>
      <c r="C22" s="16" t="n">
        <f aca="false">'Roll-Up Model'!F26</f>
        <v>3.75</v>
      </c>
      <c r="D22" s="16" t="n">
        <f aca="false">'Roll-Up Model'!H26</f>
        <v>11.25</v>
      </c>
      <c r="E22" s="16" t="n">
        <f aca="false">'Roll-Up Model'!J26</f>
        <v>18.75</v>
      </c>
      <c r="F22" s="16" t="n">
        <f aca="false">'Roll-Up Model'!M26</f>
        <v>30</v>
      </c>
    </row>
    <row r="23" customFormat="false" ht="15" hidden="false" customHeight="true" outlineLevel="0" collapsed="false">
      <c r="A23" s="4" t="s">
        <v>24</v>
      </c>
      <c r="B23" s="17" t="n">
        <f aca="false">'Roll-Up Model'!C86</f>
        <v>2.775</v>
      </c>
      <c r="C23" s="17" t="n">
        <f aca="false">'Roll-Up Model'!F86</f>
        <v>1.60043778225249</v>
      </c>
      <c r="D23" s="17" t="n">
        <f aca="false">'Roll-Up Model'!H86</f>
        <v>0.836750203647591</v>
      </c>
      <c r="E23" s="17" t="n">
        <f aca="false">'Roll-Up Model'!J86</f>
        <v>0.671718715606494</v>
      </c>
      <c r="F23" s="17" t="n">
        <f aca="false">'Roll-Up Model'!M86</f>
        <v>0.467634196098272</v>
      </c>
    </row>
    <row r="24" customFormat="false" ht="15" hidden="false" customHeight="true" outlineLevel="0" collapsed="false">
      <c r="A24" s="4" t="s">
        <v>25</v>
      </c>
      <c r="B24" s="14" t="n">
        <f aca="false">'Roll-Up Model'!C94</f>
        <v>2.9705</v>
      </c>
      <c r="C24" s="14" t="n">
        <f aca="false">'Roll-Up Model'!F94</f>
        <v>8.96574754445689</v>
      </c>
      <c r="D24" s="14" t="n">
        <f aca="false">'Roll-Up Model'!H94</f>
        <v>12.5498173428569</v>
      </c>
      <c r="E24" s="14" t="n">
        <f aca="false">'Roll-Up Model'!J94</f>
        <v>15</v>
      </c>
      <c r="F24" s="14" t="n">
        <f aca="false">'Roll-Up Model'!M94</f>
        <v>15</v>
      </c>
    </row>
    <row r="25" customFormat="false" ht="15" hidden="false" customHeight="true" outlineLevel="0" collapsed="false">
      <c r="A25" s="4" t="s">
        <v>26</v>
      </c>
      <c r="B25" s="15" t="n">
        <f aca="false">'Roll-Up Model'!C101</f>
        <v>0.676959890610757</v>
      </c>
      <c r="C25" s="15" t="n">
        <f aca="false">'Roll-Up Model'!F101</f>
        <v>0.767755827766288</v>
      </c>
      <c r="D25" s="15" t="n">
        <f aca="false">'Roll-Up Model'!H101</f>
        <v>0.773008538199734</v>
      </c>
      <c r="E25" s="15" t="n">
        <f aca="false">'Roll-Up Model'!J101</f>
        <v>0.774494200883077</v>
      </c>
      <c r="F25" s="15" t="n">
        <f aca="false">'Roll-Up Model'!M101</f>
        <v>0.772320854820993</v>
      </c>
    </row>
    <row r="27" customFormat="false" ht="15" hidden="false" customHeight="true" outlineLevel="0" collapsed="false">
      <c r="A27" s="7" t="s">
        <v>27</v>
      </c>
      <c r="B27" s="8"/>
      <c r="C27" s="8"/>
      <c r="D27" s="8"/>
      <c r="E27" s="8"/>
      <c r="F27" s="8"/>
    </row>
    <row r="28" customFormat="false" ht="15" hidden="false" customHeight="true" outlineLevel="0" collapsed="false">
      <c r="A28" s="12" t="s">
        <v>28</v>
      </c>
      <c r="B28" s="13" t="s">
        <v>29</v>
      </c>
      <c r="C28" s="13" t="s">
        <v>30</v>
      </c>
      <c r="D28" s="13" t="s">
        <v>31</v>
      </c>
      <c r="E28" s="13" t="s">
        <v>32</v>
      </c>
      <c r="F28" s="13" t="s">
        <v>33</v>
      </c>
    </row>
    <row r="29" customFormat="false" ht="15" hidden="false" customHeight="true" outlineLevel="0" collapsed="false">
      <c r="A29" s="18" t="str">
        <f aca="false">'Exit &amp; Returns'!A74</f>
        <v>Route 1 — BX Infra sale</v>
      </c>
      <c r="B29" s="17" t="n">
        <f aca="false">'Exit &amp; Returns'!C74</f>
        <v>10.0534035056583</v>
      </c>
      <c r="C29" s="17" t="n">
        <f aca="false">'Exit &amp; Returns'!D74</f>
        <v>13.5722343568908</v>
      </c>
      <c r="D29" s="17" t="n">
        <f aca="false">'Exit &amp; Returns'!E74</f>
        <v>21.1213839691075</v>
      </c>
      <c r="E29" s="15" t="n">
        <f aca="false">'Exit &amp; Returns'!G74</f>
        <v>0.676727473916418</v>
      </c>
      <c r="F29" s="15" t="n">
        <f aca="false">'Exit &amp; Returns'!H74</f>
        <v>0.503746448238416</v>
      </c>
    </row>
    <row r="30" customFormat="false" ht="15" hidden="false" customHeight="true" outlineLevel="0" collapsed="false">
      <c r="A30" s="18" t="str">
        <f aca="false">'Exit &amp; Returns'!A75</f>
        <v>Route 2 — Spin/partial to BX</v>
      </c>
      <c r="B30" s="17" t="n">
        <f aca="false">'Exit &amp; Returns'!C75</f>
        <v>13.0743583878223</v>
      </c>
      <c r="C30" s="17" t="n">
        <f aca="false">'Exit &amp; Returns'!D75</f>
        <v>15.6240693980881</v>
      </c>
      <c r="D30" s="17" t="n">
        <f aca="false">'Exit &amp; Returns'!E75</f>
        <v>21.1213839691075</v>
      </c>
      <c r="E30" s="15" t="n">
        <f aca="false">'Exit &amp; Returns'!G75</f>
        <v>0.599661453914458</v>
      </c>
      <c r="F30" s="15" t="n">
        <f aca="false">'Exit &amp; Returns'!H75</f>
        <v>0.503746448238416</v>
      </c>
    </row>
    <row r="31" customFormat="false" ht="15" hidden="false" customHeight="true" outlineLevel="0" collapsed="false">
      <c r="A31" s="18" t="str">
        <f aca="false">'Exit &amp; Returns'!A76</f>
        <v>Route 3 — MarineMax</v>
      </c>
      <c r="B31" s="17" t="n">
        <f aca="false">'Exit &amp; Returns'!C76</f>
        <v>7.03948673121799</v>
      </c>
      <c r="C31" s="17" t="n">
        <f aca="false">'Exit &amp; Returns'!D76</f>
        <v>9.60287163392902</v>
      </c>
      <c r="D31" s="17" t="n">
        <f aca="false">'Exit &amp; Returns'!E76</f>
        <v>15.4918137075689</v>
      </c>
      <c r="E31" s="15" t="n">
        <f aca="false">'Exit &amp; Returns'!G76</f>
        <v>0.582267547328606</v>
      </c>
      <c r="F31" s="15" t="n">
        <f aca="false">'Exit &amp; Returns'!H76</f>
        <v>0.455335298148636</v>
      </c>
    </row>
    <row r="32" customFormat="false" ht="15" hidden="false" customHeight="true" outlineLevel="0" collapsed="false">
      <c r="A32" s="18" t="str">
        <f aca="false">'Exit &amp; Returns'!A77</f>
        <v>Route 4 — Sponsor</v>
      </c>
      <c r="B32" s="17" t="n">
        <f aca="false">'Exit &amp; Returns'!C77</f>
        <v>7.40610236128076</v>
      </c>
      <c r="C32" s="17" t="n">
        <f aca="false">'Exit &amp; Returns'!D77</f>
        <v>10.135466141345</v>
      </c>
      <c r="D32" s="17" t="n">
        <f aca="false">'Exit &amp; Returns'!E77</f>
        <v>16.4245826208135</v>
      </c>
      <c r="E32" s="15" t="n">
        <f aca="false">'Exit &amp; Returns'!G77</f>
        <v>0.596782300004213</v>
      </c>
      <c r="F32" s="15" t="n">
        <f aca="false">'Exit &amp; Returns'!H77</f>
        <v>0.464351404348098</v>
      </c>
    </row>
    <row r="34" customFormat="false" ht="15" hidden="false" customHeight="true" outlineLevel="0" collapsed="false">
      <c r="A34" s="7" t="s">
        <v>34</v>
      </c>
      <c r="B34" s="8"/>
      <c r="C34" s="8"/>
      <c r="D34" s="8"/>
      <c r="E34" s="8"/>
      <c r="F34" s="8"/>
    </row>
    <row r="35" customFormat="false" ht="15" hidden="false" customHeight="true" outlineLevel="0" collapsed="false">
      <c r="A35" s="4" t="s">
        <v>35</v>
      </c>
      <c r="B35" s="19" t="n">
        <f aca="false">IF(ABS('Sources &amp; Uses'!C24)&lt;0.001,1,0)</f>
        <v>1</v>
      </c>
    </row>
    <row r="36" customFormat="false" ht="15" hidden="false" customHeight="true" outlineLevel="0" collapsed="false">
      <c r="A36" s="4" t="s">
        <v>36</v>
      </c>
      <c r="B36" s="19" t="n">
        <f aca="false">IF('Sources &amp; Uses'!C22&lt;=Assumptions!$B$23,1,0)</f>
        <v>1</v>
      </c>
    </row>
    <row r="37" customFormat="false" ht="15" hidden="false" customHeight="true" outlineLevel="0" collapsed="false">
      <c r="A37" s="4" t="s">
        <v>37</v>
      </c>
      <c r="B37" s="6" t="n">
        <f aca="false">'Roll-Up Model'!C106</f>
        <v>1</v>
      </c>
    </row>
    <row r="39" customFormat="false" ht="15" hidden="false" customHeight="true" outlineLevel="0" collapsed="false">
      <c r="A39" s="7" t="s">
        <v>38</v>
      </c>
      <c r="B39" s="8"/>
      <c r="C39" s="8"/>
      <c r="D39" s="8"/>
      <c r="E39" s="8"/>
      <c r="F39" s="8"/>
    </row>
    <row r="40" customFormat="false" ht="15" hidden="false" customHeight="true" outlineLevel="0" collapsed="false">
      <c r="A40" s="4" t="s">
        <v>39</v>
      </c>
    </row>
    <row r="41" customFormat="false" ht="15" hidden="false" customHeight="true" outlineLevel="0" collapsed="false">
      <c r="A41" s="4" t="s">
        <v>40</v>
      </c>
    </row>
    <row r="42" customFormat="false" ht="15" hidden="false" customHeight="true" outlineLevel="0" collapsed="false">
      <c r="A42" s="4" t="s">
        <v>41</v>
      </c>
    </row>
    <row r="43" customFormat="false" ht="15" hidden="false" customHeight="true" outlineLevel="0" collapsed="false">
      <c r="A43" s="4" t="s">
        <v>42</v>
      </c>
    </row>
    <row r="44" customFormat="false" ht="15" hidden="false" customHeight="true" outlineLevel="0" collapsed="false">
      <c r="A44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2"/>
    <col collapsed="false" customWidth="true" hidden="false" outlineLevel="0" max="3" min="3" style="1" width="46"/>
    <col collapsed="false" customWidth="true" hidden="false" outlineLevel="0" max="4" min="4" style="1" width="52"/>
    <col collapsed="false" customWidth="true" hidden="false" outlineLevel="0" max="5" min="5" style="1" width="26"/>
  </cols>
  <sheetData>
    <row r="1" customFormat="false" ht="17.25" hidden="false" customHeight="true" outlineLevel="0" collapsed="false">
      <c r="A1" s="2" t="s">
        <v>44</v>
      </c>
    </row>
    <row r="2" customFormat="false" ht="15" hidden="false" customHeight="true" outlineLevel="0" collapsed="false">
      <c r="A2" s="3" t="s">
        <v>45</v>
      </c>
    </row>
    <row r="4" customFormat="false" ht="15" hidden="false" customHeight="true" outlineLevel="0" collapsed="false">
      <c r="A4" s="12" t="s">
        <v>46</v>
      </c>
      <c r="B4" s="13" t="s">
        <v>47</v>
      </c>
      <c r="C4" s="13" t="s">
        <v>48</v>
      </c>
      <c r="D4" s="13" t="s">
        <v>49</v>
      </c>
      <c r="E4" s="13" t="s">
        <v>50</v>
      </c>
    </row>
    <row r="5" customFormat="false" ht="78" hidden="false" customHeight="true" outlineLevel="0" collapsed="false">
      <c r="A5" s="20" t="s">
        <v>51</v>
      </c>
      <c r="B5" s="21" t="s">
        <v>52</v>
      </c>
      <c r="C5" s="21" t="s">
        <v>53</v>
      </c>
      <c r="D5" s="21" t="s">
        <v>54</v>
      </c>
      <c r="E5" s="21" t="s">
        <v>55</v>
      </c>
    </row>
    <row r="6" customFormat="false" ht="78" hidden="false" customHeight="true" outlineLevel="0" collapsed="false">
      <c r="A6" s="20" t="s">
        <v>56</v>
      </c>
      <c r="B6" s="21" t="s">
        <v>57</v>
      </c>
      <c r="C6" s="21" t="s">
        <v>58</v>
      </c>
      <c r="D6" s="21" t="s">
        <v>59</v>
      </c>
      <c r="E6" s="21" t="s">
        <v>60</v>
      </c>
    </row>
    <row r="7" customFormat="false" ht="78" hidden="false" customHeight="true" outlineLevel="0" collapsed="false">
      <c r="A7" s="20" t="s">
        <v>61</v>
      </c>
      <c r="B7" s="21" t="s">
        <v>62</v>
      </c>
      <c r="C7" s="21" t="s">
        <v>63</v>
      </c>
      <c r="D7" s="21" t="s">
        <v>64</v>
      </c>
      <c r="E7" s="21" t="s">
        <v>65</v>
      </c>
    </row>
    <row r="8" customFormat="false" ht="78" hidden="false" customHeight="true" outlineLevel="0" collapsed="false">
      <c r="A8" s="20" t="s">
        <v>66</v>
      </c>
      <c r="B8" s="21" t="s">
        <v>67</v>
      </c>
      <c r="C8" s="21" t="s">
        <v>68</v>
      </c>
      <c r="D8" s="21" t="s">
        <v>69</v>
      </c>
      <c r="E8" s="21" t="s">
        <v>70</v>
      </c>
    </row>
    <row r="9" customFormat="false" ht="78" hidden="false" customHeight="true" outlineLevel="0" collapsed="false">
      <c r="A9" s="20" t="s">
        <v>71</v>
      </c>
      <c r="B9" s="21" t="s">
        <v>72</v>
      </c>
      <c r="C9" s="21" t="s">
        <v>73</v>
      </c>
      <c r="D9" s="21" t="s">
        <v>74</v>
      </c>
      <c r="E9" s="21" t="s">
        <v>75</v>
      </c>
    </row>
    <row r="10" customFormat="false" ht="78" hidden="false" customHeight="true" outlineLevel="0" collapsed="false">
      <c r="A10" s="20" t="s">
        <v>76</v>
      </c>
      <c r="B10" s="21" t="s">
        <v>77</v>
      </c>
      <c r="C10" s="21" t="s">
        <v>78</v>
      </c>
      <c r="D10" s="21" t="s">
        <v>79</v>
      </c>
      <c r="E10" s="21" t="s">
        <v>80</v>
      </c>
    </row>
    <row r="11" customFormat="false" ht="78" hidden="false" customHeight="true" outlineLevel="0" collapsed="false">
      <c r="A11" s="20" t="s">
        <v>81</v>
      </c>
      <c r="B11" s="21" t="s">
        <v>82</v>
      </c>
      <c r="C11" s="21" t="s">
        <v>83</v>
      </c>
      <c r="D11" s="21" t="s">
        <v>84</v>
      </c>
      <c r="E11" s="21" t="s">
        <v>85</v>
      </c>
    </row>
    <row r="12" customFormat="false" ht="78" hidden="false" customHeight="true" outlineLevel="0" collapsed="false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</row>
    <row r="13" customFormat="false" ht="78" hidden="false" customHeight="true" outlineLevel="0" collapsed="false">
      <c r="A13" s="20" t="s">
        <v>91</v>
      </c>
      <c r="B13" s="21" t="s">
        <v>92</v>
      </c>
      <c r="C13" s="21" t="s">
        <v>93</v>
      </c>
      <c r="D13" s="21" t="s">
        <v>94</v>
      </c>
      <c r="E13" s="21" t="s">
        <v>95</v>
      </c>
    </row>
    <row r="14" customFormat="false" ht="78" hidden="false" customHeight="true" outlineLevel="0" collapsed="false">
      <c r="A14" s="20" t="s">
        <v>96</v>
      </c>
      <c r="B14" s="21" t="s">
        <v>97</v>
      </c>
      <c r="C14" s="21" t="s">
        <v>98</v>
      </c>
      <c r="D14" s="21" t="s">
        <v>99</v>
      </c>
      <c r="E14" s="21" t="s">
        <v>100</v>
      </c>
    </row>
    <row r="15" customFormat="false" ht="78" hidden="false" customHeight="true" outlineLevel="0" collapsed="false">
      <c r="A15" s="20" t="s">
        <v>101</v>
      </c>
      <c r="B15" s="21" t="s">
        <v>102</v>
      </c>
      <c r="C15" s="21" t="s">
        <v>103</v>
      </c>
      <c r="D15" s="21" t="s">
        <v>104</v>
      </c>
      <c r="E15" s="21" t="s">
        <v>105</v>
      </c>
    </row>
    <row r="16" customFormat="false" ht="78" hidden="false" customHeight="true" outlineLevel="0" collapsed="false">
      <c r="A16" s="20" t="s">
        <v>106</v>
      </c>
      <c r="B16" s="21" t="s">
        <v>107</v>
      </c>
      <c r="C16" s="21" t="s">
        <v>108</v>
      </c>
      <c r="D16" s="21" t="s">
        <v>109</v>
      </c>
      <c r="E16" s="21" t="s">
        <v>110</v>
      </c>
    </row>
    <row r="18" customFormat="false" ht="15" hidden="false" customHeight="true" outlineLevel="0" collapsed="false">
      <c r="A18" s="7" t="s">
        <v>111</v>
      </c>
      <c r="B18" s="8"/>
      <c r="C18" s="8"/>
      <c r="D18" s="8"/>
      <c r="E18" s="8"/>
    </row>
    <row r="19" customFormat="false" ht="15" hidden="false" customHeight="true" outlineLevel="0" collapsed="false">
      <c r="A19" s="4" t="s">
        <v>112</v>
      </c>
      <c r="B19" s="22" t="n">
        <v>1800000</v>
      </c>
      <c r="C19" s="3" t="s">
        <v>113</v>
      </c>
    </row>
    <row r="20" customFormat="false" ht="15" hidden="false" customHeight="true" outlineLevel="0" collapsed="false">
      <c r="A20" s="4" t="s">
        <v>114</v>
      </c>
      <c r="B20" s="23" t="n">
        <v>0.07</v>
      </c>
      <c r="C20" s="3" t="s">
        <v>115</v>
      </c>
    </row>
    <row r="21" customFormat="false" ht="15" hidden="false" customHeight="true" outlineLevel="0" collapsed="false">
      <c r="A21" s="4" t="s">
        <v>116</v>
      </c>
      <c r="B21" s="24" t="n">
        <v>7000</v>
      </c>
      <c r="C21" s="3" t="s">
        <v>117</v>
      </c>
    </row>
    <row r="22" customFormat="false" ht="15" hidden="false" customHeight="true" outlineLevel="0" collapsed="false">
      <c r="A22" s="4" t="s">
        <v>118</v>
      </c>
      <c r="B22" s="25" t="n">
        <f aca="false">B19*B20*B21/1000000</f>
        <v>882</v>
      </c>
      <c r="C22" s="3"/>
    </row>
    <row r="23" customFormat="false" ht="15" hidden="false" customHeight="true" outlineLevel="0" collapsed="false">
      <c r="A23" s="4" t="s">
        <v>119</v>
      </c>
      <c r="B23" s="26" t="n">
        <v>600</v>
      </c>
      <c r="C23" s="3" t="s">
        <v>120</v>
      </c>
    </row>
    <row r="24" customFormat="false" ht="15" hidden="false" customHeight="true" outlineLevel="0" collapsed="false">
      <c r="A24" s="4" t="s">
        <v>121</v>
      </c>
      <c r="B24" s="27" t="n">
        <f aca="false">B22+B23</f>
        <v>1482</v>
      </c>
      <c r="C24" s="3"/>
    </row>
    <row r="25" customFormat="false" ht="15" hidden="false" customHeight="true" outlineLevel="0" collapsed="false">
      <c r="A25" s="4" t="s">
        <v>122</v>
      </c>
      <c r="B25" s="28" t="n">
        <f aca="false">'Roll-Up Model'!M28/B24</f>
        <v>0.102476652283942</v>
      </c>
      <c r="C2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DB1"/>
    <pageSetUpPr fitToPage="false"/>
  </sheetPr>
  <dimension ref="A1:N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2"/>
    <col collapsed="false" customWidth="true" hidden="false" outlineLevel="0" max="13" min="3" style="1" width="11"/>
    <col collapsed="false" customWidth="true" hidden="false" outlineLevel="0" max="14" min="14" style="1" width="60"/>
  </cols>
  <sheetData>
    <row r="1" customFormat="false" ht="17.25" hidden="false" customHeight="true" outlineLevel="0" collapsed="false">
      <c r="A1" s="2" t="s">
        <v>123</v>
      </c>
    </row>
    <row r="2" customFormat="false" ht="15" hidden="false" customHeight="true" outlineLevel="0" collapsed="false">
      <c r="A2" s="3" t="s">
        <v>124</v>
      </c>
    </row>
    <row r="4" customFormat="false" ht="15" hidden="false" customHeight="true" outlineLevel="0" collapsed="false">
      <c r="A4" s="29" t="s">
        <v>125</v>
      </c>
      <c r="B4" s="30" t="n">
        <v>1</v>
      </c>
      <c r="C4" s="31" t="str">
        <f aca="false">INDEX(C7:F7,$B$4)</f>
        <v>Base</v>
      </c>
      <c r="N4" s="3" t="s">
        <v>126</v>
      </c>
    </row>
    <row r="6" customFormat="false" ht="15" hidden="false" customHeight="true" outlineLevel="0" collapsed="false">
      <c r="A6" s="7" t="s">
        <v>127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5" hidden="false" customHeight="true" outlineLevel="0" collapsed="false">
      <c r="A7" s="12" t="s">
        <v>128</v>
      </c>
      <c r="B7" s="13" t="s">
        <v>129</v>
      </c>
      <c r="C7" s="13" t="s">
        <v>130</v>
      </c>
      <c r="D7" s="13" t="s">
        <v>131</v>
      </c>
      <c r="E7" s="13" t="s">
        <v>132</v>
      </c>
      <c r="F7" s="13" t="s">
        <v>133</v>
      </c>
      <c r="N7" s="32" t="s">
        <v>134</v>
      </c>
    </row>
    <row r="8" customFormat="false" ht="15" hidden="false" customHeight="true" outlineLevel="0" collapsed="false">
      <c r="A8" s="4" t="s">
        <v>135</v>
      </c>
      <c r="B8" s="33" t="n">
        <f aca="false">INDEX(C8:F8,$B$4)</f>
        <v>0.05</v>
      </c>
      <c r="C8" s="23" t="n">
        <v>0.05</v>
      </c>
      <c r="D8" s="23" t="n">
        <v>0.07</v>
      </c>
      <c r="E8" s="23" t="n">
        <v>0.02</v>
      </c>
      <c r="F8" s="23" t="n">
        <v>0.08</v>
      </c>
      <c r="N8" s="3" t="s">
        <v>136</v>
      </c>
    </row>
    <row r="9" customFormat="false" ht="15" hidden="false" customHeight="true" outlineLevel="0" collapsed="false">
      <c r="A9" s="4" t="s">
        <v>137</v>
      </c>
      <c r="B9" s="34" t="n">
        <f aca="false">INDEX(C9:F9,$B$4)</f>
        <v>5.25</v>
      </c>
      <c r="C9" s="35" t="n">
        <v>5.25</v>
      </c>
      <c r="D9" s="35" t="n">
        <v>5</v>
      </c>
      <c r="E9" s="35" t="n">
        <v>6</v>
      </c>
      <c r="F9" s="35" t="n">
        <v>4.75</v>
      </c>
      <c r="N9" s="3" t="s">
        <v>138</v>
      </c>
    </row>
    <row r="10" customFormat="false" ht="15" hidden="false" customHeight="true" outlineLevel="0" collapsed="false">
      <c r="A10" s="4" t="s">
        <v>139</v>
      </c>
      <c r="B10" s="34" t="n">
        <f aca="false">INDEX(C10:F10,$B$4)</f>
        <v>4.25</v>
      </c>
      <c r="C10" s="35" t="n">
        <v>4.25</v>
      </c>
      <c r="D10" s="35" t="n">
        <v>4</v>
      </c>
      <c r="E10" s="35" t="n">
        <v>5</v>
      </c>
      <c r="F10" s="35" t="n">
        <v>3.75</v>
      </c>
      <c r="N10" s="3" t="s">
        <v>140</v>
      </c>
    </row>
    <row r="11" customFormat="false" ht="15" hidden="false" customHeight="true" outlineLevel="0" collapsed="false">
      <c r="A11" s="4" t="s">
        <v>141</v>
      </c>
      <c r="B11" s="34" t="n">
        <f aca="false">INDEX(C11:F11,$B$4)</f>
        <v>1</v>
      </c>
      <c r="C11" s="35" t="n">
        <v>1</v>
      </c>
      <c r="D11" s="35" t="n">
        <v>1.25</v>
      </c>
      <c r="E11" s="35" t="n">
        <v>0.6</v>
      </c>
      <c r="F11" s="35" t="n">
        <v>1.5</v>
      </c>
      <c r="N11" s="3" t="s">
        <v>142</v>
      </c>
    </row>
    <row r="12" customFormat="false" ht="15" hidden="false" customHeight="true" outlineLevel="0" collapsed="false">
      <c r="A12" s="4" t="s">
        <v>143</v>
      </c>
      <c r="B12" s="33" t="n">
        <f aca="false">INDEX(C12:F12,$B$4)</f>
        <v>0.14</v>
      </c>
      <c r="C12" s="23" t="n">
        <v>0.14</v>
      </c>
      <c r="D12" s="23" t="n">
        <v>0.15</v>
      </c>
      <c r="E12" s="23" t="n">
        <v>0.12</v>
      </c>
      <c r="F12" s="23" t="n">
        <v>0.15</v>
      </c>
      <c r="N12" s="3" t="s">
        <v>144</v>
      </c>
    </row>
    <row r="13" customFormat="false" ht="15" hidden="false" customHeight="true" outlineLevel="0" collapsed="false">
      <c r="A13" s="4" t="s">
        <v>145</v>
      </c>
      <c r="B13" s="33" t="n">
        <f aca="false">INDEX(C13:F13,$B$4)</f>
        <v>1</v>
      </c>
      <c r="C13" s="23" t="n">
        <v>1</v>
      </c>
      <c r="D13" s="23" t="n">
        <v>1.2</v>
      </c>
      <c r="E13" s="23" t="n">
        <v>0.5</v>
      </c>
      <c r="F13" s="23" t="n">
        <v>1.4</v>
      </c>
      <c r="N13" s="3" t="s">
        <v>146</v>
      </c>
    </row>
    <row r="14" customFormat="false" ht="15" hidden="false" customHeight="true" outlineLevel="0" collapsed="false">
      <c r="A14" s="4" t="s">
        <v>147</v>
      </c>
      <c r="B14" s="33" t="n">
        <f aca="false">INDEX(C14:F14,$B$4)</f>
        <v>0.35</v>
      </c>
      <c r="C14" s="23" t="n">
        <v>0.35</v>
      </c>
      <c r="D14" s="23" t="n">
        <v>0.45</v>
      </c>
      <c r="E14" s="23" t="n">
        <v>0.2</v>
      </c>
      <c r="F14" s="23" t="n">
        <v>0.5</v>
      </c>
      <c r="N14" s="3" t="s">
        <v>148</v>
      </c>
    </row>
    <row r="15" customFormat="false" ht="15" hidden="false" customHeight="true" outlineLevel="0" collapsed="false">
      <c r="A15" s="4" t="s">
        <v>149</v>
      </c>
      <c r="B15" s="36" t="n">
        <f aca="false">INDEX(C15:F15,$B$4)</f>
        <v>30</v>
      </c>
      <c r="C15" s="22" t="n">
        <v>30</v>
      </c>
      <c r="D15" s="22" t="n">
        <v>45</v>
      </c>
      <c r="E15" s="22" t="n">
        <v>10</v>
      </c>
      <c r="F15" s="22" t="n">
        <v>60</v>
      </c>
      <c r="N15" s="3" t="s">
        <v>150</v>
      </c>
    </row>
    <row r="16" customFormat="false" ht="15" hidden="false" customHeight="true" outlineLevel="0" collapsed="false">
      <c r="A16" s="4" t="s">
        <v>151</v>
      </c>
      <c r="B16" s="34" t="n">
        <f aca="false">INDEX(C16:F16,$B$4)</f>
        <v>10</v>
      </c>
      <c r="C16" s="35" t="n">
        <v>10</v>
      </c>
      <c r="D16" s="35" t="n">
        <v>11</v>
      </c>
      <c r="E16" s="35" t="n">
        <v>8</v>
      </c>
      <c r="F16" s="35" t="n">
        <v>12</v>
      </c>
      <c r="N16" s="3" t="s">
        <v>152</v>
      </c>
    </row>
    <row r="17" customFormat="false" ht="15" hidden="false" customHeight="true" outlineLevel="0" collapsed="false">
      <c r="A17" s="4" t="s">
        <v>153</v>
      </c>
      <c r="B17" s="34" t="n">
        <f aca="false">INDEX(C17:F17,$B$4)</f>
        <v>15</v>
      </c>
      <c r="C17" s="35" t="n">
        <v>15</v>
      </c>
      <c r="D17" s="35" t="n">
        <v>17</v>
      </c>
      <c r="E17" s="35" t="n">
        <v>12</v>
      </c>
      <c r="F17" s="35" t="n">
        <v>18</v>
      </c>
      <c r="N17" s="3" t="s">
        <v>154</v>
      </c>
    </row>
    <row r="18" customFormat="false" ht="15" hidden="false" customHeight="true" outlineLevel="0" collapsed="false">
      <c r="A18" s="4" t="s">
        <v>155</v>
      </c>
      <c r="B18" s="33" t="n">
        <f aca="false">INDEX(C18:F18,$B$4)</f>
        <v>0.35</v>
      </c>
      <c r="C18" s="23" t="n">
        <v>0.35</v>
      </c>
      <c r="D18" s="23" t="n">
        <v>0.45</v>
      </c>
      <c r="E18" s="23" t="n">
        <v>0.2</v>
      </c>
      <c r="F18" s="23" t="n">
        <v>0.5</v>
      </c>
      <c r="N18" s="3" t="s">
        <v>156</v>
      </c>
    </row>
    <row r="19" customFormat="false" ht="15" hidden="false" customHeight="true" outlineLevel="0" collapsed="false">
      <c r="A19" s="4" t="s">
        <v>157</v>
      </c>
      <c r="B19" s="33" t="n">
        <f aca="false">INDEX(C19:F19,$B$4)</f>
        <v>0.04</v>
      </c>
      <c r="C19" s="23" t="n">
        <v>0.04</v>
      </c>
      <c r="D19" s="23" t="n">
        <v>0.035</v>
      </c>
      <c r="E19" s="23" t="n">
        <v>0.05</v>
      </c>
      <c r="F19" s="23" t="n">
        <v>0.0325</v>
      </c>
      <c r="N19" s="3" t="s">
        <v>158</v>
      </c>
    </row>
    <row r="20" customFormat="false" ht="15" hidden="false" customHeight="true" outlineLevel="0" collapsed="false">
      <c r="A20" s="4" t="s">
        <v>159</v>
      </c>
      <c r="B20" s="33" t="n">
        <f aca="false">INDEX(C20:F20,$B$4)</f>
        <v>0.75</v>
      </c>
      <c r="C20" s="23" t="n">
        <v>0.75</v>
      </c>
      <c r="D20" s="23" t="n">
        <v>1</v>
      </c>
      <c r="E20" s="23" t="n">
        <v>0.4</v>
      </c>
      <c r="F20" s="23" t="n">
        <v>1</v>
      </c>
      <c r="N20" s="3" t="s">
        <v>160</v>
      </c>
    </row>
    <row r="22" customFormat="false" ht="15" hidden="false" customHeight="true" outlineLevel="0" collapsed="false">
      <c r="A22" s="7" t="s">
        <v>161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4" t="s">
        <v>162</v>
      </c>
      <c r="B23" s="37" t="n">
        <v>15</v>
      </c>
      <c r="N23" s="3" t="s">
        <v>163</v>
      </c>
    </row>
    <row r="24" customFormat="false" ht="15" hidden="false" customHeight="true" outlineLevel="0" collapsed="false">
      <c r="A24" s="4" t="s">
        <v>164</v>
      </c>
      <c r="B24" s="26" t="n">
        <v>10</v>
      </c>
      <c r="N24" s="3" t="s">
        <v>165</v>
      </c>
    </row>
    <row r="25" customFormat="false" ht="15" hidden="false" customHeight="true" outlineLevel="0" collapsed="false">
      <c r="A25" s="4" t="s">
        <v>166</v>
      </c>
      <c r="B25" s="23" t="n">
        <v>0.18</v>
      </c>
      <c r="N25" s="3" t="s">
        <v>167</v>
      </c>
    </row>
    <row r="26" customFormat="false" ht="15" hidden="false" customHeight="true" outlineLevel="0" collapsed="false">
      <c r="A26" s="4" t="s">
        <v>168</v>
      </c>
      <c r="B26" s="22" t="n">
        <v>2</v>
      </c>
      <c r="N26" s="3" t="s">
        <v>169</v>
      </c>
    </row>
    <row r="27" customFormat="false" ht="15" hidden="false" customHeight="true" outlineLevel="0" collapsed="false">
      <c r="A27" s="4" t="s">
        <v>170</v>
      </c>
      <c r="B27" s="23" t="n">
        <v>0.04</v>
      </c>
      <c r="N27" s="3" t="s">
        <v>171</v>
      </c>
    </row>
    <row r="28" customFormat="false" ht="15" hidden="false" customHeight="true" outlineLevel="0" collapsed="false">
      <c r="A28" s="4" t="s">
        <v>172</v>
      </c>
      <c r="B28" s="23" t="n">
        <v>0.05</v>
      </c>
      <c r="N28" s="3" t="s">
        <v>173</v>
      </c>
    </row>
    <row r="29" customFormat="false" ht="15" hidden="false" customHeight="true" outlineLevel="0" collapsed="false">
      <c r="A29" s="4" t="s">
        <v>174</v>
      </c>
      <c r="B29" s="26" t="n">
        <v>0.5</v>
      </c>
      <c r="N29" s="3"/>
    </row>
    <row r="30" customFormat="false" ht="15" hidden="false" customHeight="true" outlineLevel="0" collapsed="false">
      <c r="A30" s="4" t="s">
        <v>175</v>
      </c>
      <c r="B30" s="35" t="n">
        <v>2.25</v>
      </c>
      <c r="N30" s="3" t="s">
        <v>176</v>
      </c>
    </row>
    <row r="31" customFormat="false" ht="15" hidden="false" customHeight="true" outlineLevel="0" collapsed="false">
      <c r="A31" s="4" t="s">
        <v>177</v>
      </c>
      <c r="B31" s="23" t="n">
        <v>0.1</v>
      </c>
      <c r="N31" s="3" t="s">
        <v>178</v>
      </c>
    </row>
    <row r="32" customFormat="false" ht="15" hidden="false" customHeight="true" outlineLevel="0" collapsed="false">
      <c r="A32" s="4" t="s">
        <v>179</v>
      </c>
      <c r="B32" s="23" t="n">
        <v>0.15</v>
      </c>
      <c r="N32" s="3"/>
    </row>
    <row r="33" customFormat="false" ht="15" hidden="false" customHeight="true" outlineLevel="0" collapsed="false">
      <c r="A33" s="4" t="s">
        <v>180</v>
      </c>
      <c r="B33" s="23" t="n">
        <v>0.1</v>
      </c>
      <c r="N33" s="3" t="s">
        <v>181</v>
      </c>
    </row>
    <row r="34" customFormat="false" ht="15" hidden="false" customHeight="true" outlineLevel="0" collapsed="false">
      <c r="A34" s="4" t="s">
        <v>182</v>
      </c>
      <c r="B34" s="23" t="n">
        <v>0.35</v>
      </c>
      <c r="N34" s="3" t="s">
        <v>183</v>
      </c>
    </row>
    <row r="35" customFormat="false" ht="15" hidden="false" customHeight="true" outlineLevel="0" collapsed="false">
      <c r="A35" s="4" t="s">
        <v>184</v>
      </c>
      <c r="B35" s="23" t="n">
        <v>0.25</v>
      </c>
      <c r="N35" s="3" t="s">
        <v>185</v>
      </c>
    </row>
    <row r="36" customFormat="false" ht="15" hidden="false" customHeight="true" outlineLevel="0" collapsed="false">
      <c r="A36" s="4" t="s">
        <v>186</v>
      </c>
      <c r="B36" s="23" t="n">
        <v>0.15</v>
      </c>
      <c r="N36" s="3"/>
    </row>
    <row r="37" customFormat="false" ht="15" hidden="false" customHeight="true" outlineLevel="0" collapsed="false">
      <c r="A37" s="4" t="s">
        <v>187</v>
      </c>
      <c r="B37" s="23" t="n">
        <v>0.05</v>
      </c>
      <c r="N37" s="3" t="s">
        <v>188</v>
      </c>
    </row>
    <row r="38" customFormat="false" ht="15" hidden="false" customHeight="true" outlineLevel="0" collapsed="false">
      <c r="A38" s="4" t="s">
        <v>189</v>
      </c>
      <c r="B38" s="23" t="n">
        <v>0.1</v>
      </c>
      <c r="N38" s="3" t="s">
        <v>190</v>
      </c>
    </row>
    <row r="39" customFormat="false" ht="15" hidden="false" customHeight="true" outlineLevel="0" collapsed="false">
      <c r="A39" s="4" t="s">
        <v>191</v>
      </c>
      <c r="B39" s="22" t="n">
        <v>2</v>
      </c>
      <c r="N39" s="3"/>
    </row>
    <row r="40" customFormat="false" ht="15" hidden="false" customHeight="true" outlineLevel="0" collapsed="false">
      <c r="A40" s="4" t="s">
        <v>192</v>
      </c>
      <c r="B40" s="26" t="n">
        <v>3.5</v>
      </c>
      <c r="N40" s="3" t="s">
        <v>193</v>
      </c>
    </row>
    <row r="41" customFormat="false" ht="15" hidden="false" customHeight="true" outlineLevel="0" collapsed="false">
      <c r="A41" s="4" t="s">
        <v>194</v>
      </c>
      <c r="B41" s="23" t="n">
        <v>0.04</v>
      </c>
      <c r="N41" s="3" t="s">
        <v>195</v>
      </c>
    </row>
    <row r="42" customFormat="false" ht="15" hidden="false" customHeight="true" outlineLevel="0" collapsed="false">
      <c r="A42" s="4" t="s">
        <v>196</v>
      </c>
      <c r="B42" s="23" t="n">
        <v>0.5</v>
      </c>
      <c r="N42" s="3"/>
    </row>
    <row r="44" customFormat="false" ht="15" hidden="false" customHeight="true" outlineLevel="0" collapsed="false">
      <c r="A44" s="7" t="s">
        <v>197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customFormat="false" ht="15" hidden="false" customHeight="true" outlineLevel="0" collapsed="false">
      <c r="A45" s="4" t="s">
        <v>198</v>
      </c>
      <c r="B45" s="23" t="n">
        <v>0.15</v>
      </c>
      <c r="N45" s="3" t="s">
        <v>199</v>
      </c>
    </row>
    <row r="46" customFormat="false" ht="15" hidden="false" customHeight="true" outlineLevel="0" collapsed="false">
      <c r="A46" s="4" t="s">
        <v>200</v>
      </c>
      <c r="B46" s="22" t="n">
        <v>7</v>
      </c>
      <c r="N46" s="3"/>
    </row>
    <row r="47" customFormat="false" ht="15" hidden="false" customHeight="true" outlineLevel="0" collapsed="false">
      <c r="A47" s="4" t="s">
        <v>201</v>
      </c>
      <c r="B47" s="26" t="n">
        <v>1</v>
      </c>
      <c r="N47" s="3" t="s">
        <v>202</v>
      </c>
    </row>
    <row r="48" customFormat="false" ht="15" hidden="false" customHeight="true" outlineLevel="0" collapsed="false">
      <c r="A48" s="4" t="s">
        <v>203</v>
      </c>
      <c r="B48" s="23" t="n">
        <v>0.08</v>
      </c>
      <c r="N48" s="3"/>
    </row>
    <row r="49" customFormat="false" ht="15" hidden="false" customHeight="true" outlineLevel="0" collapsed="false">
      <c r="A49" s="4" t="s">
        <v>204</v>
      </c>
      <c r="B49" s="22" t="n">
        <v>3</v>
      </c>
      <c r="N49" s="3" t="s">
        <v>205</v>
      </c>
    </row>
    <row r="50" customFormat="false" ht="15" hidden="false" customHeight="true" outlineLevel="0" collapsed="false">
      <c r="A50" s="4" t="s">
        <v>206</v>
      </c>
      <c r="B50" s="26" t="n">
        <v>0.9</v>
      </c>
      <c r="N50" s="3" t="s">
        <v>207</v>
      </c>
    </row>
    <row r="51" customFormat="false" ht="15" hidden="false" customHeight="true" outlineLevel="0" collapsed="false">
      <c r="A51" s="4" t="s">
        <v>208</v>
      </c>
      <c r="B51" s="23" t="n">
        <v>0.28</v>
      </c>
      <c r="N51" s="3" t="s">
        <v>209</v>
      </c>
    </row>
    <row r="52" customFormat="false" ht="15" hidden="false" customHeight="true" outlineLevel="0" collapsed="false">
      <c r="A52" s="4" t="s">
        <v>210</v>
      </c>
      <c r="B52" s="26" t="n">
        <v>0.35</v>
      </c>
      <c r="N52" s="3" t="s">
        <v>211</v>
      </c>
    </row>
    <row r="53" customFormat="false" ht="15" hidden="false" customHeight="true" outlineLevel="0" collapsed="false">
      <c r="A53" s="4" t="s">
        <v>212</v>
      </c>
      <c r="B53" s="23" t="n">
        <v>0.025</v>
      </c>
      <c r="N53" s="3"/>
    </row>
    <row r="54" customFormat="false" ht="15" hidden="false" customHeight="true" outlineLevel="0" collapsed="false">
      <c r="A54" s="4" t="s">
        <v>213</v>
      </c>
      <c r="B54" s="23" t="n">
        <v>0.02</v>
      </c>
      <c r="N54" s="3"/>
    </row>
    <row r="55" customFormat="false" ht="15" hidden="false" customHeight="true" outlineLevel="0" collapsed="false">
      <c r="A55" s="4" t="s">
        <v>214</v>
      </c>
      <c r="B55" s="23" t="n">
        <v>0.1</v>
      </c>
      <c r="N55" s="3" t="s">
        <v>215</v>
      </c>
    </row>
    <row r="56" customFormat="false" ht="15" hidden="false" customHeight="true" outlineLevel="0" collapsed="false">
      <c r="A56" s="4" t="s">
        <v>216</v>
      </c>
      <c r="B56" s="23" t="n">
        <v>0.25</v>
      </c>
      <c r="N56" s="3" t="s">
        <v>217</v>
      </c>
    </row>
    <row r="58" customFormat="false" ht="15" hidden="false" customHeight="true" outlineLevel="0" collapsed="false">
      <c r="A58" s="7" t="s">
        <v>218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customFormat="false" ht="15" hidden="false" customHeight="true" outlineLevel="0" collapsed="false">
      <c r="A59" s="4" t="s">
        <v>219</v>
      </c>
      <c r="B59" s="23" t="n">
        <v>0.05</v>
      </c>
      <c r="N59" s="3"/>
    </row>
    <row r="60" customFormat="false" ht="15" hidden="false" customHeight="true" outlineLevel="0" collapsed="false">
      <c r="A60" s="4" t="s">
        <v>220</v>
      </c>
      <c r="B60" s="23" t="n">
        <v>0.05</v>
      </c>
      <c r="N60" s="3"/>
    </row>
    <row r="61" customFormat="false" ht="15" hidden="false" customHeight="true" outlineLevel="0" collapsed="false">
      <c r="A61" s="4" t="s">
        <v>221</v>
      </c>
      <c r="B61" s="23" t="n">
        <v>0.5</v>
      </c>
      <c r="N61" s="3"/>
    </row>
    <row r="62" customFormat="false" ht="15" hidden="false" customHeight="true" outlineLevel="0" collapsed="false">
      <c r="A62" s="4" t="s">
        <v>222</v>
      </c>
      <c r="B62" s="22" t="n">
        <v>5</v>
      </c>
      <c r="N62" s="3" t="s">
        <v>223</v>
      </c>
    </row>
    <row r="63" customFormat="false" ht="15" hidden="false" customHeight="true" outlineLevel="0" collapsed="false">
      <c r="A63" s="4" t="s">
        <v>224</v>
      </c>
      <c r="B63" s="23" t="n">
        <v>1</v>
      </c>
      <c r="N63" s="3"/>
    </row>
    <row r="64" customFormat="false" ht="15" hidden="false" customHeight="true" outlineLevel="0" collapsed="false">
      <c r="A64" s="4" t="s">
        <v>225</v>
      </c>
      <c r="B64" s="23" t="n">
        <v>0.0525</v>
      </c>
      <c r="N64" s="3"/>
    </row>
    <row r="65" customFormat="false" ht="15" hidden="false" customHeight="true" outlineLevel="0" collapsed="false">
      <c r="A65" s="4" t="s">
        <v>226</v>
      </c>
      <c r="B65" s="23" t="n">
        <v>0.05</v>
      </c>
      <c r="N65" s="3"/>
    </row>
    <row r="66" customFormat="false" ht="15" hidden="false" customHeight="true" outlineLevel="0" collapsed="false">
      <c r="A66" s="4" t="s">
        <v>227</v>
      </c>
      <c r="B66" s="23" t="n">
        <v>0.045</v>
      </c>
      <c r="N66" s="3" t="s">
        <v>228</v>
      </c>
    </row>
    <row r="67" customFormat="false" ht="15" hidden="false" customHeight="true" outlineLevel="0" collapsed="false">
      <c r="A67" s="4" t="s">
        <v>229</v>
      </c>
      <c r="B67" s="23" t="n">
        <v>0.07</v>
      </c>
      <c r="N67" s="3"/>
    </row>
    <row r="68" customFormat="false" ht="15" hidden="false" customHeight="true" outlineLevel="0" collapsed="false">
      <c r="A68" s="4" t="s">
        <v>230</v>
      </c>
      <c r="B68" s="22" t="n">
        <v>4</v>
      </c>
      <c r="N68" s="3"/>
    </row>
    <row r="69" customFormat="false" ht="15" hidden="false" customHeight="true" outlineLevel="0" collapsed="false">
      <c r="A69" s="4" t="s">
        <v>231</v>
      </c>
      <c r="B69" s="35" t="n">
        <v>5</v>
      </c>
      <c r="N69" s="3" t="s">
        <v>232</v>
      </c>
    </row>
    <row r="71" customFormat="false" ht="15" hidden="false" customHeight="true" outlineLevel="0" collapsed="false">
      <c r="A71" s="7" t="s">
        <v>233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" hidden="false" customHeight="true" outlineLevel="0" collapsed="false">
      <c r="A72" s="4" t="s">
        <v>234</v>
      </c>
      <c r="B72" s="35" t="n">
        <v>7</v>
      </c>
      <c r="N72" s="3" t="s">
        <v>235</v>
      </c>
    </row>
    <row r="73" customFormat="false" ht="15" hidden="false" customHeight="true" outlineLevel="0" collapsed="false">
      <c r="A73" s="4" t="s">
        <v>236</v>
      </c>
      <c r="B73" s="23" t="n">
        <v>0.1</v>
      </c>
      <c r="N73" s="3" t="s">
        <v>237</v>
      </c>
    </row>
    <row r="74" customFormat="false" ht="15" hidden="false" customHeight="true" outlineLevel="0" collapsed="false">
      <c r="A74" s="4" t="s">
        <v>238</v>
      </c>
      <c r="B74" s="23" t="n">
        <v>0.02</v>
      </c>
      <c r="N74" s="3"/>
    </row>
    <row r="75" customFormat="false" ht="15" hidden="false" customHeight="true" outlineLevel="0" collapsed="false">
      <c r="A75" s="4" t="s">
        <v>239</v>
      </c>
      <c r="B75" s="23" t="n">
        <v>0.6</v>
      </c>
      <c r="N75" s="3" t="s">
        <v>240</v>
      </c>
    </row>
    <row r="76" customFormat="false" ht="15" hidden="false" customHeight="true" outlineLevel="0" collapsed="false">
      <c r="A76" s="4" t="s">
        <v>241</v>
      </c>
      <c r="B76" s="22" t="n">
        <v>138</v>
      </c>
      <c r="N76" s="3" t="s">
        <v>242</v>
      </c>
    </row>
    <row r="77" customFormat="false" ht="15" hidden="false" customHeight="true" outlineLevel="0" collapsed="false">
      <c r="A77" s="4" t="s">
        <v>243</v>
      </c>
      <c r="B77" s="23" t="n">
        <v>0.4</v>
      </c>
      <c r="N77" s="3" t="s">
        <v>244</v>
      </c>
    </row>
    <row r="78" customFormat="false" ht="15" hidden="false" customHeight="true" outlineLevel="0" collapsed="false">
      <c r="A78" s="4" t="s">
        <v>245</v>
      </c>
      <c r="B78" s="23" t="n">
        <v>0.015</v>
      </c>
      <c r="N78" s="3" t="s">
        <v>246</v>
      </c>
    </row>
    <row r="79" customFormat="false" ht="15" hidden="false" customHeight="true" outlineLevel="0" collapsed="false">
      <c r="A79" s="4" t="s">
        <v>247</v>
      </c>
      <c r="B79" s="26" t="n">
        <v>20</v>
      </c>
      <c r="N79" s="3" t="s">
        <v>248</v>
      </c>
    </row>
    <row r="80" customFormat="false" ht="15" hidden="false" customHeight="true" outlineLevel="0" collapsed="false">
      <c r="A80" s="4" t="s">
        <v>249</v>
      </c>
      <c r="B80" s="23" t="n">
        <v>0.22</v>
      </c>
      <c r="N80" s="3"/>
    </row>
    <row r="81" customFormat="false" ht="15" hidden="false" customHeight="true" outlineLevel="0" collapsed="false">
      <c r="A81" s="4" t="s">
        <v>250</v>
      </c>
      <c r="B81" s="22" t="n">
        <v>20</v>
      </c>
      <c r="N81" s="3" t="s">
        <v>251</v>
      </c>
    </row>
    <row r="82" customFormat="false" ht="15" hidden="false" customHeight="true" outlineLevel="0" collapsed="false">
      <c r="A82" s="4" t="s">
        <v>252</v>
      </c>
      <c r="B82" s="23" t="n">
        <v>0.5</v>
      </c>
      <c r="N82" s="3" t="s">
        <v>253</v>
      </c>
    </row>
    <row r="83" customFormat="false" ht="15" hidden="false" customHeight="true" outlineLevel="0" collapsed="false">
      <c r="A83" s="4" t="s">
        <v>254</v>
      </c>
      <c r="B83" s="35" t="n">
        <v>9</v>
      </c>
      <c r="N83" s="3" t="s">
        <v>255</v>
      </c>
    </row>
    <row r="84" customFormat="false" ht="15" hidden="false" customHeight="true" outlineLevel="0" collapsed="false">
      <c r="A84" s="4" t="s">
        <v>256</v>
      </c>
      <c r="B84" s="23" t="n">
        <v>0.0075</v>
      </c>
      <c r="N84" s="3" t="s">
        <v>257</v>
      </c>
    </row>
    <row r="85" customFormat="false" ht="15" hidden="false" customHeight="true" outlineLevel="0" collapsed="false">
      <c r="A85" s="4" t="s">
        <v>258</v>
      </c>
      <c r="B85" s="23" t="n">
        <v>0.4</v>
      </c>
      <c r="N85" s="3" t="s">
        <v>259</v>
      </c>
    </row>
    <row r="86" customFormat="false" ht="15" hidden="false" customHeight="true" outlineLevel="0" collapsed="false">
      <c r="A86" s="4" t="s">
        <v>260</v>
      </c>
      <c r="B86" s="23" t="n">
        <v>0.12</v>
      </c>
      <c r="N86" s="3" t="s">
        <v>261</v>
      </c>
    </row>
    <row r="87" customFormat="false" ht="15" hidden="false" customHeight="true" outlineLevel="0" collapsed="false">
      <c r="A87" s="4" t="s">
        <v>262</v>
      </c>
      <c r="B87" s="23" t="n">
        <v>0.02</v>
      </c>
      <c r="N87" s="3" t="s">
        <v>263</v>
      </c>
    </row>
    <row r="88" customFormat="false" ht="15" hidden="false" customHeight="true" outlineLevel="0" collapsed="false">
      <c r="A88" s="4" t="s">
        <v>264</v>
      </c>
      <c r="B88" s="23" t="n">
        <v>0.08</v>
      </c>
      <c r="N88" s="3"/>
    </row>
    <row r="89" customFormat="false" ht="15" hidden="false" customHeight="true" outlineLevel="0" collapsed="false">
      <c r="A89" s="4" t="s">
        <v>265</v>
      </c>
      <c r="B89" s="23" t="n">
        <v>0.2</v>
      </c>
      <c r="N89" s="3"/>
    </row>
    <row r="90" customFormat="false" ht="15" hidden="false" customHeight="true" outlineLevel="0" collapsed="false">
      <c r="A90" s="4" t="s">
        <v>266</v>
      </c>
      <c r="B90" s="38" t="n">
        <v>7</v>
      </c>
      <c r="N90" s="3" t="s">
        <v>267</v>
      </c>
    </row>
    <row r="91" customFormat="false" ht="15" hidden="false" customHeight="true" outlineLevel="0" collapsed="false">
      <c r="A91" s="4" t="s">
        <v>268</v>
      </c>
      <c r="B91" s="38" t="n">
        <v>1</v>
      </c>
      <c r="N91" s="3"/>
    </row>
    <row r="93" customFormat="false" ht="15" hidden="false" customHeight="true" outlineLevel="0" collapsed="false">
      <c r="A93" s="7" t="s">
        <v>269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customFormat="false" ht="15" hidden="false" customHeight="true" outlineLevel="0" collapsed="false">
      <c r="A94" s="32" t="s">
        <v>270</v>
      </c>
      <c r="B94" s="39"/>
      <c r="C94" s="40" t="s">
        <v>13</v>
      </c>
      <c r="D94" s="40" t="s">
        <v>271</v>
      </c>
      <c r="E94" s="40" t="s">
        <v>272</v>
      </c>
      <c r="F94" s="40" t="s">
        <v>273</v>
      </c>
      <c r="G94" s="40" t="s">
        <v>274</v>
      </c>
      <c r="H94" s="40" t="s">
        <v>275</v>
      </c>
      <c r="I94" s="40" t="s">
        <v>276</v>
      </c>
      <c r="J94" s="40" t="s">
        <v>277</v>
      </c>
      <c r="K94" s="40" t="s">
        <v>278</v>
      </c>
      <c r="L94" s="40" t="s">
        <v>279</v>
      </c>
      <c r="M94" s="40" t="s">
        <v>280</v>
      </c>
    </row>
    <row r="95" customFormat="false" ht="15" hidden="false" customHeight="true" outlineLevel="0" collapsed="false">
      <c r="A95" s="4" t="s">
        <v>281</v>
      </c>
      <c r="C95" s="22" t="n">
        <v>0</v>
      </c>
      <c r="D95" s="22" t="n">
        <v>2</v>
      </c>
      <c r="E95" s="22" t="n">
        <v>3</v>
      </c>
      <c r="F95" s="22" t="n">
        <v>3</v>
      </c>
      <c r="G95" s="22" t="n">
        <v>3</v>
      </c>
      <c r="H95" s="22" t="n">
        <v>3</v>
      </c>
      <c r="I95" s="22" t="n">
        <v>2</v>
      </c>
      <c r="J95" s="22" t="n">
        <v>2</v>
      </c>
      <c r="K95" s="22" t="n">
        <v>2</v>
      </c>
      <c r="L95" s="22" t="n">
        <v>1</v>
      </c>
      <c r="M95" s="22" t="n">
        <v>0</v>
      </c>
      <c r="N95" s="3" t="s">
        <v>282</v>
      </c>
    </row>
    <row r="96" customFormat="false" ht="15" hidden="false" customHeight="true" outlineLevel="0" collapsed="false">
      <c r="A96" s="4" t="s">
        <v>283</v>
      </c>
      <c r="C96" s="41" t="s">
        <v>284</v>
      </c>
      <c r="D96" s="41" t="s">
        <v>285</v>
      </c>
      <c r="E96" s="41" t="s">
        <v>286</v>
      </c>
      <c r="F96" s="41" t="s">
        <v>287</v>
      </c>
      <c r="G96" s="41" t="s">
        <v>288</v>
      </c>
      <c r="H96" s="41" t="s">
        <v>289</v>
      </c>
      <c r="I96" s="41" t="s">
        <v>289</v>
      </c>
      <c r="J96" s="41" t="s">
        <v>290</v>
      </c>
      <c r="K96" s="41" t="s">
        <v>290</v>
      </c>
      <c r="L96" s="41" t="s">
        <v>290</v>
      </c>
      <c r="M96" s="41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DB1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60"/>
  </cols>
  <sheetData>
    <row r="1" customFormat="false" ht="17.25" hidden="false" customHeight="true" outlineLevel="0" collapsed="false">
      <c r="A1" s="2" t="s">
        <v>292</v>
      </c>
    </row>
    <row r="2" customFormat="false" ht="15" hidden="false" customHeight="true" outlineLevel="0" collapsed="false">
      <c r="A2" s="3" t="s">
        <v>293</v>
      </c>
    </row>
    <row r="4" customFormat="false" ht="15" hidden="false" customHeight="true" outlineLevel="0" collapsed="false">
      <c r="A4" s="7" t="s">
        <v>294</v>
      </c>
      <c r="B4" s="8"/>
      <c r="C4" s="8"/>
      <c r="D4" s="8"/>
      <c r="E4" s="8"/>
    </row>
    <row r="5" customFormat="false" ht="15" hidden="false" customHeight="true" outlineLevel="0" collapsed="false">
      <c r="A5" s="4" t="s">
        <v>295</v>
      </c>
      <c r="C5" s="14" t="n">
        <f aca="false">Assumptions!$B$24</f>
        <v>10</v>
      </c>
    </row>
    <row r="6" customFormat="false" ht="15" hidden="false" customHeight="true" outlineLevel="0" collapsed="false">
      <c r="A6" s="4" t="s">
        <v>296</v>
      </c>
      <c r="C6" s="15" t="n">
        <f aca="false">Assumptions!$B$25</f>
        <v>0.18</v>
      </c>
    </row>
    <row r="7" customFormat="false" ht="15" hidden="false" customHeight="true" outlineLevel="0" collapsed="false">
      <c r="A7" s="4" t="s">
        <v>297</v>
      </c>
      <c r="C7" s="25" t="n">
        <f aca="false">C5*C6</f>
        <v>1.8</v>
      </c>
    </row>
    <row r="8" customFormat="false" ht="15" hidden="false" customHeight="true" outlineLevel="0" collapsed="false">
      <c r="A8" s="4" t="s">
        <v>298</v>
      </c>
      <c r="C8" s="17" t="n">
        <f aca="false">Assumptions!$B$9</f>
        <v>5.25</v>
      </c>
    </row>
    <row r="9" customFormat="false" ht="15" hidden="false" customHeight="true" outlineLevel="0" collapsed="false">
      <c r="A9" s="4" t="s">
        <v>299</v>
      </c>
      <c r="C9" s="27" t="n">
        <f aca="false">C7*C8</f>
        <v>9.45</v>
      </c>
    </row>
    <row r="10" customFormat="false" ht="15" hidden="false" customHeight="true" outlineLevel="0" collapsed="false">
      <c r="A10" s="4" t="s">
        <v>300</v>
      </c>
      <c r="C10" s="25" t="n">
        <f aca="false">C9*Assumptions!$B$27</f>
        <v>0.378</v>
      </c>
    </row>
    <row r="11" customFormat="false" ht="15" hidden="false" customHeight="true" outlineLevel="0" collapsed="false">
      <c r="A11" s="4" t="s">
        <v>301</v>
      </c>
      <c r="C11" s="14" t="n">
        <f aca="false">Assumptions!$B$29</f>
        <v>0.5</v>
      </c>
    </row>
    <row r="12" customFormat="false" ht="15" hidden="false" customHeight="true" outlineLevel="0" collapsed="false">
      <c r="A12" s="4" t="s">
        <v>302</v>
      </c>
      <c r="C12" s="42" t="n">
        <f aca="false">C9+C10+C11</f>
        <v>10.328</v>
      </c>
    </row>
    <row r="13" customFormat="false" ht="15" hidden="false" customHeight="true" outlineLevel="0" collapsed="false">
      <c r="A13" s="4" t="s">
        <v>303</v>
      </c>
      <c r="C13" s="25" t="n">
        <f aca="false">-C21</f>
        <v>-0.945</v>
      </c>
    </row>
    <row r="14" customFormat="false" ht="15" hidden="false" customHeight="true" outlineLevel="0" collapsed="false">
      <c r="A14" s="4" t="s">
        <v>304</v>
      </c>
      <c r="C14" s="27" t="n">
        <f aca="false">C12+C13</f>
        <v>9.383</v>
      </c>
    </row>
    <row r="16" customFormat="false" ht="15" hidden="false" customHeight="true" outlineLevel="0" collapsed="false">
      <c r="A16" s="7" t="s">
        <v>305</v>
      </c>
      <c r="B16" s="8"/>
      <c r="C16" s="8"/>
      <c r="D16" s="8"/>
      <c r="E16" s="8"/>
    </row>
    <row r="17" customFormat="false" ht="15" hidden="false" customHeight="true" outlineLevel="0" collapsed="false">
      <c r="A17" s="12" t="s">
        <v>306</v>
      </c>
      <c r="B17" s="13"/>
      <c r="C17" s="13" t="s">
        <v>307</v>
      </c>
      <c r="D17" s="13" t="s">
        <v>308</v>
      </c>
      <c r="E17" s="13" t="s">
        <v>309</v>
      </c>
    </row>
    <row r="18" customFormat="false" ht="15" hidden="false" customHeight="true" outlineLevel="0" collapsed="false">
      <c r="A18" s="4" t="s">
        <v>310</v>
      </c>
      <c r="C18" s="25" t="n">
        <f aca="false">Assumptions!$B$30*C7</f>
        <v>4.05</v>
      </c>
      <c r="D18" s="28" t="n">
        <f aca="false">C18/$C$9</f>
        <v>0.428571428571429</v>
      </c>
      <c r="E18" s="3" t="s">
        <v>311</v>
      </c>
    </row>
    <row r="19" customFormat="false" ht="15" hidden="false" customHeight="true" outlineLevel="0" collapsed="false">
      <c r="A19" s="4" t="s">
        <v>312</v>
      </c>
      <c r="C19" s="25" t="n">
        <f aca="false">Assumptions!$B$31*C9</f>
        <v>0.945</v>
      </c>
      <c r="D19" s="28" t="n">
        <f aca="false">C19/$C$9</f>
        <v>0.1</v>
      </c>
      <c r="E19" s="3" t="s">
        <v>313</v>
      </c>
    </row>
    <row r="20" customFormat="false" ht="15" hidden="false" customHeight="true" outlineLevel="0" collapsed="false">
      <c r="A20" s="4" t="s">
        <v>314</v>
      </c>
      <c r="C20" s="25" t="n">
        <f aca="false">Assumptions!$B$32*C9</f>
        <v>1.4175</v>
      </c>
      <c r="D20" s="28" t="n">
        <f aca="false">C20/$C$9</f>
        <v>0.15</v>
      </c>
      <c r="E20" s="3" t="s">
        <v>315</v>
      </c>
    </row>
    <row r="21" customFormat="false" ht="15" hidden="false" customHeight="true" outlineLevel="0" collapsed="false">
      <c r="A21" s="4" t="s">
        <v>316</v>
      </c>
      <c r="C21" s="25" t="n">
        <f aca="false">Assumptions!$B$33*C9</f>
        <v>0.945</v>
      </c>
      <c r="D21" s="28" t="n">
        <f aca="false">C21/$C$9</f>
        <v>0.1</v>
      </c>
      <c r="E21" s="3" t="s">
        <v>317</v>
      </c>
    </row>
    <row r="22" customFormat="false" ht="15" hidden="false" customHeight="true" outlineLevel="0" collapsed="false">
      <c r="A22" s="31" t="s">
        <v>318</v>
      </c>
      <c r="C22" s="43" t="n">
        <f aca="false">C12-C18-C19-C20-C21</f>
        <v>2.9705</v>
      </c>
      <c r="D22" s="28" t="n">
        <f aca="false">C22/$C$9</f>
        <v>0.314338624338624</v>
      </c>
      <c r="E22" s="3" t="s">
        <v>319</v>
      </c>
    </row>
    <row r="23" customFormat="false" ht="15" hidden="false" customHeight="true" outlineLevel="0" collapsed="false">
      <c r="A23" s="4" t="s">
        <v>320</v>
      </c>
      <c r="C23" s="42" t="n">
        <f aca="false">SUM(C18:C22)</f>
        <v>10.328</v>
      </c>
    </row>
    <row r="24" customFormat="false" ht="15" hidden="false" customHeight="true" outlineLevel="0" collapsed="false">
      <c r="A24" s="4" t="s">
        <v>321</v>
      </c>
      <c r="C24" s="44" t="n">
        <f aca="false">ROUND(C23-C12,6)</f>
        <v>0</v>
      </c>
    </row>
    <row r="25" customFormat="false" ht="15" hidden="false" customHeight="true" outlineLevel="0" collapsed="false">
      <c r="A25" s="4" t="s">
        <v>322</v>
      </c>
      <c r="C25" s="45" t="n">
        <f aca="false">(C18+C19)/C7</f>
        <v>2.775</v>
      </c>
    </row>
    <row r="26" customFormat="false" ht="15" hidden="false" customHeight="true" outlineLevel="0" collapsed="false">
      <c r="A26" s="4" t="s">
        <v>323</v>
      </c>
      <c r="C26" s="28" t="n">
        <f aca="false">C22/Assumptions!$B$23</f>
        <v>0.198033333333333</v>
      </c>
    </row>
    <row r="27" customFormat="false" ht="15" hidden="false" customHeight="true" outlineLevel="0" collapsed="false">
      <c r="A27" s="4" t="s">
        <v>324</v>
      </c>
      <c r="C27" s="25" t="n">
        <f aca="false">Assumptions!$B$23-C22</f>
        <v>12.0295</v>
      </c>
    </row>
    <row r="29" customFormat="false" ht="15" hidden="false" customHeight="true" outlineLevel="0" collapsed="false">
      <c r="A29" s="7" t="s">
        <v>325</v>
      </c>
      <c r="B29" s="8"/>
      <c r="C29" s="8"/>
      <c r="D29" s="8"/>
      <c r="E29" s="8"/>
    </row>
    <row r="30" customFormat="false" ht="15" hidden="false" customHeight="true" outlineLevel="0" collapsed="false">
      <c r="A30" s="12" t="s">
        <v>326</v>
      </c>
      <c r="B30" s="13"/>
      <c r="C30" s="13" t="s">
        <v>307</v>
      </c>
      <c r="D30" s="13" t="s">
        <v>327</v>
      </c>
      <c r="E30" s="13" t="s">
        <v>309</v>
      </c>
    </row>
    <row r="31" customFormat="false" ht="15" hidden="false" customHeight="true" outlineLevel="0" collapsed="false">
      <c r="A31" s="4" t="s">
        <v>328</v>
      </c>
      <c r="C31" s="14" t="n">
        <f aca="false">SUM('Roll-Up Model'!C63:M63)</f>
        <v>15</v>
      </c>
      <c r="D31" s="28" t="n">
        <f aca="false">IF($C$40=0,0,C31/$C$40)</f>
        <v>0.237066056789287</v>
      </c>
    </row>
    <row r="32" customFormat="false" ht="15" hidden="false" customHeight="true" outlineLevel="0" collapsed="false">
      <c r="A32" s="4" t="s">
        <v>314</v>
      </c>
      <c r="C32" s="14" t="n">
        <f aca="false">SUM('Roll-Up Model'!C96:M96)</f>
        <v>3.93871445760591</v>
      </c>
      <c r="D32" s="28" t="n">
        <f aca="false">IF($C$40=0,0,C32/$C$40)</f>
        <v>0.0622490336855725</v>
      </c>
    </row>
    <row r="33" customFormat="false" ht="15" hidden="false" customHeight="true" outlineLevel="0" collapsed="false">
      <c r="A33" s="4" t="s">
        <v>329</v>
      </c>
      <c r="C33" s="25" t="n">
        <f aca="false">C18</f>
        <v>4.05</v>
      </c>
      <c r="D33" s="28" t="n">
        <f aca="false">IF($C$40=0,0,C33/$C$40)</f>
        <v>0.0640078353331075</v>
      </c>
    </row>
    <row r="34" customFormat="false" ht="15" hidden="false" customHeight="true" outlineLevel="0" collapsed="false">
      <c r="A34" s="4" t="s">
        <v>330</v>
      </c>
      <c r="C34" s="14" t="n">
        <f aca="false">SUM('Roll-Up Model'!D76:M76)</f>
        <v>17.6485012032413</v>
      </c>
      <c r="D34" s="28" t="n">
        <f aca="false">IF($C$40=0,0,C34/$C$40)</f>
        <v>0.278924039232894</v>
      </c>
    </row>
    <row r="35" customFormat="false" ht="15" hidden="false" customHeight="true" outlineLevel="0" collapsed="false">
      <c r="A35" s="4" t="s">
        <v>331</v>
      </c>
      <c r="C35" s="14" t="n">
        <f aca="false">SUM('Roll-Up Model'!C80:M80)</f>
        <v>8.50864337281772</v>
      </c>
      <c r="D35" s="28" t="n">
        <f aca="false">IF($C$40=0,0,C35/$C$40)</f>
        <v>0.13447403553468</v>
      </c>
    </row>
    <row r="36" customFormat="false" ht="15" hidden="false" customHeight="true" outlineLevel="0" collapsed="false">
      <c r="A36" s="4" t="s">
        <v>332</v>
      </c>
      <c r="C36" s="14" t="n">
        <f aca="false">SUM('Roll-Up Model'!C88:M88)</f>
        <v>5.98742891521181</v>
      </c>
      <c r="D36" s="28" t="n">
        <f aca="false">IF($C$40=0,0,C36/$C$40)</f>
        <v>0.0946277442156949</v>
      </c>
    </row>
    <row r="37" customFormat="false" ht="15" hidden="false" customHeight="true" outlineLevel="0" collapsed="false">
      <c r="A37" s="4" t="s">
        <v>333</v>
      </c>
      <c r="C37" s="14" t="n">
        <f aca="false">SUM('Roll-Up Model'!D64:M64)</f>
        <v>0</v>
      </c>
      <c r="D37" s="28" t="n">
        <f aca="false">IF($C$40=0,0,C37/$C$40)</f>
        <v>0</v>
      </c>
    </row>
    <row r="38" customFormat="false" ht="15" hidden="false" customHeight="true" outlineLevel="0" collapsed="false">
      <c r="A38" s="4" t="s">
        <v>334</v>
      </c>
      <c r="C38" s="25" t="n">
        <f aca="false">C40-SUM(C31:C37)</f>
        <v>8.14021566084725</v>
      </c>
      <c r="D38" s="28" t="n">
        <f aca="false">IF($C$40=0,0,C38/$C$40)</f>
        <v>0.128651255208764</v>
      </c>
      <c r="E38" s="3" t="s">
        <v>335</v>
      </c>
    </row>
    <row r="40" customFormat="false" ht="15" hidden="false" customHeight="true" outlineLevel="0" collapsed="false">
      <c r="A40" s="31" t="s">
        <v>336</v>
      </c>
      <c r="C40" s="42" t="n">
        <f aca="false">C12+SUM('Roll-Up Model'!D15:M15)+SUM('Roll-Up Model'!D16:M16)</f>
        <v>63.273503609724</v>
      </c>
    </row>
    <row r="41" customFormat="false" ht="15" hidden="false" customHeight="true" outlineLevel="0" collapsed="false">
      <c r="A41" s="4" t="s">
        <v>337</v>
      </c>
      <c r="C41" s="34" t="n">
        <f aca="false">IF(C31=0,0,C40/C31)</f>
        <v>4.2182335739816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DB1"/>
    <pageSetUpPr fitToPage="false"/>
  </sheetPr>
  <dimension ref="A1:N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0"/>
    <col collapsed="false" customWidth="true" hidden="false" outlineLevel="0" max="13" min="3" style="1" width="11"/>
    <col collapsed="false" customWidth="true" hidden="false" outlineLevel="0" max="14" min="14" style="1" width="44"/>
  </cols>
  <sheetData>
    <row r="1" customFormat="false" ht="17.25" hidden="false" customHeight="true" outlineLevel="0" collapsed="false">
      <c r="A1" s="2" t="s">
        <v>338</v>
      </c>
    </row>
    <row r="2" customFormat="false" ht="15" hidden="false" customHeight="true" outlineLevel="0" collapsed="false">
      <c r="A2" s="3" t="s">
        <v>339</v>
      </c>
    </row>
    <row r="5" customFormat="false" ht="15" hidden="false" customHeight="true" outlineLevel="0" collapsed="false">
      <c r="A5" s="32" t="s">
        <v>307</v>
      </c>
      <c r="B5" s="39"/>
      <c r="C5" s="40" t="s">
        <v>13</v>
      </c>
      <c r="D5" s="40" t="s">
        <v>271</v>
      </c>
      <c r="E5" s="40" t="s">
        <v>272</v>
      </c>
      <c r="F5" s="40" t="s">
        <v>273</v>
      </c>
      <c r="G5" s="40" t="s">
        <v>274</v>
      </c>
      <c r="H5" s="40" t="s">
        <v>275</v>
      </c>
      <c r="I5" s="40" t="s">
        <v>276</v>
      </c>
      <c r="J5" s="40" t="s">
        <v>277</v>
      </c>
      <c r="K5" s="40" t="s">
        <v>278</v>
      </c>
      <c r="L5" s="40" t="s">
        <v>279</v>
      </c>
      <c r="M5" s="40" t="s">
        <v>280</v>
      </c>
    </row>
    <row r="6" customFormat="false" ht="15" hidden="false" customHeight="true" outlineLevel="0" collapsed="false">
      <c r="A6" s="4" t="s">
        <v>340</v>
      </c>
      <c r="C6" s="22" t="n">
        <v>0</v>
      </c>
      <c r="D6" s="22" t="n">
        <v>1</v>
      </c>
      <c r="E6" s="22" t="n">
        <v>2</v>
      </c>
      <c r="F6" s="22" t="n">
        <v>3</v>
      </c>
      <c r="G6" s="22" t="n">
        <v>4</v>
      </c>
      <c r="H6" s="22" t="n">
        <v>5</v>
      </c>
      <c r="I6" s="22" t="n">
        <v>6</v>
      </c>
      <c r="J6" s="22" t="n">
        <v>7</v>
      </c>
      <c r="K6" s="22" t="n">
        <v>8</v>
      </c>
      <c r="L6" s="22" t="n">
        <v>9</v>
      </c>
      <c r="M6" s="22" t="n">
        <v>10</v>
      </c>
    </row>
    <row r="7" customFormat="false" ht="15" hidden="false" customHeight="true" outlineLevel="0" collapsed="false">
      <c r="A7" s="4" t="s">
        <v>283</v>
      </c>
      <c r="C7" s="18" t="str">
        <f aca="false">Assumptions!C$96</f>
        <v>Platform</v>
      </c>
      <c r="D7" s="18" t="str">
        <f aca="false">Assumptions!D$96</f>
        <v>I  S.FL</v>
      </c>
      <c r="E7" s="18" t="str">
        <f aca="false">Assumptions!E$96</f>
        <v>I/II</v>
      </c>
      <c r="F7" s="18" t="str">
        <f aca="false">Assumptions!F$96</f>
        <v>II  Mid-Atl</v>
      </c>
      <c r="G7" s="18" t="str">
        <f aca="false">Assumptions!G$96</f>
        <v>II/III</v>
      </c>
      <c r="H7" s="18" t="str">
        <f aca="false">Assumptions!H$96</f>
        <v>III  NE</v>
      </c>
      <c r="I7" s="18" t="str">
        <f aca="false">Assumptions!I$96</f>
        <v>III  NE</v>
      </c>
      <c r="J7" s="18" t="str">
        <f aca="false">Assumptions!J$96</f>
        <v>Fill-in</v>
      </c>
      <c r="K7" s="18" t="str">
        <f aca="false">Assumptions!K$96</f>
        <v>Fill-in</v>
      </c>
      <c r="L7" s="18" t="str">
        <f aca="false">Assumptions!L$96</f>
        <v>Fill-in</v>
      </c>
      <c r="M7" s="18" t="str">
        <f aca="false">Assumptions!M$96</f>
        <v>Exit prep</v>
      </c>
    </row>
    <row r="8" customFormat="false" ht="15" hidden="false" customHeight="true" outlineLevel="0" collapsed="false">
      <c r="A8" s="7" t="s">
        <v>341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5" hidden="false" customHeight="true" outlineLevel="0" collapsed="false">
      <c r="A9" s="4" t="s">
        <v>342</v>
      </c>
      <c r="C9" s="19" t="n">
        <v>0</v>
      </c>
      <c r="D9" s="19" t="n">
        <f aca="false">ROUND(Assumptions!D$95*Assumptions!$B$11,0)</f>
        <v>2</v>
      </c>
      <c r="E9" s="19" t="n">
        <f aca="false">ROUND(Assumptions!E$95*Assumptions!$B$11,0)</f>
        <v>3</v>
      </c>
      <c r="F9" s="19" t="n">
        <f aca="false">ROUND(Assumptions!F$95*Assumptions!$B$11,0)</f>
        <v>3</v>
      </c>
      <c r="G9" s="19" t="n">
        <f aca="false">ROUND(Assumptions!G$95*Assumptions!$B$11,0)</f>
        <v>3</v>
      </c>
      <c r="H9" s="19" t="n">
        <f aca="false">ROUND(Assumptions!H$95*Assumptions!$B$11,0)</f>
        <v>3</v>
      </c>
      <c r="I9" s="19" t="n">
        <f aca="false">ROUND(Assumptions!I$95*Assumptions!$B$11,0)</f>
        <v>2</v>
      </c>
      <c r="J9" s="19" t="n">
        <f aca="false">ROUND(Assumptions!J$95*Assumptions!$B$11,0)</f>
        <v>2</v>
      </c>
      <c r="K9" s="19" t="n">
        <f aca="false">ROUND(Assumptions!K$95*Assumptions!$B$11,0)</f>
        <v>2</v>
      </c>
      <c r="L9" s="19" t="n">
        <f aca="false">ROUND(Assumptions!L$95*Assumptions!$B$11,0)</f>
        <v>1</v>
      </c>
      <c r="M9" s="19" t="n">
        <f aca="false">ROUND(Assumptions!M$95*Assumptions!$B$11,0)</f>
        <v>0</v>
      </c>
    </row>
    <row r="10" customFormat="false" ht="15" hidden="false" customHeight="true" outlineLevel="0" collapsed="false">
      <c r="A10" s="4" t="s">
        <v>343</v>
      </c>
      <c r="C10" s="19" t="n">
        <v>0</v>
      </c>
      <c r="D10" s="19" t="n">
        <f aca="false">C10+D9</f>
        <v>2</v>
      </c>
      <c r="E10" s="19" t="n">
        <f aca="false">D10+E9</f>
        <v>5</v>
      </c>
      <c r="F10" s="19" t="n">
        <f aca="false">E10+F9</f>
        <v>8</v>
      </c>
      <c r="G10" s="19" t="n">
        <f aca="false">F10+G9</f>
        <v>11</v>
      </c>
      <c r="H10" s="19" t="n">
        <f aca="false">G10+H9</f>
        <v>14</v>
      </c>
      <c r="I10" s="19" t="n">
        <f aca="false">H10+I9</f>
        <v>16</v>
      </c>
      <c r="J10" s="19" t="n">
        <f aca="false">I10+J9</f>
        <v>18</v>
      </c>
      <c r="K10" s="19" t="n">
        <f aca="false">J10+K9</f>
        <v>20</v>
      </c>
      <c r="L10" s="19" t="n">
        <f aca="false">K10+L9</f>
        <v>21</v>
      </c>
      <c r="M10" s="19" t="n">
        <f aca="false">L10+M9</f>
        <v>21</v>
      </c>
    </row>
    <row r="11" customFormat="false" ht="15" hidden="false" customHeight="true" outlineLevel="0" collapsed="false">
      <c r="A11" s="4" t="s">
        <v>344</v>
      </c>
      <c r="C11" s="6" t="n">
        <f aca="false">Assumptions!$B$26</f>
        <v>2</v>
      </c>
      <c r="D11" s="6" t="n">
        <f aca="false">Assumptions!$B$26+D10</f>
        <v>4</v>
      </c>
      <c r="E11" s="6" t="n">
        <f aca="false">Assumptions!$B$26+E10</f>
        <v>7</v>
      </c>
      <c r="F11" s="6" t="n">
        <f aca="false">Assumptions!$B$26+F10</f>
        <v>10</v>
      </c>
      <c r="G11" s="6" t="n">
        <f aca="false">Assumptions!$B$26+G10</f>
        <v>13</v>
      </c>
      <c r="H11" s="6" t="n">
        <f aca="false">Assumptions!$B$26+H10</f>
        <v>16</v>
      </c>
      <c r="I11" s="6" t="n">
        <f aca="false">Assumptions!$B$26+I10</f>
        <v>18</v>
      </c>
      <c r="J11" s="6" t="n">
        <f aca="false">Assumptions!$B$26+J10</f>
        <v>20</v>
      </c>
      <c r="K11" s="6" t="n">
        <f aca="false">Assumptions!$B$26+K10</f>
        <v>22</v>
      </c>
      <c r="L11" s="6" t="n">
        <f aca="false">Assumptions!$B$26+L10</f>
        <v>23</v>
      </c>
      <c r="M11" s="6" t="n">
        <f aca="false">Assumptions!$B$26+M10</f>
        <v>23</v>
      </c>
    </row>
    <row r="12" customFormat="false" ht="15" hidden="false" customHeight="true" outlineLevel="0" collapsed="false">
      <c r="A12" s="4" t="s">
        <v>345</v>
      </c>
      <c r="D12" s="25" t="n">
        <f aca="false">Assumptions!$B$40*(1+Assumptions!$B$41)^(D6-1)</f>
        <v>3.5</v>
      </c>
      <c r="E12" s="25" t="n">
        <f aca="false">Assumptions!$B$40*(1+Assumptions!$B$41)^(E6-1)</f>
        <v>3.64</v>
      </c>
      <c r="F12" s="25" t="n">
        <f aca="false">Assumptions!$B$40*(1+Assumptions!$B$41)^(F6-1)</f>
        <v>3.7856</v>
      </c>
      <c r="G12" s="25" t="n">
        <f aca="false">Assumptions!$B$40*(1+Assumptions!$B$41)^(G6-1)</f>
        <v>3.937024</v>
      </c>
      <c r="H12" s="25" t="n">
        <f aca="false">Assumptions!$B$40*(1+Assumptions!$B$41)^(H6-1)</f>
        <v>4.09450496</v>
      </c>
      <c r="I12" s="25" t="n">
        <f aca="false">Assumptions!$B$40*(1+Assumptions!$B$41)^(I6-1)</f>
        <v>4.2582851584</v>
      </c>
      <c r="J12" s="25" t="n">
        <f aca="false">Assumptions!$B$40*(1+Assumptions!$B$41)^(J6-1)</f>
        <v>4.428616564736</v>
      </c>
      <c r="K12" s="25" t="n">
        <f aca="false">Assumptions!$B$40*(1+Assumptions!$B$41)^(K6-1)</f>
        <v>4.60576122732544</v>
      </c>
      <c r="L12" s="25" t="n">
        <f aca="false">Assumptions!$B$40*(1+Assumptions!$B$41)^(L6-1)</f>
        <v>4.78999167641846</v>
      </c>
      <c r="M12" s="25" t="n">
        <f aca="false">Assumptions!$B$40*(1+Assumptions!$B$41)^(M6-1)</f>
        <v>4.9815913434752</v>
      </c>
    </row>
    <row r="13" customFormat="false" ht="15" hidden="false" customHeight="true" outlineLevel="0" collapsed="false">
      <c r="A13" s="4" t="s">
        <v>346</v>
      </c>
      <c r="D13" s="25" t="n">
        <f aca="false">D9*D12</f>
        <v>7</v>
      </c>
      <c r="E13" s="25" t="n">
        <f aca="false">E9*E12</f>
        <v>10.92</v>
      </c>
      <c r="F13" s="25" t="n">
        <f aca="false">F9*F12</f>
        <v>11.3568</v>
      </c>
      <c r="G13" s="25" t="n">
        <f aca="false">G9*G12</f>
        <v>11.811072</v>
      </c>
      <c r="H13" s="25" t="n">
        <f aca="false">H9*H12</f>
        <v>12.28351488</v>
      </c>
      <c r="I13" s="25" t="n">
        <f aca="false">I9*I12</f>
        <v>8.5165703168</v>
      </c>
      <c r="J13" s="25" t="n">
        <f aca="false">J9*J12</f>
        <v>8.857233129472</v>
      </c>
      <c r="K13" s="25" t="n">
        <f aca="false">K9*K12</f>
        <v>9.21152245465088</v>
      </c>
      <c r="L13" s="25" t="n">
        <f aca="false">L9*L12</f>
        <v>4.78999167641846</v>
      </c>
      <c r="M13" s="25" t="n">
        <f aca="false">M9*M12</f>
        <v>0</v>
      </c>
    </row>
    <row r="14" customFormat="false" ht="15" hidden="false" customHeight="true" outlineLevel="0" collapsed="false">
      <c r="A14" s="4" t="s">
        <v>347</v>
      </c>
      <c r="D14" s="25" t="n">
        <f aca="false">D13*Assumptions!$B$12</f>
        <v>0.98</v>
      </c>
      <c r="E14" s="25" t="n">
        <f aca="false">E13*Assumptions!$B$12</f>
        <v>1.5288</v>
      </c>
      <c r="F14" s="25" t="n">
        <f aca="false">F13*Assumptions!$B$12</f>
        <v>1.589952</v>
      </c>
      <c r="G14" s="25" t="n">
        <f aca="false">G13*Assumptions!$B$12</f>
        <v>1.65355008</v>
      </c>
      <c r="H14" s="25" t="n">
        <f aca="false">H13*Assumptions!$B$12</f>
        <v>1.7196920832</v>
      </c>
      <c r="I14" s="25" t="n">
        <f aca="false">I13*Assumptions!$B$12</f>
        <v>1.192319844352</v>
      </c>
      <c r="J14" s="25" t="n">
        <f aca="false">J13*Assumptions!$B$12</f>
        <v>1.24001263812608</v>
      </c>
      <c r="K14" s="25" t="n">
        <f aca="false">K13*Assumptions!$B$12</f>
        <v>1.28961314365112</v>
      </c>
      <c r="L14" s="25" t="n">
        <f aca="false">L13*Assumptions!$B$12</f>
        <v>0.670598834698584</v>
      </c>
      <c r="M14" s="25" t="n">
        <f aca="false">M13*Assumptions!$B$12</f>
        <v>0</v>
      </c>
    </row>
    <row r="15" customFormat="false" ht="15" hidden="false" customHeight="true" outlineLevel="0" collapsed="false">
      <c r="A15" s="4" t="s">
        <v>348</v>
      </c>
      <c r="D15" s="25" t="n">
        <f aca="false">D14*Assumptions!$B$10</f>
        <v>4.165</v>
      </c>
      <c r="E15" s="25" t="n">
        <f aca="false">E14*Assumptions!$B$10</f>
        <v>6.4974</v>
      </c>
      <c r="F15" s="25" t="n">
        <f aca="false">F14*Assumptions!$B$10</f>
        <v>6.757296</v>
      </c>
      <c r="G15" s="25" t="n">
        <f aca="false">G14*Assumptions!$B$10</f>
        <v>7.02758784</v>
      </c>
      <c r="H15" s="25" t="n">
        <f aca="false">H14*Assumptions!$B$10</f>
        <v>7.3086913536</v>
      </c>
      <c r="I15" s="25" t="n">
        <f aca="false">I14*Assumptions!$B$10</f>
        <v>5.067359338496</v>
      </c>
      <c r="J15" s="25" t="n">
        <f aca="false">J14*Assumptions!$B$10</f>
        <v>5.27005371203584</v>
      </c>
      <c r="K15" s="25" t="n">
        <f aca="false">K14*Assumptions!$B$10</f>
        <v>5.48085586051728</v>
      </c>
      <c r="L15" s="25" t="n">
        <f aca="false">L14*Assumptions!$B$10</f>
        <v>2.85004504746898</v>
      </c>
      <c r="M15" s="25" t="n">
        <f aca="false">M14*Assumptions!$B$10</f>
        <v>0</v>
      </c>
    </row>
    <row r="16" customFormat="false" ht="15" hidden="false" customHeight="true" outlineLevel="0" collapsed="false">
      <c r="A16" s="4" t="s">
        <v>349</v>
      </c>
      <c r="D16" s="25" t="n">
        <f aca="false">D15*Assumptions!$B$28</f>
        <v>0.20825</v>
      </c>
      <c r="E16" s="25" t="n">
        <f aca="false">E15*Assumptions!$B$28</f>
        <v>0.32487</v>
      </c>
      <c r="F16" s="25" t="n">
        <f aca="false">F15*Assumptions!$B$28</f>
        <v>0.3378648</v>
      </c>
      <c r="G16" s="25" t="n">
        <f aca="false">G15*Assumptions!$B$28</f>
        <v>0.351379392</v>
      </c>
      <c r="H16" s="25" t="n">
        <f aca="false">H15*Assumptions!$B$28</f>
        <v>0.36543456768</v>
      </c>
      <c r="I16" s="25" t="n">
        <f aca="false">I15*Assumptions!$B$28</f>
        <v>0.2533679669248</v>
      </c>
      <c r="J16" s="25" t="n">
        <f aca="false">J15*Assumptions!$B$28</f>
        <v>0.263502685601792</v>
      </c>
      <c r="K16" s="25" t="n">
        <f aca="false">K15*Assumptions!$B$28</f>
        <v>0.274042793025864</v>
      </c>
      <c r="L16" s="25" t="n">
        <f aca="false">L15*Assumptions!$B$28</f>
        <v>0.142502252373449</v>
      </c>
      <c r="M16" s="25" t="n">
        <f aca="false">M15*Assumptions!$B$28</f>
        <v>0</v>
      </c>
    </row>
    <row r="17" customFormat="false" ht="15" hidden="false" customHeight="true" outlineLevel="0" collapsed="false">
      <c r="A17" s="4" t="s">
        <v>350</v>
      </c>
      <c r="D17" s="25" t="n">
        <f aca="false">D15*Assumptions!$B$34</f>
        <v>1.45775</v>
      </c>
      <c r="E17" s="25" t="n">
        <f aca="false">E15*Assumptions!$B$34</f>
        <v>2.27409</v>
      </c>
      <c r="F17" s="25" t="n">
        <f aca="false">F15*Assumptions!$B$34</f>
        <v>2.3650536</v>
      </c>
      <c r="G17" s="25" t="n">
        <f aca="false">G15*Assumptions!$B$34</f>
        <v>2.459655744</v>
      </c>
      <c r="H17" s="25" t="n">
        <f aca="false">H15*Assumptions!$B$34</f>
        <v>2.55804197376</v>
      </c>
      <c r="I17" s="25" t="n">
        <f aca="false">I15*Assumptions!$B$34</f>
        <v>1.7735757684736</v>
      </c>
      <c r="J17" s="25" t="n">
        <f aca="false">J15*Assumptions!$B$34</f>
        <v>1.84451879921254</v>
      </c>
      <c r="K17" s="25" t="n">
        <f aca="false">K15*Assumptions!$B$34</f>
        <v>1.91829955118105</v>
      </c>
      <c r="L17" s="25" t="n">
        <f aca="false">L15*Assumptions!$B$34</f>
        <v>0.997515766614144</v>
      </c>
      <c r="M17" s="25" t="n">
        <f aca="false">M15*Assumptions!$B$34</f>
        <v>0</v>
      </c>
    </row>
    <row r="18" customFormat="false" ht="15" hidden="false" customHeight="true" outlineLevel="0" collapsed="false">
      <c r="A18" s="4" t="s">
        <v>351</v>
      </c>
      <c r="D18" s="25" t="n">
        <f aca="false">D15*Assumptions!$B$36</f>
        <v>0.62475</v>
      </c>
      <c r="E18" s="25" t="n">
        <f aca="false">E15*Assumptions!$B$36</f>
        <v>0.97461</v>
      </c>
      <c r="F18" s="25" t="n">
        <f aca="false">F15*Assumptions!$B$36</f>
        <v>1.0135944</v>
      </c>
      <c r="G18" s="25" t="n">
        <f aca="false">G15*Assumptions!$B$36</f>
        <v>1.054138176</v>
      </c>
      <c r="H18" s="25" t="n">
        <f aca="false">H15*Assumptions!$B$36</f>
        <v>1.09630370304</v>
      </c>
      <c r="I18" s="25" t="n">
        <f aca="false">I15*Assumptions!$B$36</f>
        <v>0.7601039007744</v>
      </c>
      <c r="J18" s="25" t="n">
        <f aca="false">J15*Assumptions!$B$36</f>
        <v>0.790508056805376</v>
      </c>
      <c r="K18" s="25" t="n">
        <f aca="false">K15*Assumptions!$B$36</f>
        <v>0.822128379077591</v>
      </c>
      <c r="L18" s="25" t="n">
        <f aca="false">L15*Assumptions!$B$36</f>
        <v>0.427506757120347</v>
      </c>
      <c r="M18" s="25" t="n">
        <f aca="false">M15*Assumptions!$B$36</f>
        <v>0</v>
      </c>
    </row>
    <row r="19" customFormat="false" ht="15" hidden="false" customHeight="true" outlineLevel="0" collapsed="false">
      <c r="A19" s="4" t="s">
        <v>352</v>
      </c>
      <c r="D19" s="25" t="n">
        <f aca="false">D15*Assumptions!$B$37</f>
        <v>0.20825</v>
      </c>
      <c r="E19" s="25" t="n">
        <f aca="false">E15*Assumptions!$B$37</f>
        <v>0.32487</v>
      </c>
      <c r="F19" s="25" t="n">
        <f aca="false">F15*Assumptions!$B$37</f>
        <v>0.3378648</v>
      </c>
      <c r="G19" s="25" t="n">
        <f aca="false">G15*Assumptions!$B$37</f>
        <v>0.351379392</v>
      </c>
      <c r="H19" s="25" t="n">
        <f aca="false">H15*Assumptions!$B$37</f>
        <v>0.36543456768</v>
      </c>
      <c r="I19" s="25" t="n">
        <f aca="false">I15*Assumptions!$B$37</f>
        <v>0.2533679669248</v>
      </c>
      <c r="J19" s="25" t="n">
        <f aca="false">J15*Assumptions!$B$37</f>
        <v>0.263502685601792</v>
      </c>
      <c r="K19" s="25" t="n">
        <f aca="false">K15*Assumptions!$B$37</f>
        <v>0.274042793025864</v>
      </c>
      <c r="L19" s="25" t="n">
        <f aca="false">L15*Assumptions!$B$37</f>
        <v>0.142502252373449</v>
      </c>
      <c r="M19" s="25" t="n">
        <f aca="false">M15*Assumptions!$B$37</f>
        <v>0</v>
      </c>
    </row>
    <row r="20" customFormat="false" ht="15" hidden="false" customHeight="true" outlineLevel="0" collapsed="false">
      <c r="A20" s="4" t="s">
        <v>353</v>
      </c>
      <c r="D20" s="25" t="n">
        <f aca="false">D15*Assumptions!$B$38</f>
        <v>0.4165</v>
      </c>
      <c r="E20" s="25" t="n">
        <f aca="false">E15*Assumptions!$B$38</f>
        <v>0.64974</v>
      </c>
      <c r="F20" s="25" t="n">
        <f aca="false">F15*Assumptions!$B$38</f>
        <v>0.6757296</v>
      </c>
      <c r="G20" s="25" t="n">
        <f aca="false">G15*Assumptions!$B$38</f>
        <v>0.702758784</v>
      </c>
      <c r="H20" s="25" t="n">
        <f aca="false">H15*Assumptions!$B$38</f>
        <v>0.73086913536</v>
      </c>
      <c r="I20" s="25" t="n">
        <f aca="false">I15*Assumptions!$B$38</f>
        <v>0.5067359338496</v>
      </c>
      <c r="J20" s="25" t="n">
        <f aca="false">J15*Assumptions!$B$38</f>
        <v>0.527005371203584</v>
      </c>
      <c r="K20" s="25" t="n">
        <f aca="false">K15*Assumptions!$B$38</f>
        <v>0.548085586051728</v>
      </c>
      <c r="L20" s="25" t="n">
        <f aca="false">L15*Assumptions!$B$38</f>
        <v>0.285004504746898</v>
      </c>
      <c r="M20" s="25" t="n">
        <f aca="false">M15*Assumptions!$B$38</f>
        <v>0</v>
      </c>
    </row>
    <row r="21" customFormat="false" ht="15" hidden="false" customHeight="true" outlineLevel="0" collapsed="false">
      <c r="A21" s="31" t="s">
        <v>354</v>
      </c>
      <c r="D21" s="27" t="n">
        <f aca="false">D15+D16-D17-D18-D19-D20</f>
        <v>1.666</v>
      </c>
      <c r="E21" s="27" t="n">
        <f aca="false">E15+E16-E17-E18-E19-E20</f>
        <v>2.59896</v>
      </c>
      <c r="F21" s="27" t="n">
        <f aca="false">F15+F16-F17-F18-F19-F20</f>
        <v>2.7029184</v>
      </c>
      <c r="G21" s="27" t="n">
        <f aca="false">G15+G16-G17-G18-G19-G20</f>
        <v>2.811035136</v>
      </c>
      <c r="H21" s="27" t="n">
        <f aca="false">H15+H16-H17-H18-H19-H20</f>
        <v>2.92347654144</v>
      </c>
      <c r="I21" s="27" t="n">
        <f aca="false">I15+I16-I17-I18-I19-I20</f>
        <v>2.0269437353984</v>
      </c>
      <c r="J21" s="27" t="n">
        <f aca="false">J15+J16-J17-J18-J19-J20</f>
        <v>2.10802148481434</v>
      </c>
      <c r="K21" s="27" t="n">
        <f aca="false">K15+K16-K17-K18-K19-K20</f>
        <v>2.19234234420691</v>
      </c>
      <c r="L21" s="27" t="n">
        <f aca="false">L15+L16-L17-L18-L19-L20</f>
        <v>1.14001801898759</v>
      </c>
      <c r="M21" s="27" t="n">
        <f aca="false">M15+M16-M17-M18-M19-M20</f>
        <v>0</v>
      </c>
    </row>
    <row r="22" customFormat="false" ht="15" hidden="false" customHeight="true" outlineLevel="0" collapsed="false">
      <c r="A22" s="7" t="s">
        <v>355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4" t="s">
        <v>356</v>
      </c>
      <c r="C23" s="14" t="n">
        <f aca="false">Assumptions!$B$24</f>
        <v>10</v>
      </c>
      <c r="D23" s="25" t="n">
        <f aca="false">C23*(1+Assumptions!$B$8)</f>
        <v>10.5</v>
      </c>
      <c r="E23" s="25" t="n">
        <f aca="false">D23*(1+Assumptions!$B$8)</f>
        <v>11.025</v>
      </c>
      <c r="F23" s="25" t="n">
        <f aca="false">E23*(1+Assumptions!$B$8)</f>
        <v>11.57625</v>
      </c>
      <c r="G23" s="25" t="n">
        <f aca="false">F23*(1+Assumptions!$B$8)</f>
        <v>12.1550625</v>
      </c>
      <c r="H23" s="25" t="n">
        <f aca="false">G23*(1+Assumptions!$B$8)</f>
        <v>12.762815625</v>
      </c>
      <c r="I23" s="25" t="n">
        <f aca="false">H23*(1+Assumptions!$B$8)</f>
        <v>13.40095640625</v>
      </c>
      <c r="J23" s="25" t="n">
        <f aca="false">I23*(1+Assumptions!$B$8)</f>
        <v>14.0710042265625</v>
      </c>
      <c r="K23" s="25" t="n">
        <f aca="false">J23*(1+Assumptions!$B$8)</f>
        <v>14.7745544378906</v>
      </c>
      <c r="L23" s="25" t="n">
        <f aca="false">K23*(1+Assumptions!$B$8)</f>
        <v>15.5132821597852</v>
      </c>
      <c r="M23" s="25" t="n">
        <f aca="false">L23*(1+Assumptions!$B$8)</f>
        <v>16.2889462677744</v>
      </c>
    </row>
    <row r="24" customFormat="false" ht="15" hidden="false" customHeight="true" outlineLevel="0" collapsed="false">
      <c r="A24" s="4" t="s">
        <v>357</v>
      </c>
      <c r="C24" s="25" t="n">
        <v>0</v>
      </c>
      <c r="D24" s="25" t="n">
        <f aca="false">C24*(1+Assumptions!$B$8)+D13</f>
        <v>7</v>
      </c>
      <c r="E24" s="25" t="n">
        <f aca="false">D24*(1+Assumptions!$B$8)+E13</f>
        <v>18.27</v>
      </c>
      <c r="F24" s="25" t="n">
        <f aca="false">E24*(1+Assumptions!$B$8)+F13</f>
        <v>30.5403</v>
      </c>
      <c r="G24" s="25" t="n">
        <f aca="false">F24*(1+Assumptions!$B$8)+G13</f>
        <v>43.878387</v>
      </c>
      <c r="H24" s="25" t="n">
        <f aca="false">G24*(1+Assumptions!$B$8)+H13</f>
        <v>58.35582123</v>
      </c>
      <c r="I24" s="25" t="n">
        <f aca="false">H24*(1+Assumptions!$B$8)+I13</f>
        <v>69.7901826083</v>
      </c>
      <c r="J24" s="25" t="n">
        <f aca="false">I24*(1+Assumptions!$B$8)+J13</f>
        <v>82.136924868187</v>
      </c>
      <c r="K24" s="25" t="n">
        <f aca="false">J24*(1+Assumptions!$B$8)+K13</f>
        <v>95.4552935662473</v>
      </c>
      <c r="L24" s="25" t="n">
        <f aca="false">K24*(1+Assumptions!$B$8)+L13</f>
        <v>105.018049920978</v>
      </c>
      <c r="M24" s="25" t="n">
        <f aca="false">L24*(1+Assumptions!$B$8)+M13</f>
        <v>110.268952417027</v>
      </c>
    </row>
    <row r="25" customFormat="false" ht="15" hidden="false" customHeight="true" outlineLevel="0" collapsed="false">
      <c r="A25" s="4" t="s">
        <v>358</v>
      </c>
      <c r="C25" s="14" t="n">
        <f aca="false">Assumptions!$B$24</f>
        <v>10</v>
      </c>
      <c r="D25" s="25" t="n">
        <f aca="false">D23+C24*(1+Assumptions!$B$8)+D13*Assumptions!$B$42</f>
        <v>14</v>
      </c>
      <c r="E25" s="25" t="n">
        <f aca="false">E23+D24*(1+Assumptions!$B$8)+E13*Assumptions!$B$42</f>
        <v>23.835</v>
      </c>
      <c r="F25" s="25" t="n">
        <f aca="false">F23+E24*(1+Assumptions!$B$8)+F13*Assumptions!$B$42</f>
        <v>36.43815</v>
      </c>
      <c r="G25" s="25" t="n">
        <f aca="false">G23+F24*(1+Assumptions!$B$8)+G13*Assumptions!$B$42</f>
        <v>50.1279135</v>
      </c>
      <c r="H25" s="25" t="n">
        <f aca="false">H23+G24*(1+Assumptions!$B$8)+H13*Assumptions!$B$42</f>
        <v>64.976879415</v>
      </c>
      <c r="I25" s="25" t="n">
        <f aca="false">I23+H24*(1+Assumptions!$B$8)+I13*Assumptions!$B$42</f>
        <v>78.93285385615</v>
      </c>
      <c r="J25" s="25" t="n">
        <f aca="false">J23+I24*(1+Assumptions!$B$8)+J13*Assumptions!$B$42</f>
        <v>91.7793125300135</v>
      </c>
      <c r="K25" s="25" t="n">
        <f aca="false">K23+J24*(1+Assumptions!$B$8)+K13*Assumptions!$B$42</f>
        <v>105.624086776812</v>
      </c>
      <c r="L25" s="25" t="n">
        <f aca="false">L23+K24*(1+Assumptions!$B$8)+L13*Assumptions!$B$42</f>
        <v>118.136336242554</v>
      </c>
      <c r="M25" s="25" t="n">
        <f aca="false">M23+L24*(1+Assumptions!$B$8)+M13*Assumptions!$B$42</f>
        <v>126.557898684801</v>
      </c>
    </row>
    <row r="26" customFormat="false" ht="15" hidden="false" customHeight="true" outlineLevel="0" collapsed="false">
      <c r="A26" s="4" t="s">
        <v>359</v>
      </c>
      <c r="C26" s="46" t="n">
        <v>0</v>
      </c>
      <c r="D26" s="46" t="n">
        <f aca="false">IF(D6&lt;Assumptions!$B$49,0,MIN(Assumptions!$B$15,Assumptions!$B$15*(D6-Assumptions!$B$49+1)/(10-Assumptions!$B$49+1)))</f>
        <v>0</v>
      </c>
      <c r="E26" s="46" t="n">
        <f aca="false">IF(E6&lt;Assumptions!$B$49,0,MIN(Assumptions!$B$15,Assumptions!$B$15*(E6-Assumptions!$B$49+1)/(10-Assumptions!$B$49+1)))</f>
        <v>0</v>
      </c>
      <c r="F26" s="46" t="n">
        <f aca="false">IF(F6&lt;Assumptions!$B$49,0,MIN(Assumptions!$B$15,Assumptions!$B$15*(F6-Assumptions!$B$49+1)/(10-Assumptions!$B$49+1)))</f>
        <v>3.75</v>
      </c>
      <c r="G26" s="46" t="n">
        <f aca="false">IF(G6&lt;Assumptions!$B$49,0,MIN(Assumptions!$B$15,Assumptions!$B$15*(G6-Assumptions!$B$49+1)/(10-Assumptions!$B$49+1)))</f>
        <v>7.5</v>
      </c>
      <c r="H26" s="46" t="n">
        <f aca="false">IF(H6&lt;Assumptions!$B$49,0,MIN(Assumptions!$B$15,Assumptions!$B$15*(H6-Assumptions!$B$49+1)/(10-Assumptions!$B$49+1)))</f>
        <v>11.25</v>
      </c>
      <c r="I26" s="46" t="n">
        <f aca="false">IF(I6&lt;Assumptions!$B$49,0,MIN(Assumptions!$B$15,Assumptions!$B$15*(I6-Assumptions!$B$49+1)/(10-Assumptions!$B$49+1)))</f>
        <v>15</v>
      </c>
      <c r="J26" s="46" t="n">
        <f aca="false">IF(J6&lt;Assumptions!$B$49,0,MIN(Assumptions!$B$15,Assumptions!$B$15*(J6-Assumptions!$B$49+1)/(10-Assumptions!$B$49+1)))</f>
        <v>18.75</v>
      </c>
      <c r="K26" s="46" t="n">
        <f aca="false">IF(K6&lt;Assumptions!$B$49,0,MIN(Assumptions!$B$15,Assumptions!$B$15*(K6-Assumptions!$B$49+1)/(10-Assumptions!$B$49+1)))</f>
        <v>22.5</v>
      </c>
      <c r="L26" s="46" t="n">
        <f aca="false">IF(L6&lt;Assumptions!$B$49,0,MIN(Assumptions!$B$15,Assumptions!$B$15*(L6-Assumptions!$B$49+1)/(10-Assumptions!$B$49+1)))</f>
        <v>26.25</v>
      </c>
      <c r="M26" s="46" t="n">
        <f aca="false">IF(M6&lt;Assumptions!$B$49,0,MIN(Assumptions!$B$15,Assumptions!$B$15*(M6-Assumptions!$B$49+1)/(10-Assumptions!$B$49+1)))</f>
        <v>30</v>
      </c>
    </row>
    <row r="27" customFormat="false" ht="15" hidden="false" customHeight="true" outlineLevel="0" collapsed="false">
      <c r="A27" s="4" t="s">
        <v>360</v>
      </c>
      <c r="C27" s="25" t="n">
        <v>0</v>
      </c>
      <c r="D27" s="25" t="n">
        <f aca="false">AVERAGE(C26,D26)*Assumptions!$B$50</f>
        <v>0</v>
      </c>
      <c r="E27" s="25" t="n">
        <f aca="false">AVERAGE(D26,E26)*Assumptions!$B$50</f>
        <v>0</v>
      </c>
      <c r="F27" s="25" t="n">
        <f aca="false">AVERAGE(E26,F26)*Assumptions!$B$50</f>
        <v>1.6875</v>
      </c>
      <c r="G27" s="25" t="n">
        <f aca="false">AVERAGE(F26,G26)*Assumptions!$B$50</f>
        <v>5.0625</v>
      </c>
      <c r="H27" s="25" t="n">
        <f aca="false">AVERAGE(G26,H26)*Assumptions!$B$50</f>
        <v>8.4375</v>
      </c>
      <c r="I27" s="25" t="n">
        <f aca="false">AVERAGE(H26,I26)*Assumptions!$B$50</f>
        <v>11.8125</v>
      </c>
      <c r="J27" s="25" t="n">
        <f aca="false">AVERAGE(I26,J26)*Assumptions!$B$50</f>
        <v>15.1875</v>
      </c>
      <c r="K27" s="25" t="n">
        <f aca="false">AVERAGE(J26,K26)*Assumptions!$B$50</f>
        <v>18.5625</v>
      </c>
      <c r="L27" s="25" t="n">
        <f aca="false">AVERAGE(K26,L26)*Assumptions!$B$50</f>
        <v>21.9375</v>
      </c>
      <c r="M27" s="25" t="n">
        <f aca="false">AVERAGE(L26,M26)*Assumptions!$B$50</f>
        <v>25.3125</v>
      </c>
    </row>
    <row r="28" customFormat="false" ht="15" hidden="false" customHeight="true" outlineLevel="0" collapsed="false">
      <c r="A28" s="47" t="s">
        <v>361</v>
      </c>
      <c r="C28" s="42" t="n">
        <f aca="false">C25+C27</f>
        <v>10</v>
      </c>
      <c r="D28" s="42" t="n">
        <f aca="false">D25+D27</f>
        <v>14</v>
      </c>
      <c r="E28" s="42" t="n">
        <f aca="false">E25+E27</f>
        <v>23.835</v>
      </c>
      <c r="F28" s="42" t="n">
        <f aca="false">F25+F27</f>
        <v>38.12565</v>
      </c>
      <c r="G28" s="42" t="n">
        <f aca="false">G25+G27</f>
        <v>55.1904135</v>
      </c>
      <c r="H28" s="42" t="n">
        <f aca="false">H25+H27</f>
        <v>73.414379415</v>
      </c>
      <c r="I28" s="42" t="n">
        <f aca="false">I25+I27</f>
        <v>90.74535385615</v>
      </c>
      <c r="J28" s="42" t="n">
        <f aca="false">J25+J27</f>
        <v>106.966812530014</v>
      </c>
      <c r="K28" s="42" t="n">
        <f aca="false">K25+K27</f>
        <v>124.186586776812</v>
      </c>
      <c r="L28" s="42" t="n">
        <f aca="false">L25+L27</f>
        <v>140.073836242554</v>
      </c>
      <c r="M28" s="42" t="n">
        <f aca="false">M25+M27</f>
        <v>151.870398684801</v>
      </c>
    </row>
    <row r="29" customFormat="false" ht="15" hidden="false" customHeight="true" outlineLevel="0" collapsed="false">
      <c r="A29" s="4" t="s">
        <v>362</v>
      </c>
      <c r="D29" s="28" t="n">
        <f aca="false">IF(C28=0,0,D28/C28-1)</f>
        <v>0.4</v>
      </c>
      <c r="E29" s="28" t="n">
        <f aca="false">IF(D28=0,0,E28/D28-1)</f>
        <v>0.7025</v>
      </c>
      <c r="F29" s="28" t="n">
        <f aca="false">IF(E28=0,0,F28/E28-1)</f>
        <v>0.599565764631844</v>
      </c>
      <c r="G29" s="28" t="n">
        <f aca="false">IF(F28=0,0,G28/F28-1)</f>
        <v>0.447592723009313</v>
      </c>
      <c r="H29" s="28" t="n">
        <f aca="false">IF(G28=0,0,H28/G28-1)</f>
        <v>0.330201655673408</v>
      </c>
      <c r="I29" s="28" t="n">
        <f aca="false">IF(H28=0,0,I28/H28-1)</f>
        <v>0.236070570632773</v>
      </c>
      <c r="J29" s="28" t="n">
        <f aca="false">IF(I28=0,0,J28/I28-1)</f>
        <v>0.178758007815782</v>
      </c>
      <c r="K29" s="28" t="n">
        <f aca="false">IF(J28=0,0,K28/J28-1)</f>
        <v>0.160982400424125</v>
      </c>
      <c r="L29" s="28" t="n">
        <f aca="false">IF(K28=0,0,L28/K28-1)</f>
        <v>0.127930478468613</v>
      </c>
      <c r="M29" s="28" t="n">
        <f aca="false">IF(L28=0,0,M28/L28-1)</f>
        <v>0.0842167442449444</v>
      </c>
    </row>
    <row r="30" customFormat="false" ht="15" hidden="false" customHeight="true" outlineLevel="0" collapsed="false">
      <c r="A30" s="4" t="s">
        <v>363</v>
      </c>
      <c r="C30" s="15" t="n">
        <f aca="false">Assumptions!$B$45</f>
        <v>0.15</v>
      </c>
      <c r="D30" s="28" t="n">
        <f aca="false">Assumptions!$B$45+(Assumptions!$B$14-Assumptions!$B$45)*MIN(1,D6/Assumptions!$B$46)</f>
        <v>0.178571428571429</v>
      </c>
      <c r="E30" s="28" t="n">
        <f aca="false">Assumptions!$B$45+(Assumptions!$B$14-Assumptions!$B$45)*MIN(1,E6/Assumptions!$B$46)</f>
        <v>0.207142857142857</v>
      </c>
      <c r="F30" s="28" t="n">
        <f aca="false">Assumptions!$B$45+(Assumptions!$B$14-Assumptions!$B$45)*MIN(1,F6/Assumptions!$B$46)</f>
        <v>0.235714285714286</v>
      </c>
      <c r="G30" s="28" t="n">
        <f aca="false">Assumptions!$B$45+(Assumptions!$B$14-Assumptions!$B$45)*MIN(1,G6/Assumptions!$B$46)</f>
        <v>0.264285714285714</v>
      </c>
      <c r="H30" s="28" t="n">
        <f aca="false">Assumptions!$B$45+(Assumptions!$B$14-Assumptions!$B$45)*MIN(1,H6/Assumptions!$B$46)</f>
        <v>0.292857142857143</v>
      </c>
      <c r="I30" s="28" t="n">
        <f aca="false">Assumptions!$B$45+(Assumptions!$B$14-Assumptions!$B$45)*MIN(1,I6/Assumptions!$B$46)</f>
        <v>0.321428571428571</v>
      </c>
      <c r="J30" s="28" t="n">
        <f aca="false">Assumptions!$B$45+(Assumptions!$B$14-Assumptions!$B$45)*MIN(1,J6/Assumptions!$B$46)</f>
        <v>0.35</v>
      </c>
      <c r="K30" s="28" t="n">
        <f aca="false">Assumptions!$B$45+(Assumptions!$B$14-Assumptions!$B$45)*MIN(1,K6/Assumptions!$B$46)</f>
        <v>0.35</v>
      </c>
      <c r="L30" s="28" t="n">
        <f aca="false">Assumptions!$B$45+(Assumptions!$B$14-Assumptions!$B$45)*MIN(1,L6/Assumptions!$B$46)</f>
        <v>0.35</v>
      </c>
      <c r="M30" s="28" t="n">
        <f aca="false">Assumptions!$B$45+(Assumptions!$B$14-Assumptions!$B$45)*MIN(1,M6/Assumptions!$B$46)</f>
        <v>0.35</v>
      </c>
    </row>
    <row r="31" customFormat="false" ht="15" hidden="false" customHeight="true" outlineLevel="0" collapsed="false">
      <c r="A31" s="4" t="s">
        <v>364</v>
      </c>
      <c r="C31" s="25" t="n">
        <f aca="false">C25*C30+C27</f>
        <v>1.5</v>
      </c>
      <c r="D31" s="25" t="n">
        <f aca="false">D25*D30+D27</f>
        <v>2.5</v>
      </c>
      <c r="E31" s="25" t="n">
        <f aca="false">E25*E30+E27</f>
        <v>4.93725</v>
      </c>
      <c r="F31" s="25" t="n">
        <f aca="false">F25*F30+F27</f>
        <v>10.2764925</v>
      </c>
      <c r="G31" s="25" t="n">
        <f aca="false">G25*G30+G27</f>
        <v>18.310591425</v>
      </c>
      <c r="H31" s="25" t="n">
        <f aca="false">H25*H30+H27</f>
        <v>27.46644325725</v>
      </c>
      <c r="I31" s="25" t="n">
        <f aca="false">I25*I30+I27</f>
        <v>37.1837744537625</v>
      </c>
      <c r="J31" s="25" t="n">
        <f aca="false">J25*J30+J27</f>
        <v>47.3102593855047</v>
      </c>
      <c r="K31" s="25" t="n">
        <f aca="false">K25*K30+K27</f>
        <v>55.5309303718844</v>
      </c>
      <c r="L31" s="25" t="n">
        <f aca="false">L25*L30+L27</f>
        <v>63.2852176848939</v>
      </c>
      <c r="M31" s="25" t="n">
        <f aca="false">M25*M30+M27</f>
        <v>69.6077645396805</v>
      </c>
    </row>
    <row r="32" customFormat="false" ht="15" hidden="false" customHeight="true" outlineLevel="0" collapsed="false">
      <c r="A32" s="31" t="s">
        <v>365</v>
      </c>
      <c r="C32" s="33" t="n">
        <f aca="false">IF(C28=0,0,C31/C28)</f>
        <v>0.15</v>
      </c>
      <c r="D32" s="33" t="n">
        <f aca="false">IF(D28=0,0,D31/D28)</f>
        <v>0.178571428571429</v>
      </c>
      <c r="E32" s="33" t="n">
        <f aca="false">IF(E28=0,0,E31/E28)</f>
        <v>0.207142857142857</v>
      </c>
      <c r="F32" s="33" t="n">
        <f aca="false">IF(F28=0,0,F31/F28)</f>
        <v>0.269542748779365</v>
      </c>
      <c r="G32" s="33" t="n">
        <f aca="false">IF(G28=0,0,G31/G28)</f>
        <v>0.331771230976554</v>
      </c>
      <c r="H32" s="33" t="n">
        <f aca="false">IF(H28=0,0,H31/H28)</f>
        <v>0.374128930546242</v>
      </c>
      <c r="I32" s="33" t="n">
        <f aca="false">IF(I28=0,0,I31/I28)</f>
        <v>0.409759540005832</v>
      </c>
      <c r="J32" s="33" t="n">
        <f aca="false">IF(J28=0,0,J31/J28)</f>
        <v>0.442289138719826</v>
      </c>
      <c r="K32" s="33" t="n">
        <f aca="false">IF(K28=0,0,K31/K28)</f>
        <v>0.447157231816704</v>
      </c>
      <c r="L32" s="33" t="n">
        <f aca="false">IF(L28=0,0,L31/L28)</f>
        <v>0.45179898960794</v>
      </c>
      <c r="M32" s="33" t="n">
        <f aca="false">IF(M28=0,0,M31/M28)</f>
        <v>0.458336615578047</v>
      </c>
    </row>
    <row r="33" customFormat="false" ht="15" hidden="false" customHeight="true" outlineLevel="0" collapsed="false">
      <c r="A33" s="7" t="s">
        <v>366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customFormat="false" ht="15" hidden="false" customHeight="true" outlineLevel="0" collapsed="false">
      <c r="A34" s="4" t="s">
        <v>367</v>
      </c>
      <c r="C34" s="28" t="n">
        <f aca="false">(C23*Assumptions!$B$25+C24*Assumptions!$B$12)/(C23+C24)</f>
        <v>0.18</v>
      </c>
      <c r="D34" s="28" t="n">
        <f aca="false">(D23*Assumptions!$B$25+D24*Assumptions!$B$12)/(D23+D24)</f>
        <v>0.164</v>
      </c>
      <c r="E34" s="28" t="n">
        <f aca="false">(E23*Assumptions!$B$25+E24*Assumptions!$B$12)/(E23+E24)</f>
        <v>0.15505376344086</v>
      </c>
      <c r="F34" s="28" t="n">
        <f aca="false">(F23*Assumptions!$B$25+F24*Assumptions!$B$12)/(F23+F24)</f>
        <v>0.150994490289447</v>
      </c>
      <c r="G34" s="28" t="n">
        <f aca="false">(G23*Assumptions!$B$25+G24*Assumptions!$B$12)/(G23+G24)</f>
        <v>0.14867700461668</v>
      </c>
      <c r="H34" s="28" t="n">
        <f aca="false">(H23*Assumptions!$B$25+H24*Assumptions!$B$12)/(H23+H24)</f>
        <v>0.147178324101471</v>
      </c>
      <c r="I34" s="28" t="n">
        <f aca="false">(I23*Assumptions!$B$25+I24*Assumptions!$B$12)/(I23+I24)</f>
        <v>0.146443453745191</v>
      </c>
      <c r="J34" s="28" t="n">
        <f aca="false">(J23*Assumptions!$B$25+J24*Assumptions!$B$12)/(J23+J24)</f>
        <v>0.145850247213077</v>
      </c>
      <c r="K34" s="28" t="n">
        <f aca="false">(K23*Assumptions!$B$25+K24*Assumptions!$B$12)/(K23+K24)</f>
        <v>0.145361362536701</v>
      </c>
      <c r="L34" s="28" t="n">
        <f aca="false">(L23*Assumptions!$B$25+L24*Assumptions!$B$12)/(L23+L24)</f>
        <v>0.145148298584932</v>
      </c>
      <c r="M34" s="28" t="n">
        <f aca="false">(M23*Assumptions!$B$25+M24*Assumptions!$B$12)/(M23+M24)</f>
        <v>0.145148298584932</v>
      </c>
    </row>
    <row r="35" customFormat="false" ht="15" hidden="false" customHeight="true" outlineLevel="0" collapsed="false">
      <c r="A35" s="4" t="s">
        <v>368</v>
      </c>
      <c r="C35" s="25" t="n">
        <f aca="false">C25*C34</f>
        <v>1.8</v>
      </c>
      <c r="D35" s="25" t="n">
        <f aca="false">D25*D34</f>
        <v>2.296</v>
      </c>
      <c r="E35" s="25" t="n">
        <f aca="false">E25*E34</f>
        <v>3.6957064516129</v>
      </c>
      <c r="F35" s="25" t="n">
        <f aca="false">F25*F34</f>
        <v>5.50195988634041</v>
      </c>
      <c r="G35" s="25" t="n">
        <f aca="false">G25*G34</f>
        <v>7.45286802686403</v>
      </c>
      <c r="H35" s="25" t="n">
        <f aca="false">H25*H34</f>
        <v>9.56318821764306</v>
      </c>
      <c r="I35" s="25" t="n">
        <f aca="false">I25*I34</f>
        <v>11.559199732659</v>
      </c>
      <c r="J35" s="25" t="n">
        <f aca="false">J25*J34</f>
        <v>13.3860354215488</v>
      </c>
      <c r="K35" s="25" t="n">
        <f aca="false">K25*K34</f>
        <v>15.3536611705722</v>
      </c>
      <c r="L35" s="25" t="n">
        <f aca="false">L25*L34</f>
        <v>17.1472882066642</v>
      </c>
      <c r="M35" s="25" t="n">
        <f aca="false">M25*M34</f>
        <v>18.3696636665832</v>
      </c>
    </row>
    <row r="36" customFormat="false" ht="15" hidden="false" customHeight="true" outlineLevel="0" collapsed="false">
      <c r="A36" s="4" t="s">
        <v>369</v>
      </c>
      <c r="C36" s="28" t="n">
        <v>0</v>
      </c>
      <c r="D36" s="28" t="n">
        <f aca="false">Synergies!$C$13*Assumptions!$B$13*MIN(1,D6/Synergies!$C$14)</f>
        <v>0.0149151785714286</v>
      </c>
      <c r="E36" s="28" t="n">
        <f aca="false">Synergies!$C$13*Assumptions!$B$13*MIN(1,E6/Synergies!$C$14)</f>
        <v>0.0298303571428572</v>
      </c>
      <c r="F36" s="28" t="n">
        <f aca="false">Synergies!$C$13*Assumptions!$B$13*MIN(1,F6/Synergies!$C$14)</f>
        <v>0.0447455357142857</v>
      </c>
      <c r="G36" s="28" t="n">
        <f aca="false">Synergies!$C$13*Assumptions!$B$13*MIN(1,G6/Synergies!$C$14)</f>
        <v>0.0596607142857143</v>
      </c>
      <c r="H36" s="28" t="n">
        <f aca="false">Synergies!$C$13*Assumptions!$B$13*MIN(1,H6/Synergies!$C$14)</f>
        <v>0.0596607142857143</v>
      </c>
      <c r="I36" s="28" t="n">
        <f aca="false">Synergies!$C$13*Assumptions!$B$13*MIN(1,I6/Synergies!$C$14)</f>
        <v>0.0596607142857143</v>
      </c>
      <c r="J36" s="28" t="n">
        <f aca="false">Synergies!$C$13*Assumptions!$B$13*MIN(1,J6/Synergies!$C$14)</f>
        <v>0.0596607142857143</v>
      </c>
      <c r="K36" s="28" t="n">
        <f aca="false">Synergies!$C$13*Assumptions!$B$13*MIN(1,K6/Synergies!$C$14)</f>
        <v>0.0596607142857143</v>
      </c>
      <c r="L36" s="28" t="n">
        <f aca="false">Synergies!$C$13*Assumptions!$B$13*MIN(1,L6/Synergies!$C$14)</f>
        <v>0.0596607142857143</v>
      </c>
      <c r="M36" s="28" t="n">
        <f aca="false">Synergies!$C$13*Assumptions!$B$13*MIN(1,M6/Synergies!$C$14)</f>
        <v>0.0596607142857143</v>
      </c>
    </row>
    <row r="37" customFormat="false" ht="15" hidden="false" customHeight="true" outlineLevel="0" collapsed="false">
      <c r="A37" s="4" t="s">
        <v>370</v>
      </c>
      <c r="C37" s="25" t="n">
        <v>0</v>
      </c>
      <c r="D37" s="25" t="n">
        <f aca="false">D25*D36</f>
        <v>0.2088125</v>
      </c>
      <c r="E37" s="25" t="n">
        <f aca="false">E25*E36</f>
        <v>0.7110065625</v>
      </c>
      <c r="F37" s="25" t="n">
        <f aca="false">F25*F36</f>
        <v>1.6304445421875</v>
      </c>
      <c r="G37" s="25" t="n">
        <f aca="false">G25*G36</f>
        <v>2.9906671250625</v>
      </c>
      <c r="H37" s="25" t="n">
        <f aca="false">H25*H36</f>
        <v>3.87656703795563</v>
      </c>
      <c r="I37" s="25" t="n">
        <f aca="false">I25*I36</f>
        <v>4.70919044166781</v>
      </c>
      <c r="J37" s="25" t="n">
        <f aca="false">J25*J36</f>
        <v>5.47561934219242</v>
      </c>
      <c r="K37" s="25" t="n">
        <f aca="false">K25*K36</f>
        <v>6.3016084628809</v>
      </c>
      <c r="L37" s="25" t="n">
        <f aca="false">L25*L36</f>
        <v>7.04809820332809</v>
      </c>
      <c r="M37" s="25" t="n">
        <f aca="false">M25*M36</f>
        <v>7.55053463403432</v>
      </c>
    </row>
    <row r="38" customFormat="false" ht="15" hidden="false" customHeight="true" outlineLevel="0" collapsed="false">
      <c r="A38" s="4" t="s">
        <v>371</v>
      </c>
      <c r="C38" s="25" t="n">
        <v>0</v>
      </c>
      <c r="D38" s="25" t="n">
        <f aca="false">D27*Assumptions!$B$51</f>
        <v>0</v>
      </c>
      <c r="E38" s="25" t="n">
        <f aca="false">E27*Assumptions!$B$51</f>
        <v>0</v>
      </c>
      <c r="F38" s="25" t="n">
        <f aca="false">F27*Assumptions!$B$51</f>
        <v>0.4725</v>
      </c>
      <c r="G38" s="25" t="n">
        <f aca="false">G27*Assumptions!$B$51</f>
        <v>1.4175</v>
      </c>
      <c r="H38" s="25" t="n">
        <f aca="false">H27*Assumptions!$B$51</f>
        <v>2.3625</v>
      </c>
      <c r="I38" s="25" t="n">
        <f aca="false">I27*Assumptions!$B$51</f>
        <v>3.3075</v>
      </c>
      <c r="J38" s="25" t="n">
        <f aca="false">J27*Assumptions!$B$51</f>
        <v>4.2525</v>
      </c>
      <c r="K38" s="25" t="n">
        <f aca="false">K27*Assumptions!$B$51</f>
        <v>5.1975</v>
      </c>
      <c r="L38" s="25" t="n">
        <f aca="false">L27*Assumptions!$B$51</f>
        <v>6.1425</v>
      </c>
      <c r="M38" s="25" t="n">
        <f aca="false">M27*Assumptions!$B$51</f>
        <v>7.0875</v>
      </c>
    </row>
    <row r="39" customFormat="false" ht="15" hidden="false" customHeight="true" outlineLevel="0" collapsed="false">
      <c r="A39" s="4" t="s">
        <v>372</v>
      </c>
      <c r="C39" s="25" t="n">
        <v>0</v>
      </c>
      <c r="D39" s="25" t="n">
        <f aca="false">-Assumptions!$B$47*(1+Assumptions!$B$48)^(D6-1)</f>
        <v>-1</v>
      </c>
      <c r="E39" s="25" t="n">
        <f aca="false">-Assumptions!$B$47*(1+Assumptions!$B$48)^(E6-1)</f>
        <v>-1.08</v>
      </c>
      <c r="F39" s="25" t="n">
        <f aca="false">-Assumptions!$B$47*(1+Assumptions!$B$48)^(F6-1)</f>
        <v>-1.1664</v>
      </c>
      <c r="G39" s="25" t="n">
        <f aca="false">-Assumptions!$B$47*(1+Assumptions!$B$48)^(G6-1)</f>
        <v>-1.259712</v>
      </c>
      <c r="H39" s="25" t="n">
        <f aca="false">-Assumptions!$B$47*(1+Assumptions!$B$48)^(H6-1)</f>
        <v>-1.36048896</v>
      </c>
      <c r="I39" s="25" t="n">
        <f aca="false">-Assumptions!$B$47*(1+Assumptions!$B$48)^(I6-1)</f>
        <v>-1.4693280768</v>
      </c>
      <c r="J39" s="25" t="n">
        <f aca="false">-Assumptions!$B$47*(1+Assumptions!$B$48)^(J6-1)</f>
        <v>-1.586874322944</v>
      </c>
      <c r="K39" s="25" t="n">
        <f aca="false">-Assumptions!$B$47*(1+Assumptions!$B$48)^(K6-1)</f>
        <v>-1.71382426877952</v>
      </c>
      <c r="L39" s="25" t="n">
        <f aca="false">-Assumptions!$B$47*(1+Assumptions!$B$48)^(L6-1)</f>
        <v>-1.85093021028188</v>
      </c>
      <c r="M39" s="25" t="n">
        <f aca="false">-Assumptions!$B$47*(1+Assumptions!$B$48)^(M6-1)</f>
        <v>-1.99900462710443</v>
      </c>
    </row>
    <row r="40" customFormat="false" ht="15" hidden="false" customHeight="true" outlineLevel="0" collapsed="false">
      <c r="A40" s="47" t="s">
        <v>373</v>
      </c>
      <c r="C40" s="42" t="n">
        <f aca="false">C35+C37+C38+C39</f>
        <v>1.8</v>
      </c>
      <c r="D40" s="42" t="n">
        <f aca="false">D35+D37+D38+D39</f>
        <v>1.5048125</v>
      </c>
      <c r="E40" s="42" t="n">
        <f aca="false">E35+E37+E38+E39</f>
        <v>3.3267130141129</v>
      </c>
      <c r="F40" s="42" t="n">
        <f aca="false">F35+F37+F38+F39</f>
        <v>6.43850442852791</v>
      </c>
      <c r="G40" s="42" t="n">
        <f aca="false">G35+G37+G38+G39</f>
        <v>10.6013231519265</v>
      </c>
      <c r="H40" s="42" t="n">
        <f aca="false">H35+H37+H38+H39</f>
        <v>14.4417662955987</v>
      </c>
      <c r="I40" s="42" t="n">
        <f aca="false">I35+I37+I38+I39</f>
        <v>18.1065620975268</v>
      </c>
      <c r="J40" s="42" t="n">
        <f aca="false">J35+J37+J38+J39</f>
        <v>21.5272804407972</v>
      </c>
      <c r="K40" s="42" t="n">
        <f aca="false">K35+K37+K38+K39</f>
        <v>25.1389453646736</v>
      </c>
      <c r="L40" s="42" t="n">
        <f aca="false">L35+L37+L38+L39</f>
        <v>28.4869561997104</v>
      </c>
      <c r="M40" s="42" t="n">
        <f aca="false">M35+M37+M38+M39</f>
        <v>31.0086936735131</v>
      </c>
    </row>
    <row r="41" customFormat="false" ht="15" hidden="false" customHeight="true" outlineLevel="0" collapsed="false">
      <c r="A41" s="4" t="s">
        <v>374</v>
      </c>
      <c r="C41" s="25" t="n">
        <f aca="false">C40</f>
        <v>1.8</v>
      </c>
      <c r="D41" s="25" t="n">
        <f aca="false">D40+D14*(1-Assumptions!$B$42)</f>
        <v>1.9948125</v>
      </c>
      <c r="E41" s="25" t="n">
        <f aca="false">E40+E14*(1-Assumptions!$B$42)</f>
        <v>4.0911130141129</v>
      </c>
      <c r="F41" s="25" t="n">
        <f aca="false">F40+F14*(1-Assumptions!$B$42)</f>
        <v>7.23348042852791</v>
      </c>
      <c r="G41" s="25" t="n">
        <f aca="false">G40+G14*(1-Assumptions!$B$42)</f>
        <v>11.4280981919265</v>
      </c>
      <c r="H41" s="25" t="n">
        <f aca="false">H40+H14*(1-Assumptions!$B$42)</f>
        <v>15.3016123371987</v>
      </c>
      <c r="I41" s="25" t="n">
        <f aca="false">I40+I14*(1-Assumptions!$B$42)</f>
        <v>18.7027220197028</v>
      </c>
      <c r="J41" s="25" t="n">
        <f aca="false">J40+J14*(1-Assumptions!$B$42)</f>
        <v>22.1472867598602</v>
      </c>
      <c r="K41" s="25" t="n">
        <f aca="false">K40+K14*(1-Assumptions!$B$42)</f>
        <v>25.7837519364991</v>
      </c>
      <c r="L41" s="25" t="n">
        <f aca="false">L40+L14*(1-Assumptions!$B$42)</f>
        <v>28.8222556170597</v>
      </c>
      <c r="M41" s="25" t="n">
        <f aca="false">M40+M14*(1-Assumptions!$B$42)</f>
        <v>31.0086936735131</v>
      </c>
    </row>
    <row r="42" customFormat="false" ht="15" hidden="false" customHeight="true" outlineLevel="0" collapsed="false">
      <c r="A42" s="4" t="s">
        <v>375</v>
      </c>
      <c r="C42" s="28" t="n">
        <f aca="false">IF(C28=0,0,C40/C28)</f>
        <v>0.18</v>
      </c>
      <c r="D42" s="28" t="n">
        <f aca="false">IF(D28=0,0,D40/D28)</f>
        <v>0.107486607142857</v>
      </c>
      <c r="E42" s="28" t="n">
        <f aca="false">IF(E28=0,0,E40/E28)</f>
        <v>0.139572603906562</v>
      </c>
      <c r="F42" s="28" t="n">
        <f aca="false">IF(F28=0,0,F40/F28)</f>
        <v>0.168875925486593</v>
      </c>
      <c r="G42" s="28" t="n">
        <f aca="false">IF(G28=0,0,G40/G28)</f>
        <v>0.192086314988862</v>
      </c>
      <c r="H42" s="28" t="n">
        <f aca="false">IF(H28=0,0,H40/H28)</f>
        <v>0.196715771633261</v>
      </c>
      <c r="I42" s="28" t="n">
        <f aca="false">IF(I28=0,0,I40/I28)</f>
        <v>0.199531560880014</v>
      </c>
      <c r="J42" s="28" t="n">
        <f aca="false">IF(J28=0,0,J40/J28)</f>
        <v>0.201251957795385</v>
      </c>
      <c r="K42" s="28" t="n">
        <f aca="false">IF(K28=0,0,K40/K28)</f>
        <v>0.202428829208852</v>
      </c>
      <c r="L42" s="28" t="n">
        <f aca="false">IF(L28=0,0,L40/L28)</f>
        <v>0.203371000351429</v>
      </c>
      <c r="M42" s="28" t="n">
        <f aca="false">IF(M28=0,0,M40/M28)</f>
        <v>0.204178654576853</v>
      </c>
    </row>
    <row r="43" customFormat="false" ht="15" hidden="false" customHeight="true" outlineLevel="0" collapsed="false">
      <c r="A43" s="7" t="s">
        <v>376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customFormat="false" ht="15" hidden="false" customHeight="true" outlineLevel="0" collapsed="false">
      <c r="A44" s="4" t="s">
        <v>377</v>
      </c>
      <c r="D44" s="25" t="n">
        <f aca="false">-D28*Assumptions!$B$53</f>
        <v>-0.35</v>
      </c>
      <c r="E44" s="25" t="n">
        <f aca="false">-E28*Assumptions!$B$53</f>
        <v>-0.595875</v>
      </c>
      <c r="F44" s="25" t="n">
        <f aca="false">-F28*Assumptions!$B$53</f>
        <v>-0.95314125</v>
      </c>
      <c r="G44" s="25" t="n">
        <f aca="false">-G28*Assumptions!$B$53</f>
        <v>-1.3797603375</v>
      </c>
      <c r="H44" s="25" t="n">
        <f aca="false">-H28*Assumptions!$B$53</f>
        <v>-1.835359485375</v>
      </c>
      <c r="I44" s="25" t="n">
        <f aca="false">-I28*Assumptions!$B$53</f>
        <v>-2.26863384640375</v>
      </c>
      <c r="J44" s="25" t="n">
        <f aca="false">-J28*Assumptions!$B$53</f>
        <v>-2.67417031325034</v>
      </c>
      <c r="K44" s="25" t="n">
        <f aca="false">-K28*Assumptions!$B$53</f>
        <v>-3.10466466942031</v>
      </c>
      <c r="L44" s="25" t="n">
        <f aca="false">-L28*Assumptions!$B$53</f>
        <v>-3.50184590606385</v>
      </c>
      <c r="M44" s="25" t="n">
        <f aca="false">-M28*Assumptions!$B$53</f>
        <v>-3.79675996712004</v>
      </c>
    </row>
    <row r="45" customFormat="false" ht="15" hidden="false" customHeight="true" outlineLevel="0" collapsed="false">
      <c r="A45" s="4" t="s">
        <v>378</v>
      </c>
      <c r="D45" s="25" t="n">
        <f aca="false">D40+D44</f>
        <v>1.1548125</v>
      </c>
      <c r="E45" s="25" t="n">
        <f aca="false">E40+E44</f>
        <v>2.7308380141129</v>
      </c>
      <c r="F45" s="25" t="n">
        <f aca="false">F40+F44</f>
        <v>5.48536317852791</v>
      </c>
      <c r="G45" s="25" t="n">
        <f aca="false">G40+G44</f>
        <v>9.22156281442653</v>
      </c>
      <c r="H45" s="25" t="n">
        <f aca="false">H40+H44</f>
        <v>12.6064068102237</v>
      </c>
      <c r="I45" s="25" t="n">
        <f aca="false">I40+I44</f>
        <v>15.8379282511231</v>
      </c>
      <c r="J45" s="25" t="n">
        <f aca="false">J40+J44</f>
        <v>18.8531101275468</v>
      </c>
      <c r="K45" s="25" t="n">
        <f aca="false">K40+K44</f>
        <v>22.0342806952533</v>
      </c>
      <c r="L45" s="25" t="n">
        <f aca="false">L40+L44</f>
        <v>24.9851102936466</v>
      </c>
      <c r="M45" s="25" t="n">
        <f aca="false">M40+M44</f>
        <v>27.211933706393</v>
      </c>
    </row>
    <row r="46" customFormat="false" ht="15" hidden="false" customHeight="true" outlineLevel="0" collapsed="false">
      <c r="A46" s="4" t="s">
        <v>379</v>
      </c>
      <c r="D46" s="25" t="n">
        <f aca="false">D89+D90+D91+D92</f>
        <v>-0.4980709375</v>
      </c>
      <c r="E46" s="25" t="n">
        <f aca="false">E89+E90+E91+E92</f>
        <v>-0.6796385375</v>
      </c>
      <c r="F46" s="25" t="n">
        <f aca="false">F89+F90+F91+F92</f>
        <v>-0.90998391025</v>
      </c>
      <c r="G46" s="25" t="n">
        <f aca="false">G89+G90+G91+G92</f>
        <v>-1.1244043700975</v>
      </c>
      <c r="H46" s="25" t="n">
        <f aca="false">H89+H90+H91+H92</f>
        <v>-1.25153660662217</v>
      </c>
      <c r="I46" s="25" t="n">
        <f aca="false">I89+I90+I91+I92</f>
        <v>-1.2070228656376</v>
      </c>
      <c r="J46" s="25" t="n">
        <f aca="false">J89+J90+J91+J92</f>
        <v>-1.30812170286945</v>
      </c>
      <c r="K46" s="25" t="n">
        <f aca="false">K89+K90+K91+K92</f>
        <v>-1.41594432476567</v>
      </c>
      <c r="L46" s="25" t="n">
        <f aca="false">L89+L90+L91+L92</f>
        <v>-1.48482313240478</v>
      </c>
      <c r="M46" s="25" t="n">
        <f aca="false">M89+M90+M91+M92</f>
        <v>-1.43548301804686</v>
      </c>
    </row>
    <row r="47" customFormat="false" ht="15" hidden="false" customHeight="true" outlineLevel="0" collapsed="false">
      <c r="A47" s="4" t="s">
        <v>380</v>
      </c>
      <c r="D47" s="25" t="n">
        <f aca="false">D45+D46</f>
        <v>0.6567415625</v>
      </c>
      <c r="E47" s="25" t="n">
        <f aca="false">E45+E46</f>
        <v>2.0511994766129</v>
      </c>
      <c r="F47" s="25" t="n">
        <f aca="false">F45+F46</f>
        <v>4.57537926827791</v>
      </c>
      <c r="G47" s="25" t="n">
        <f aca="false">G45+G46</f>
        <v>8.09715844432903</v>
      </c>
      <c r="H47" s="25" t="n">
        <f aca="false">H45+H46</f>
        <v>11.3548702036015</v>
      </c>
      <c r="I47" s="25" t="n">
        <f aca="false">I45+I46</f>
        <v>14.6309053854855</v>
      </c>
      <c r="J47" s="25" t="n">
        <f aca="false">J45+J46</f>
        <v>17.5449884246774</v>
      </c>
      <c r="K47" s="25" t="n">
        <f aca="false">K45+K46</f>
        <v>20.6183363704876</v>
      </c>
      <c r="L47" s="25" t="n">
        <f aca="false">L45+L46</f>
        <v>23.5002871612418</v>
      </c>
      <c r="M47" s="25" t="n">
        <f aca="false">M45+M46</f>
        <v>25.7764506883462</v>
      </c>
    </row>
    <row r="48" customFormat="false" ht="15" hidden="false" customHeight="true" outlineLevel="0" collapsed="false">
      <c r="A48" s="4" t="s">
        <v>381</v>
      </c>
      <c r="D48" s="25" t="n">
        <f aca="false">-MAX(0,D47*Assumptions!$B$56)</f>
        <v>-0.164185390625</v>
      </c>
      <c r="E48" s="25" t="n">
        <f aca="false">-MAX(0,E47*Assumptions!$B$56)</f>
        <v>-0.512799869153226</v>
      </c>
      <c r="F48" s="25" t="n">
        <f aca="false">-MAX(0,F47*Assumptions!$B$56)</f>
        <v>-1.14384481706948</v>
      </c>
      <c r="G48" s="25" t="n">
        <f aca="false">-MAX(0,G47*Assumptions!$B$56)</f>
        <v>-2.02428961108226</v>
      </c>
      <c r="H48" s="25" t="n">
        <f aca="false">-MAX(0,H47*Assumptions!$B$56)</f>
        <v>-2.83871755090038</v>
      </c>
      <c r="I48" s="25" t="n">
        <f aca="false">-MAX(0,I47*Assumptions!$B$56)</f>
        <v>-3.65772634637137</v>
      </c>
      <c r="J48" s="25" t="n">
        <f aca="false">-MAX(0,J47*Assumptions!$B$56)</f>
        <v>-4.38624710616935</v>
      </c>
      <c r="K48" s="25" t="n">
        <f aca="false">-MAX(0,K47*Assumptions!$B$56)</f>
        <v>-5.1545840926219</v>
      </c>
      <c r="L48" s="25" t="n">
        <f aca="false">-MAX(0,L47*Assumptions!$B$56)</f>
        <v>-5.87507179031045</v>
      </c>
      <c r="M48" s="25" t="n">
        <f aca="false">-MAX(0,M47*Assumptions!$B$56)</f>
        <v>-6.44411267208654</v>
      </c>
    </row>
    <row r="49" customFormat="false" ht="15" hidden="false" customHeight="true" outlineLevel="0" collapsed="false">
      <c r="A49" s="4" t="s">
        <v>382</v>
      </c>
      <c r="D49" s="25" t="n">
        <f aca="false">-D28*Assumptions!$B$54</f>
        <v>-0.28</v>
      </c>
      <c r="E49" s="25" t="n">
        <f aca="false">-E28*Assumptions!$B$54</f>
        <v>-0.4767</v>
      </c>
      <c r="F49" s="25" t="n">
        <f aca="false">-F28*Assumptions!$B$54</f>
        <v>-0.762513</v>
      </c>
      <c r="G49" s="25" t="n">
        <f aca="false">-G28*Assumptions!$B$54</f>
        <v>-1.10380827</v>
      </c>
      <c r="H49" s="25" t="n">
        <f aca="false">-H28*Assumptions!$B$54</f>
        <v>-1.4682875883</v>
      </c>
      <c r="I49" s="25" t="n">
        <f aca="false">-I28*Assumptions!$B$54</f>
        <v>-1.814907077123</v>
      </c>
      <c r="J49" s="25" t="n">
        <f aca="false">-J28*Assumptions!$B$54</f>
        <v>-2.13933625060027</v>
      </c>
      <c r="K49" s="25" t="n">
        <f aca="false">-K28*Assumptions!$B$54</f>
        <v>-2.48373173553625</v>
      </c>
      <c r="L49" s="25" t="n">
        <f aca="false">-L28*Assumptions!$B$54</f>
        <v>-2.80147672485108</v>
      </c>
      <c r="M49" s="25" t="n">
        <f aca="false">-M28*Assumptions!$B$54</f>
        <v>-3.03740797369603</v>
      </c>
    </row>
    <row r="50" customFormat="false" ht="15" hidden="false" customHeight="true" outlineLevel="0" collapsed="false">
      <c r="A50" s="4" t="s">
        <v>383</v>
      </c>
      <c r="D50" s="25" t="n">
        <f aca="false">-(D26-C26)*Assumptions!$B$52</f>
        <v>-0</v>
      </c>
      <c r="E50" s="25" t="n">
        <f aca="false">-(E26-D26)*Assumptions!$B$52</f>
        <v>-0</v>
      </c>
      <c r="F50" s="25" t="n">
        <f aca="false">-(F26-E26)*Assumptions!$B$52</f>
        <v>-1.3125</v>
      </c>
      <c r="G50" s="25" t="n">
        <f aca="false">-(G26-F26)*Assumptions!$B$52</f>
        <v>-1.3125</v>
      </c>
      <c r="H50" s="25" t="n">
        <f aca="false">-(H26-G26)*Assumptions!$B$52</f>
        <v>-1.3125</v>
      </c>
      <c r="I50" s="25" t="n">
        <f aca="false">-(I26-H26)*Assumptions!$B$52</f>
        <v>-1.3125</v>
      </c>
      <c r="J50" s="25" t="n">
        <f aca="false">-(J26-I26)*Assumptions!$B$52</f>
        <v>-1.3125</v>
      </c>
      <c r="K50" s="25" t="n">
        <f aca="false">-(K26-J26)*Assumptions!$B$52</f>
        <v>-1.3125</v>
      </c>
      <c r="L50" s="25" t="n">
        <f aca="false">-(L26-K26)*Assumptions!$B$52</f>
        <v>-1.3125</v>
      </c>
      <c r="M50" s="25" t="n">
        <f aca="false">-(M26-L26)*Assumptions!$B$52</f>
        <v>-1.3125</v>
      </c>
    </row>
    <row r="51" customFormat="false" ht="15" hidden="false" customHeight="true" outlineLevel="0" collapsed="false">
      <c r="A51" s="4" t="s">
        <v>384</v>
      </c>
      <c r="D51" s="25" t="n">
        <f aca="false">-(C28*Assumptions!$B$8+D27-C27)*Assumptions!$B$55</f>
        <v>-0.05</v>
      </c>
      <c r="E51" s="25" t="n">
        <f aca="false">-(D28*Assumptions!$B$8+E27-D27)*Assumptions!$B$55</f>
        <v>-0.07</v>
      </c>
      <c r="F51" s="25" t="n">
        <f aca="false">-(E28*Assumptions!$B$8+F27-E27)*Assumptions!$B$55</f>
        <v>-0.287925</v>
      </c>
      <c r="G51" s="25" t="n">
        <f aca="false">-(F28*Assumptions!$B$8+G27-F27)*Assumptions!$B$55</f>
        <v>-0.52812825</v>
      </c>
      <c r="H51" s="25" t="n">
        <f aca="false">-(G28*Assumptions!$B$8+H27-G27)*Assumptions!$B$55</f>
        <v>-0.6134520675</v>
      </c>
      <c r="I51" s="25" t="n">
        <f aca="false">-(H28*Assumptions!$B$8+I27-H27)*Assumptions!$B$55</f>
        <v>-0.704571897075</v>
      </c>
      <c r="J51" s="25" t="n">
        <f aca="false">-(I28*Assumptions!$B$8+J27-I27)*Assumptions!$B$55</f>
        <v>-0.79122676928075</v>
      </c>
      <c r="K51" s="25" t="n">
        <f aca="false">-(J28*Assumptions!$B$8+K27-J27)*Assumptions!$B$55</f>
        <v>-0.872334062650068</v>
      </c>
      <c r="L51" s="25" t="n">
        <f aca="false">-(K28*Assumptions!$B$8+L27-K27)*Assumptions!$B$55</f>
        <v>-0.958432933884062</v>
      </c>
      <c r="M51" s="25" t="n">
        <f aca="false">-(L28*Assumptions!$B$8+M27-L27)*Assumptions!$B$55</f>
        <v>-1.03786918121277</v>
      </c>
    </row>
    <row r="52" customFormat="false" ht="15" hidden="false" customHeight="true" outlineLevel="0" collapsed="false">
      <c r="A52" s="31" t="s">
        <v>385</v>
      </c>
      <c r="D52" s="27" t="n">
        <f aca="false">D40+D48+D49+D50+D51</f>
        <v>1.010627109375</v>
      </c>
      <c r="E52" s="27" t="n">
        <f aca="false">E40+E48+E49+E50+E51</f>
        <v>2.26721314495968</v>
      </c>
      <c r="F52" s="27" t="n">
        <f aca="false">F40+F48+F49+F50+F51</f>
        <v>2.93172161145843</v>
      </c>
      <c r="G52" s="27" t="n">
        <f aca="false">G40+G48+G49+G50+G51</f>
        <v>5.63259702084427</v>
      </c>
      <c r="H52" s="27" t="n">
        <f aca="false">H40+H48+H49+H50+H51</f>
        <v>8.20880908889831</v>
      </c>
      <c r="I52" s="27" t="n">
        <f aca="false">I40+I48+I49+I50+I51</f>
        <v>10.6168567769575</v>
      </c>
      <c r="J52" s="27" t="n">
        <f aca="false">J40+J48+J49+J50+J51</f>
        <v>12.8979703147468</v>
      </c>
      <c r="K52" s="27" t="n">
        <f aca="false">K40+K48+K49+K50+K51</f>
        <v>15.3157954738654</v>
      </c>
      <c r="L52" s="27" t="n">
        <f aca="false">L40+L48+L49+L50+L51</f>
        <v>17.5394747506648</v>
      </c>
      <c r="M52" s="27" t="n">
        <f aca="false">M40+M48+M49+M50+M51</f>
        <v>19.1768038465177</v>
      </c>
    </row>
    <row r="53" customFormat="false" ht="15" hidden="false" customHeight="true" outlineLevel="0" collapsed="false">
      <c r="A53" s="4" t="s">
        <v>386</v>
      </c>
      <c r="D53" s="25" t="n">
        <f aca="false">D72</f>
        <v>-0.2025</v>
      </c>
      <c r="E53" s="25" t="n">
        <f aca="false">E72</f>
        <v>-0.2025</v>
      </c>
      <c r="F53" s="25" t="n">
        <f aca="false">F72</f>
        <v>-0.2025</v>
      </c>
      <c r="G53" s="25" t="n">
        <f aca="false">G72</f>
        <v>-0.2025</v>
      </c>
      <c r="H53" s="25" t="n">
        <f aca="false">H72</f>
        <v>-0.2025</v>
      </c>
      <c r="I53" s="25" t="n">
        <f aca="false">I72</f>
        <v>-0</v>
      </c>
      <c r="J53" s="25" t="n">
        <f aca="false">J72</f>
        <v>-0</v>
      </c>
      <c r="K53" s="25" t="n">
        <f aca="false">K72</f>
        <v>-0</v>
      </c>
      <c r="L53" s="25" t="n">
        <f aca="false">L72</f>
        <v>-0</v>
      </c>
      <c r="M53" s="25" t="n">
        <f aca="false">M72</f>
        <v>-0</v>
      </c>
    </row>
    <row r="54" customFormat="false" ht="15" hidden="false" customHeight="true" outlineLevel="0" collapsed="false">
      <c r="A54" s="4" t="s">
        <v>387</v>
      </c>
      <c r="D54" s="25" t="n">
        <f aca="false">D77</f>
        <v>-0</v>
      </c>
      <c r="E54" s="25" t="n">
        <f aca="false">E77</f>
        <v>-0.0728875</v>
      </c>
      <c r="F54" s="25" t="n">
        <f aca="false">F77</f>
        <v>-0.182947625</v>
      </c>
      <c r="G54" s="25" t="n">
        <f aca="false">G77</f>
        <v>-0.29205292375</v>
      </c>
      <c r="H54" s="25" t="n">
        <f aca="false">H77</f>
        <v>-0.4004330647625</v>
      </c>
      <c r="I54" s="25" t="n">
        <f aca="false">I77</f>
        <v>-0.508313510212375</v>
      </c>
      <c r="J54" s="25" t="n">
        <f aca="false">J77</f>
        <v>-0.571576623125436</v>
      </c>
      <c r="K54" s="25" t="n">
        <f aca="false">K77</f>
        <v>-0.635223731929792</v>
      </c>
      <c r="L54" s="25" t="n">
        <f aca="false">L77</f>
        <v>-0.699377522892354</v>
      </c>
      <c r="M54" s="25" t="n">
        <f aca="false">M77</f>
        <v>-0.714284435078444</v>
      </c>
    </row>
    <row r="55" customFormat="false" ht="15" hidden="false" customHeight="true" outlineLevel="0" collapsed="false">
      <c r="A55" s="4" t="s">
        <v>388</v>
      </c>
      <c r="D55" s="25" t="n">
        <f aca="false">D81</f>
        <v>-0.23625</v>
      </c>
      <c r="E55" s="25" t="n">
        <f aca="false">E81</f>
        <v>-0.3924375</v>
      </c>
      <c r="F55" s="25" t="n">
        <f aca="false">F81</f>
        <v>-0.63609</v>
      </c>
      <c r="G55" s="25" t="n">
        <f aca="false">G81</f>
        <v>-0.8894886</v>
      </c>
      <c r="H55" s="25" t="n">
        <f aca="false">H81</f>
        <v>-0.916773144</v>
      </c>
      <c r="I55" s="25" t="n">
        <f aca="false">I81</f>
        <v>-1.03466156976</v>
      </c>
      <c r="J55" s="25" t="n">
        <f aca="false">J81</f>
        <v>-0.9810350449536</v>
      </c>
      <c r="K55" s="25" t="n">
        <f aca="false">K81</f>
        <v>-0.925263459154944</v>
      </c>
      <c r="L55" s="25" t="n">
        <f aca="false">L81</f>
        <v>-0.867261009924342</v>
      </c>
      <c r="M55" s="25" t="n">
        <f aca="false">M81</f>
        <v>-0.700061773444429</v>
      </c>
    </row>
    <row r="56" customFormat="false" ht="15" hidden="false" customHeight="true" outlineLevel="0" collapsed="false">
      <c r="A56" s="4" t="s">
        <v>389</v>
      </c>
      <c r="D56" s="25" t="n">
        <f aca="false">-SUMPRODUCT(($C$6:$M$6=D6-Assumptions!$B$39)*($C$88:$M$88))*Assumptions!$B$20</f>
        <v>-0</v>
      </c>
      <c r="E56" s="25" t="n">
        <f aca="false">-SUMPRODUCT(($C$6:$M$6=E6-Assumptions!$B$39)*($C$88:$M$88))*Assumptions!$B$20</f>
        <v>-0.70875</v>
      </c>
      <c r="F56" s="25" t="n">
        <f aca="false">-SUMPRODUCT(($C$6:$M$6=F6-Assumptions!$B$39)*($C$88:$M$88))*Assumptions!$B$20</f>
        <v>-0.312375</v>
      </c>
      <c r="G56" s="25" t="n">
        <f aca="false">-SUMPRODUCT(($C$6:$M$6=G6-Assumptions!$B$39)*($C$88:$M$88))*Assumptions!$B$20</f>
        <v>-0.487305</v>
      </c>
      <c r="H56" s="25" t="n">
        <f aca="false">-SUMPRODUCT(($C$6:$M$6=H6-Assumptions!$B$39)*($C$88:$M$88))*Assumptions!$B$20</f>
        <v>-0.5067972</v>
      </c>
      <c r="I56" s="25" t="n">
        <f aca="false">-SUMPRODUCT(($C$6:$M$6=I6-Assumptions!$B$39)*($C$88:$M$88))*Assumptions!$B$20</f>
        <v>-0.527069088</v>
      </c>
      <c r="J56" s="25" t="n">
        <f aca="false">-SUMPRODUCT(($C$6:$M$6=J6-Assumptions!$B$39)*($C$88:$M$88))*Assumptions!$B$20</f>
        <v>-0.54815185152</v>
      </c>
      <c r="K56" s="25" t="n">
        <f aca="false">-SUMPRODUCT(($C$6:$M$6=K6-Assumptions!$B$39)*($C$88:$M$88))*Assumptions!$B$20</f>
        <v>-0.3800519503872</v>
      </c>
      <c r="L56" s="25" t="n">
        <f aca="false">-SUMPRODUCT(($C$6:$M$6=L6-Assumptions!$B$39)*($C$88:$M$88))*Assumptions!$B$20</f>
        <v>-0.395254028402688</v>
      </c>
      <c r="M56" s="25" t="n">
        <f aca="false">-SUMPRODUCT(($C$6:$M$6=M6-Assumptions!$B$39)*($C$88:$M$88))*Assumptions!$B$20</f>
        <v>-0.411064189538796</v>
      </c>
    </row>
    <row r="57" customFormat="false" ht="15" hidden="false" customHeight="true" outlineLevel="0" collapsed="false">
      <c r="A57" s="47" t="s">
        <v>390</v>
      </c>
      <c r="C57" s="48"/>
      <c r="D57" s="42" t="n">
        <f aca="false">D52+D46+D53+D54+D55+D56</f>
        <v>0.0738061718750001</v>
      </c>
      <c r="E57" s="42" t="n">
        <f aca="false">E52+E46+E53+E54+E55+E56</f>
        <v>0.210999607459678</v>
      </c>
      <c r="F57" s="42" t="n">
        <f aca="false">F52+F46+F53+F54+F55+F56</f>
        <v>0.687825076208429</v>
      </c>
      <c r="G57" s="42" t="n">
        <f aca="false">G52+G46+G53+G54+G55+G56</f>
        <v>2.63684612699678</v>
      </c>
      <c r="H57" s="42" t="n">
        <f aca="false">H52+H46+H53+H54+H55+H56</f>
        <v>4.93076907351364</v>
      </c>
      <c r="I57" s="42" t="n">
        <f aca="false">I52+I46+I53+I54+I55+I56</f>
        <v>7.33978974334749</v>
      </c>
      <c r="J57" s="42" t="n">
        <f aca="false">J52+J46+J53+J54+J55+J56</f>
        <v>9.48908509227833</v>
      </c>
      <c r="K57" s="42" t="n">
        <f aca="false">K52+K46+K53+K54+K55+K56</f>
        <v>11.9593120076278</v>
      </c>
      <c r="L57" s="42" t="n">
        <f aca="false">L52+L46+L53+L54+L55+L56</f>
        <v>14.0927590570407</v>
      </c>
      <c r="M57" s="42" t="n">
        <f aca="false">M52+M46+M53+M54+M55+M56</f>
        <v>15.9159104304092</v>
      </c>
    </row>
    <row r="58" customFormat="false" ht="15" hidden="false" customHeight="true" outlineLevel="0" collapsed="false">
      <c r="A58" s="7" t="s">
        <v>391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customFormat="false" ht="15" hidden="false" customHeight="true" outlineLevel="0" collapsed="false">
      <c r="A59" s="4" t="s">
        <v>392</v>
      </c>
      <c r="D59" s="25" t="n">
        <f aca="false">C69</f>
        <v>0.5</v>
      </c>
      <c r="E59" s="25" t="n">
        <f aca="false">D69</f>
        <v>0.5</v>
      </c>
      <c r="F59" s="25" t="n">
        <f aca="false">E69</f>
        <v>0.5</v>
      </c>
      <c r="G59" s="25" t="n">
        <f aca="false">F69</f>
        <v>0.5</v>
      </c>
      <c r="H59" s="25" t="n">
        <f aca="false">G69</f>
        <v>1.29135397549839</v>
      </c>
      <c r="I59" s="25" t="n">
        <f aca="false">H69</f>
        <v>0.5</v>
      </c>
      <c r="J59" s="25" t="n">
        <f aca="false">I69</f>
        <v>0.500000000000001</v>
      </c>
      <c r="K59" s="25" t="n">
        <f aca="false">J69</f>
        <v>0.5</v>
      </c>
      <c r="L59" s="25" t="n">
        <f aca="false">K69</f>
        <v>0.5</v>
      </c>
      <c r="M59" s="25" t="n">
        <f aca="false">L69</f>
        <v>0.5</v>
      </c>
    </row>
    <row r="60" customFormat="false" ht="15" hidden="false" customHeight="true" outlineLevel="0" collapsed="false">
      <c r="A60" s="4" t="s">
        <v>393</v>
      </c>
      <c r="D60" s="25" t="n">
        <f aca="false">D59+D57-Assumptions!$B$29</f>
        <v>0.0738061718750002</v>
      </c>
      <c r="E60" s="25" t="n">
        <f aca="false">E59+E57-Assumptions!$B$29</f>
        <v>0.210999607459678</v>
      </c>
      <c r="F60" s="25" t="n">
        <f aca="false">F59+F57-Assumptions!$B$29</f>
        <v>0.687825076208429</v>
      </c>
      <c r="G60" s="25" t="n">
        <f aca="false">G59+G57-Assumptions!$B$29</f>
        <v>2.63684612699678</v>
      </c>
      <c r="H60" s="25" t="n">
        <f aca="false">H59+H57-Assumptions!$B$29</f>
        <v>5.72212304901203</v>
      </c>
      <c r="I60" s="25" t="n">
        <f aca="false">I59+I57-Assumptions!$B$29</f>
        <v>7.33978974334749</v>
      </c>
      <c r="J60" s="25" t="n">
        <f aca="false">J59+J57-Assumptions!$B$29</f>
        <v>9.48908509227833</v>
      </c>
      <c r="K60" s="25" t="n">
        <f aca="false">K59+K57-Assumptions!$B$29</f>
        <v>11.9593120076278</v>
      </c>
      <c r="L60" s="25" t="n">
        <f aca="false">L59+L57-Assumptions!$B$29</f>
        <v>14.0927590570407</v>
      </c>
      <c r="M60" s="25" t="n">
        <f aca="false">M59+M57-Assumptions!$B$29</f>
        <v>15.9159104304092</v>
      </c>
    </row>
    <row r="61" customFormat="false" ht="15" hidden="false" customHeight="true" outlineLevel="0" collapsed="false">
      <c r="A61" s="4" t="s">
        <v>394</v>
      </c>
      <c r="D61" s="25" t="n">
        <f aca="false">D21</f>
        <v>1.666</v>
      </c>
      <c r="E61" s="25" t="n">
        <f aca="false">E21</f>
        <v>2.59896</v>
      </c>
      <c r="F61" s="25" t="n">
        <f aca="false">F21</f>
        <v>2.7029184</v>
      </c>
      <c r="G61" s="25" t="n">
        <f aca="false">G21</f>
        <v>2.811035136</v>
      </c>
      <c r="H61" s="25" t="n">
        <f aca="false">H21</f>
        <v>2.92347654144</v>
      </c>
      <c r="I61" s="25" t="n">
        <f aca="false">I21</f>
        <v>2.0269437353984</v>
      </c>
      <c r="J61" s="25" t="n">
        <f aca="false">J21</f>
        <v>2.10802148481434</v>
      </c>
      <c r="K61" s="25" t="n">
        <f aca="false">K21</f>
        <v>2.19234234420691</v>
      </c>
      <c r="L61" s="25" t="n">
        <f aca="false">L21</f>
        <v>1.14001801898759</v>
      </c>
      <c r="M61" s="25" t="n">
        <f aca="false">M21</f>
        <v>0</v>
      </c>
    </row>
    <row r="62" customFormat="false" ht="15" hidden="false" customHeight="true" outlineLevel="0" collapsed="false">
      <c r="A62" s="4" t="s">
        <v>395</v>
      </c>
      <c r="D62" s="25" t="n">
        <f aca="false">Assumptions!$B$23-SUM($C$63:C63)</f>
        <v>12.0295</v>
      </c>
      <c r="E62" s="25" t="n">
        <f aca="false">Assumptions!$B$23-SUM($C$63:D63)</f>
        <v>10.437306171875</v>
      </c>
      <c r="F62" s="25" t="n">
        <f aca="false">Assumptions!$B$23-SUM($C$63:E63)</f>
        <v>8.04934577933468</v>
      </c>
      <c r="G62" s="25" t="n">
        <f aca="false">Assumptions!$B$23-SUM($C$63:F63)</f>
        <v>6.03425245554311</v>
      </c>
      <c r="H62" s="25" t="n">
        <f aca="false">Assumptions!$B$23-SUM($C$63:G63)</f>
        <v>4.27735549554311</v>
      </c>
      <c r="I62" s="25" t="n">
        <f aca="false">Assumptions!$B$23-SUM($C$63:H63)</f>
        <v>2.45018265714311</v>
      </c>
      <c r="J62" s="25" t="n">
        <f aca="false">Assumptions!$B$23-SUM($C$63:I63)</f>
        <v>1.18334282251911</v>
      </c>
      <c r="K62" s="25" t="n">
        <f aca="false">Assumptions!$B$23-SUM($C$63:J63)</f>
        <v>0</v>
      </c>
      <c r="L62" s="25" t="n">
        <f aca="false">Assumptions!$B$23-SUM($C$63:K63)</f>
        <v>0</v>
      </c>
      <c r="M62" s="25" t="n">
        <f aca="false">Assumptions!$B$23-SUM($C$63:L63)</f>
        <v>0</v>
      </c>
    </row>
    <row r="63" customFormat="false" ht="15" hidden="false" customHeight="true" outlineLevel="0" collapsed="false">
      <c r="A63" s="31" t="s">
        <v>396</v>
      </c>
      <c r="C63" s="27" t="n">
        <f aca="false">'Sources &amp; Uses'!$C$22</f>
        <v>2.9705</v>
      </c>
      <c r="D63" s="27" t="n">
        <f aca="false">MIN(D62,MAX(Assumptions!$B$35*D15,D61-D60))</f>
        <v>1.592193828125</v>
      </c>
      <c r="E63" s="27" t="n">
        <f aca="false">MIN(E62,MAX(Assumptions!$B$35*E15,E61-E60))</f>
        <v>2.38796039254032</v>
      </c>
      <c r="F63" s="27" t="n">
        <f aca="false">MIN(F62,MAX(Assumptions!$B$35*F15,F61-F60))</f>
        <v>2.01509332379157</v>
      </c>
      <c r="G63" s="27" t="n">
        <f aca="false">MIN(G62,MAX(Assumptions!$B$35*G15,G61-G60))</f>
        <v>1.75689696</v>
      </c>
      <c r="H63" s="27" t="n">
        <f aca="false">MIN(H62,MAX(Assumptions!$B$35*H15,H61-H60))</f>
        <v>1.8271728384</v>
      </c>
      <c r="I63" s="27" t="n">
        <f aca="false">MIN(I62,MAX(Assumptions!$B$35*I15,I61-I60))</f>
        <v>1.266839834624</v>
      </c>
      <c r="J63" s="27" t="n">
        <f aca="false">MIN(J62,MAX(Assumptions!$B$35*J15,J61-J60))</f>
        <v>1.18334282251911</v>
      </c>
      <c r="K63" s="27" t="n">
        <f aca="false">MIN(K62,MAX(Assumptions!$B$35*K15,K61-K60))</f>
        <v>0</v>
      </c>
      <c r="L63" s="27" t="n">
        <f aca="false">MIN(L62,MAX(Assumptions!$B$35*L15,L61-L60))</f>
        <v>0</v>
      </c>
      <c r="M63" s="27" t="n">
        <f aca="false">MIN(M62,MAX(Assumptions!$B$35*M15,M61-M60))</f>
        <v>0</v>
      </c>
    </row>
    <row r="64" customFormat="false" ht="15" hidden="false" customHeight="true" outlineLevel="0" collapsed="false">
      <c r="A64" s="4" t="s">
        <v>397</v>
      </c>
      <c r="D64" s="25" t="n">
        <f aca="false">MAX(0,D61-D60-D63)</f>
        <v>0</v>
      </c>
      <c r="E64" s="25" t="n">
        <f aca="false">MAX(0,E61-E60-E63)</f>
        <v>0</v>
      </c>
      <c r="F64" s="25" t="n">
        <f aca="false">MAX(0,F61-F60-F63)</f>
        <v>0</v>
      </c>
      <c r="G64" s="25" t="n">
        <f aca="false">MAX(0,G61-G60-G63)</f>
        <v>0</v>
      </c>
      <c r="H64" s="25" t="n">
        <f aca="false">MAX(0,H61-H60-H63)</f>
        <v>0</v>
      </c>
      <c r="I64" s="25" t="n">
        <f aca="false">MAX(0,I61-I60-I63)</f>
        <v>0</v>
      </c>
      <c r="J64" s="25" t="n">
        <f aca="false">MAX(0,J61-J60-J63)</f>
        <v>0</v>
      </c>
      <c r="K64" s="25" t="n">
        <f aca="false">MAX(0,K61-K60-K63)</f>
        <v>0</v>
      </c>
      <c r="L64" s="25" t="n">
        <f aca="false">MAX(0,L61-L60-L63)</f>
        <v>0</v>
      </c>
      <c r="M64" s="25" t="n">
        <f aca="false">MAX(0,M61-M60-M63)</f>
        <v>0</v>
      </c>
    </row>
    <row r="65" customFormat="false" ht="15" hidden="false" customHeight="true" outlineLevel="0" collapsed="false">
      <c r="A65" s="4" t="s">
        <v>398</v>
      </c>
      <c r="D65" s="25" t="n">
        <f aca="false">MAX(0,D60+D63-D61)</f>
        <v>0</v>
      </c>
      <c r="E65" s="25" t="n">
        <f aca="false">MAX(0,E60+E63-E61)</f>
        <v>0</v>
      </c>
      <c r="F65" s="25" t="n">
        <f aca="false">MAX(0,F60+F63-F61)</f>
        <v>0</v>
      </c>
      <c r="G65" s="25" t="n">
        <f aca="false">MAX(0,G60+G63-G61)</f>
        <v>1.58270795099677</v>
      </c>
      <c r="H65" s="25" t="n">
        <f aca="false">MAX(0,H60+H63-H61)</f>
        <v>4.62581934597203</v>
      </c>
      <c r="I65" s="25" t="n">
        <f aca="false">MAX(0,I60+I63-I61)</f>
        <v>6.57968584257309</v>
      </c>
      <c r="J65" s="25" t="n">
        <f aca="false">MAX(0,J60+J63-J61)</f>
        <v>8.5644064299831</v>
      </c>
      <c r="K65" s="25" t="n">
        <f aca="false">MAX(0,K60+K63-K61)</f>
        <v>9.76696966342085</v>
      </c>
      <c r="L65" s="25" t="n">
        <f aca="false">MAX(0,L60+L63-L61)</f>
        <v>12.9527410380531</v>
      </c>
      <c r="M65" s="25" t="n">
        <f aca="false">MAX(0,M60+M63-M61)</f>
        <v>15.9159104304092</v>
      </c>
    </row>
    <row r="66" customFormat="false" ht="15" hidden="false" customHeight="true" outlineLevel="0" collapsed="false">
      <c r="A66" s="4" t="s">
        <v>399</v>
      </c>
      <c r="D66" s="25" t="n">
        <f aca="false">-MIN(C83,D65)</f>
        <v>-0</v>
      </c>
      <c r="E66" s="25" t="n">
        <f aca="false">-MIN(D83,E65)</f>
        <v>-0</v>
      </c>
      <c r="F66" s="25" t="n">
        <f aca="false">-MIN(E83,F65)</f>
        <v>-0</v>
      </c>
      <c r="G66" s="25" t="n">
        <f aca="false">-MIN(F83,G65)</f>
        <v>-0</v>
      </c>
      <c r="H66" s="25" t="n">
        <f aca="false">-MIN(G83,H65)</f>
        <v>-0</v>
      </c>
      <c r="I66" s="25" t="n">
        <f aca="false">-MIN(H83,I65)</f>
        <v>-0</v>
      </c>
      <c r="J66" s="25" t="n">
        <f aca="false">-MIN(I83,J65)</f>
        <v>-0</v>
      </c>
      <c r="K66" s="25" t="n">
        <f aca="false">-MIN(J83,K65)</f>
        <v>-0</v>
      </c>
      <c r="L66" s="25" t="n">
        <f aca="false">-MIN(K83,L65)</f>
        <v>-0</v>
      </c>
      <c r="M66" s="25" t="n">
        <f aca="false">-MIN(L83,M65)</f>
        <v>-0</v>
      </c>
    </row>
    <row r="67" customFormat="false" ht="15" hidden="false" customHeight="true" outlineLevel="0" collapsed="false">
      <c r="A67" s="4" t="s">
        <v>400</v>
      </c>
      <c r="D67" s="25" t="n">
        <f aca="false">-MIN(C74+D72,Assumptions!$B$61*(D65+D66))</f>
        <v>-0</v>
      </c>
      <c r="E67" s="25" t="n">
        <f aca="false">-MIN(D74+E72,Assumptions!$B$61*(E65+E66))</f>
        <v>-0</v>
      </c>
      <c r="F67" s="25" t="n">
        <f aca="false">-MIN(E74+F72,Assumptions!$B$61*(F65+F66))</f>
        <v>-0</v>
      </c>
      <c r="G67" s="25" t="n">
        <f aca="false">-MIN(F74+G72,Assumptions!$B$61*(G65+G66))</f>
        <v>-0.791353975498387</v>
      </c>
      <c r="H67" s="25" t="n">
        <f aca="false">-MIN(G74+H72,Assumptions!$B$61*(H65+H66))</f>
        <v>-2.24614602450161</v>
      </c>
      <c r="I67" s="25" t="n">
        <f aca="false">-MIN(H74+I72,Assumptions!$B$61*(I65+I66))</f>
        <v>-0</v>
      </c>
      <c r="J67" s="25" t="n">
        <f aca="false">-MIN(I74+J72,Assumptions!$B$61*(J65+J66))</f>
        <v>-0</v>
      </c>
      <c r="K67" s="25" t="n">
        <f aca="false">-MIN(J74+K72,Assumptions!$B$61*(K65+K66))</f>
        <v>-0</v>
      </c>
      <c r="L67" s="25" t="n">
        <f aca="false">-MIN(K74+L72,Assumptions!$B$61*(L65+L66))</f>
        <v>-0</v>
      </c>
      <c r="M67" s="25" t="n">
        <f aca="false">-MIN(L74+M72,Assumptions!$B$61*(M65+M66))</f>
        <v>-0</v>
      </c>
    </row>
    <row r="68" customFormat="false" ht="15" hidden="false" customHeight="true" outlineLevel="0" collapsed="false">
      <c r="A68" s="4" t="s">
        <v>401</v>
      </c>
      <c r="D68" s="25" t="n">
        <f aca="false">-IF(D6&gt;=Assumptions!$B$62,Assumptions!$B$63*(D65+D66+D67),0)</f>
        <v>-0</v>
      </c>
      <c r="E68" s="25" t="n">
        <f aca="false">-IF(E6&gt;=Assumptions!$B$62,Assumptions!$B$63*(E65+E66+E67),0)</f>
        <v>-0</v>
      </c>
      <c r="F68" s="25" t="n">
        <f aca="false">-IF(F6&gt;=Assumptions!$B$62,Assumptions!$B$63*(F65+F66+F67),0)</f>
        <v>-0</v>
      </c>
      <c r="G68" s="25" t="n">
        <f aca="false">-IF(G6&gt;=Assumptions!$B$62,Assumptions!$B$63*(G65+G66+G67),0)</f>
        <v>-0</v>
      </c>
      <c r="H68" s="25" t="n">
        <f aca="false">-IF(H6&gt;=Assumptions!$B$62,Assumptions!$B$63*(H65+H66+H67),0)</f>
        <v>-2.37967332147041</v>
      </c>
      <c r="I68" s="25" t="n">
        <f aca="false">-IF(I6&gt;=Assumptions!$B$62,Assumptions!$B$63*(I65+I66+I67),0)</f>
        <v>-6.57968584257309</v>
      </c>
      <c r="J68" s="25" t="n">
        <f aca="false">-IF(J6&gt;=Assumptions!$B$62,Assumptions!$B$63*(J65+J66+J67),0)</f>
        <v>-8.5644064299831</v>
      </c>
      <c r="K68" s="25" t="n">
        <f aca="false">-IF(K6&gt;=Assumptions!$B$62,Assumptions!$B$63*(K65+K66+K67),0)</f>
        <v>-9.76696966342085</v>
      </c>
      <c r="L68" s="25" t="n">
        <f aca="false">-IF(L6&gt;=Assumptions!$B$62,Assumptions!$B$63*(L65+L66+L67),0)</f>
        <v>-12.9527410380531</v>
      </c>
      <c r="M68" s="25" t="n">
        <f aca="false">-IF(M6&gt;=Assumptions!$B$62,Assumptions!$B$63*(M65+M66+M67),0)</f>
        <v>-15.9159104304092</v>
      </c>
    </row>
    <row r="69" customFormat="false" ht="15" hidden="false" customHeight="true" outlineLevel="0" collapsed="false">
      <c r="A69" s="31" t="s">
        <v>402</v>
      </c>
      <c r="C69" s="9" t="n">
        <f aca="false">Assumptions!$B$29</f>
        <v>0.5</v>
      </c>
      <c r="D69" s="27" t="n">
        <f aca="false">D59+D57-D61+D63+D64+D66+D67+D68</f>
        <v>0.5</v>
      </c>
      <c r="E69" s="27" t="n">
        <f aca="false">E59+E57-E61+E63+E64+E66+E67+E68</f>
        <v>0.5</v>
      </c>
      <c r="F69" s="27" t="n">
        <f aca="false">F59+F57-F61+F63+F64+F66+F67+F68</f>
        <v>0.5</v>
      </c>
      <c r="G69" s="27" t="n">
        <f aca="false">G59+G57-G61+G63+G64+G66+G67+G68</f>
        <v>1.29135397549839</v>
      </c>
      <c r="H69" s="27" t="n">
        <f aca="false">H59+H57-H61+H63+H64+H66+H67+H68</f>
        <v>0.5</v>
      </c>
      <c r="I69" s="27" t="n">
        <f aca="false">I59+I57-I61+I63+I64+I66+I67+I68</f>
        <v>0.500000000000001</v>
      </c>
      <c r="J69" s="27" t="n">
        <f aca="false">J59+J57-J61+J63+J64+J66+J67+J68</f>
        <v>0.5</v>
      </c>
      <c r="K69" s="27" t="n">
        <f aca="false">K59+K57-K61+K63+K64+K66+K67+K68</f>
        <v>0.5</v>
      </c>
      <c r="L69" s="27" t="n">
        <f aca="false">L59+L57-L61+L63+L64+L66+L67+L68</f>
        <v>0.5</v>
      </c>
      <c r="M69" s="27" t="n">
        <f aca="false">M59+M57-M61+M63+M64+M66+M67+M68</f>
        <v>0.5</v>
      </c>
    </row>
    <row r="70" customFormat="false" ht="15" hidden="false" customHeight="true" outlineLevel="0" collapsed="false">
      <c r="A70" s="7" t="s">
        <v>403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" hidden="false" customHeight="true" outlineLevel="0" collapsed="false">
      <c r="A71" s="4" t="s">
        <v>404</v>
      </c>
      <c r="D71" s="25" t="n">
        <f aca="false">C74</f>
        <v>4.05</v>
      </c>
      <c r="E71" s="25" t="n">
        <f aca="false">D74</f>
        <v>3.8475</v>
      </c>
      <c r="F71" s="25" t="n">
        <f aca="false">E74</f>
        <v>3.645</v>
      </c>
      <c r="G71" s="25" t="n">
        <f aca="false">F74</f>
        <v>3.4425</v>
      </c>
      <c r="H71" s="25" t="n">
        <f aca="false">G74</f>
        <v>2.44864602450161</v>
      </c>
      <c r="I71" s="25" t="n">
        <f aca="false">H74</f>
        <v>0</v>
      </c>
      <c r="J71" s="25" t="n">
        <f aca="false">I74</f>
        <v>0</v>
      </c>
      <c r="K71" s="25" t="n">
        <f aca="false">J74</f>
        <v>0</v>
      </c>
      <c r="L71" s="25" t="n">
        <f aca="false">K74</f>
        <v>0</v>
      </c>
      <c r="M71" s="25" t="n">
        <f aca="false">L74</f>
        <v>0</v>
      </c>
    </row>
    <row r="72" customFormat="false" ht="15" hidden="false" customHeight="true" outlineLevel="0" collapsed="false">
      <c r="A72" s="4" t="s">
        <v>405</v>
      </c>
      <c r="D72" s="25" t="n">
        <f aca="false">-MIN(D71,$C$74*Assumptions!$B$60)</f>
        <v>-0.2025</v>
      </c>
      <c r="E72" s="25" t="n">
        <f aca="false">-MIN(E71,$C$74*Assumptions!$B$60)</f>
        <v>-0.2025</v>
      </c>
      <c r="F72" s="25" t="n">
        <f aca="false">-MIN(F71,$C$74*Assumptions!$B$60)</f>
        <v>-0.2025</v>
      </c>
      <c r="G72" s="25" t="n">
        <f aca="false">-MIN(G71,$C$74*Assumptions!$B$60)</f>
        <v>-0.2025</v>
      </c>
      <c r="H72" s="25" t="n">
        <f aca="false">-MIN(H71,$C$74*Assumptions!$B$60)</f>
        <v>-0.2025</v>
      </c>
      <c r="I72" s="25" t="n">
        <f aca="false">-MIN(I71,$C$74*Assumptions!$B$60)</f>
        <v>-0</v>
      </c>
      <c r="J72" s="25" t="n">
        <f aca="false">-MIN(J71,$C$74*Assumptions!$B$60)</f>
        <v>-0</v>
      </c>
      <c r="K72" s="25" t="n">
        <f aca="false">-MIN(K71,$C$74*Assumptions!$B$60)</f>
        <v>-0</v>
      </c>
      <c r="L72" s="25" t="n">
        <f aca="false">-MIN(L71,$C$74*Assumptions!$B$60)</f>
        <v>-0</v>
      </c>
      <c r="M72" s="25" t="n">
        <f aca="false">-MIN(M71,$C$74*Assumptions!$B$60)</f>
        <v>-0</v>
      </c>
    </row>
    <row r="73" customFormat="false" ht="15" hidden="false" customHeight="true" outlineLevel="0" collapsed="false">
      <c r="A73" s="4" t="s">
        <v>406</v>
      </c>
      <c r="D73" s="25" t="n">
        <f aca="false">D67</f>
        <v>-0</v>
      </c>
      <c r="E73" s="25" t="n">
        <f aca="false">E67</f>
        <v>-0</v>
      </c>
      <c r="F73" s="25" t="n">
        <f aca="false">F67</f>
        <v>-0</v>
      </c>
      <c r="G73" s="25" t="n">
        <f aca="false">G67</f>
        <v>-0.791353975498387</v>
      </c>
      <c r="H73" s="25" t="n">
        <f aca="false">H67</f>
        <v>-2.24614602450161</v>
      </c>
      <c r="I73" s="25" t="n">
        <f aca="false">I67</f>
        <v>-0</v>
      </c>
      <c r="J73" s="25" t="n">
        <f aca="false">J67</f>
        <v>-0</v>
      </c>
      <c r="K73" s="25" t="n">
        <f aca="false">K67</f>
        <v>-0</v>
      </c>
      <c r="L73" s="25" t="n">
        <f aca="false">L67</f>
        <v>-0</v>
      </c>
      <c r="M73" s="25" t="n">
        <f aca="false">M67</f>
        <v>-0</v>
      </c>
    </row>
    <row r="74" customFormat="false" ht="15" hidden="false" customHeight="true" outlineLevel="0" collapsed="false">
      <c r="A74" s="31" t="s">
        <v>407</v>
      </c>
      <c r="C74" s="27" t="n">
        <f aca="false">'Sources &amp; Uses'!$C$18</f>
        <v>4.05</v>
      </c>
      <c r="D74" s="27" t="n">
        <f aca="false">D71+D72+D73</f>
        <v>3.8475</v>
      </c>
      <c r="E74" s="27" t="n">
        <f aca="false">E71+E72+E73</f>
        <v>3.645</v>
      </c>
      <c r="F74" s="27" t="n">
        <f aca="false">F71+F72+F73</f>
        <v>3.4425</v>
      </c>
      <c r="G74" s="27" t="n">
        <f aca="false">G71+G72+G73</f>
        <v>2.44864602450161</v>
      </c>
      <c r="H74" s="27" t="n">
        <f aca="false">H71+H72+H73</f>
        <v>0</v>
      </c>
      <c r="I74" s="27" t="n">
        <f aca="false">I71+I72+I73</f>
        <v>0</v>
      </c>
      <c r="J74" s="27" t="n">
        <f aca="false">J71+J72+J73</f>
        <v>0</v>
      </c>
      <c r="K74" s="27" t="n">
        <f aca="false">K71+K72+K73</f>
        <v>0</v>
      </c>
      <c r="L74" s="27" t="n">
        <f aca="false">L71+L72+L73</f>
        <v>0</v>
      </c>
      <c r="M74" s="27" t="n">
        <f aca="false">M71+M72+M73</f>
        <v>0</v>
      </c>
    </row>
    <row r="75" customFormat="false" ht="15" hidden="false" customHeight="true" outlineLevel="0" collapsed="false">
      <c r="A75" s="4" t="s">
        <v>408</v>
      </c>
      <c r="D75" s="25" t="n">
        <f aca="false">C78</f>
        <v>0</v>
      </c>
      <c r="E75" s="25" t="n">
        <f aca="false">D78</f>
        <v>1.45775</v>
      </c>
      <c r="F75" s="25" t="n">
        <f aca="false">E78</f>
        <v>3.6589525</v>
      </c>
      <c r="G75" s="25" t="n">
        <f aca="false">F78</f>
        <v>5.841058475</v>
      </c>
      <c r="H75" s="25" t="n">
        <f aca="false">G78</f>
        <v>8.00866129525</v>
      </c>
      <c r="I75" s="25" t="n">
        <f aca="false">H78</f>
        <v>10.1662702042475</v>
      </c>
      <c r="J75" s="25" t="n">
        <f aca="false">I78</f>
        <v>11.4315324625087</v>
      </c>
      <c r="K75" s="25" t="n">
        <f aca="false">J78</f>
        <v>12.7044746385958</v>
      </c>
      <c r="L75" s="25" t="n">
        <f aca="false">K78</f>
        <v>13.9875504578471</v>
      </c>
      <c r="M75" s="25" t="n">
        <f aca="false">L78</f>
        <v>14.2856887015689</v>
      </c>
    </row>
    <row r="76" customFormat="false" ht="15" hidden="false" customHeight="true" outlineLevel="0" collapsed="false">
      <c r="A76" s="4" t="s">
        <v>409</v>
      </c>
      <c r="D76" s="25" t="n">
        <f aca="false">D17</f>
        <v>1.45775</v>
      </c>
      <c r="E76" s="25" t="n">
        <f aca="false">E17</f>
        <v>2.27409</v>
      </c>
      <c r="F76" s="25" t="n">
        <f aca="false">F17</f>
        <v>2.3650536</v>
      </c>
      <c r="G76" s="25" t="n">
        <f aca="false">G17</f>
        <v>2.459655744</v>
      </c>
      <c r="H76" s="25" t="n">
        <f aca="false">H17</f>
        <v>2.55804197376</v>
      </c>
      <c r="I76" s="25" t="n">
        <f aca="false">I17</f>
        <v>1.7735757684736</v>
      </c>
      <c r="J76" s="25" t="n">
        <f aca="false">J17</f>
        <v>1.84451879921254</v>
      </c>
      <c r="K76" s="25" t="n">
        <f aca="false">K17</f>
        <v>1.91829955118105</v>
      </c>
      <c r="L76" s="25" t="n">
        <f aca="false">L17</f>
        <v>0.997515766614144</v>
      </c>
      <c r="M76" s="25" t="n">
        <f aca="false">M17</f>
        <v>0</v>
      </c>
    </row>
    <row r="77" customFormat="false" ht="15" hidden="false" customHeight="true" outlineLevel="0" collapsed="false">
      <c r="A77" s="4" t="s">
        <v>410</v>
      </c>
      <c r="D77" s="25" t="n">
        <f aca="false">-D75*Assumptions!$B$65</f>
        <v>-0</v>
      </c>
      <c r="E77" s="25" t="n">
        <f aca="false">-E75*Assumptions!$B$65</f>
        <v>-0.0728875</v>
      </c>
      <c r="F77" s="25" t="n">
        <f aca="false">-F75*Assumptions!$B$65</f>
        <v>-0.182947625</v>
      </c>
      <c r="G77" s="25" t="n">
        <f aca="false">-G75*Assumptions!$B$65</f>
        <v>-0.29205292375</v>
      </c>
      <c r="H77" s="25" t="n">
        <f aca="false">-H75*Assumptions!$B$65</f>
        <v>-0.4004330647625</v>
      </c>
      <c r="I77" s="25" t="n">
        <f aca="false">-I75*Assumptions!$B$65</f>
        <v>-0.508313510212375</v>
      </c>
      <c r="J77" s="25" t="n">
        <f aca="false">-J75*Assumptions!$B$65</f>
        <v>-0.571576623125436</v>
      </c>
      <c r="K77" s="25" t="n">
        <f aca="false">-K75*Assumptions!$B$65</f>
        <v>-0.635223731929792</v>
      </c>
      <c r="L77" s="25" t="n">
        <f aca="false">-L75*Assumptions!$B$65</f>
        <v>-0.699377522892354</v>
      </c>
      <c r="M77" s="25" t="n">
        <f aca="false">-M75*Assumptions!$B$65</f>
        <v>-0.714284435078444</v>
      </c>
    </row>
    <row r="78" customFormat="false" ht="15" hidden="false" customHeight="true" outlineLevel="0" collapsed="false">
      <c r="A78" s="31" t="s">
        <v>411</v>
      </c>
      <c r="C78" s="27" t="n">
        <v>0</v>
      </c>
      <c r="D78" s="27" t="n">
        <f aca="false">D75+D76+D77</f>
        <v>1.45775</v>
      </c>
      <c r="E78" s="27" t="n">
        <f aca="false">E75+E76+E77</f>
        <v>3.6589525</v>
      </c>
      <c r="F78" s="27" t="n">
        <f aca="false">F75+F76+F77</f>
        <v>5.841058475</v>
      </c>
      <c r="G78" s="27" t="n">
        <f aca="false">G75+G76+G77</f>
        <v>8.00866129525</v>
      </c>
      <c r="H78" s="27" t="n">
        <f aca="false">H75+H76+H77</f>
        <v>10.1662702042475</v>
      </c>
      <c r="I78" s="27" t="n">
        <f aca="false">I75+I76+I77</f>
        <v>11.4315324625087</v>
      </c>
      <c r="J78" s="27" t="n">
        <f aca="false">J75+J76+J77</f>
        <v>12.7044746385958</v>
      </c>
      <c r="K78" s="27" t="n">
        <f aca="false">K75+K76+K77</f>
        <v>13.9875504578471</v>
      </c>
      <c r="L78" s="27" t="n">
        <f aca="false">L75+L76+L77</f>
        <v>14.2856887015689</v>
      </c>
      <c r="M78" s="27" t="n">
        <f aca="false">M75+M76+M77</f>
        <v>13.5714042664904</v>
      </c>
    </row>
    <row r="79" customFormat="false" ht="15" hidden="false" customHeight="true" outlineLevel="0" collapsed="false">
      <c r="A79" s="4" t="s">
        <v>412</v>
      </c>
      <c r="D79" s="25" t="n">
        <f aca="false">C82</f>
        <v>0.945</v>
      </c>
      <c r="E79" s="25" t="n">
        <f aca="false">D82</f>
        <v>1.3335</v>
      </c>
      <c r="F79" s="25" t="n">
        <f aca="false">E82</f>
        <v>1.9156725</v>
      </c>
      <c r="G79" s="25" t="n">
        <f aca="false">F82</f>
        <v>2.2931769</v>
      </c>
      <c r="H79" s="25" t="n">
        <f aca="false">G82</f>
        <v>2.457826476</v>
      </c>
      <c r="I79" s="25" t="n">
        <f aca="false">H82</f>
        <v>2.63735703504</v>
      </c>
      <c r="J79" s="25" t="n">
        <f aca="false">I82</f>
        <v>2.3627993660544</v>
      </c>
      <c r="K79" s="25" t="n">
        <f aca="false">J82</f>
        <v>2.17227237790618</v>
      </c>
      <c r="L79" s="25" t="n">
        <f aca="false">K82</f>
        <v>2.06913729782882</v>
      </c>
      <c r="M79" s="25" t="n">
        <f aca="false">L82</f>
        <v>1.62938304502483</v>
      </c>
    </row>
    <row r="80" customFormat="false" ht="15" hidden="false" customHeight="true" outlineLevel="0" collapsed="false">
      <c r="A80" s="4" t="s">
        <v>413</v>
      </c>
      <c r="C80" s="25" t="n">
        <f aca="false">'Sources &amp; Uses'!$C$19</f>
        <v>0.945</v>
      </c>
      <c r="D80" s="25" t="n">
        <f aca="false">D18</f>
        <v>0.62475</v>
      </c>
      <c r="E80" s="25" t="n">
        <f aca="false">E18</f>
        <v>0.97461</v>
      </c>
      <c r="F80" s="25" t="n">
        <f aca="false">F18</f>
        <v>1.0135944</v>
      </c>
      <c r="G80" s="25" t="n">
        <f aca="false">G18</f>
        <v>1.054138176</v>
      </c>
      <c r="H80" s="25" t="n">
        <f aca="false">H18</f>
        <v>1.09630370304</v>
      </c>
      <c r="I80" s="25" t="n">
        <f aca="false">I18</f>
        <v>0.7601039007744</v>
      </c>
      <c r="J80" s="25" t="n">
        <f aca="false">J18</f>
        <v>0.790508056805376</v>
      </c>
      <c r="K80" s="25" t="n">
        <f aca="false">K18</f>
        <v>0.822128379077591</v>
      </c>
      <c r="L80" s="25" t="n">
        <f aca="false">L18</f>
        <v>0.427506757120347</v>
      </c>
      <c r="M80" s="25" t="n">
        <f aca="false">M18</f>
        <v>0</v>
      </c>
    </row>
    <row r="81" customFormat="false" ht="15" hidden="false" customHeight="true" outlineLevel="0" collapsed="false">
      <c r="A81" s="4" t="s">
        <v>414</v>
      </c>
      <c r="D81" s="25" t="n">
        <f aca="false">-MIN(D79,SUMPRODUCT(($C$6:$M$6&lt;D6)*($C$6:$M$6&gt;=D6-Assumptions!$B$68)*($C$80:$M$80))/Assumptions!$B$68)</f>
        <v>-0.23625</v>
      </c>
      <c r="E81" s="25" t="n">
        <f aca="false">-MIN(E79,SUMPRODUCT(($C$6:$M$6&lt;E6)*($C$6:$M$6&gt;=E6-Assumptions!$B$68)*($C$80:$M$80))/Assumptions!$B$68)</f>
        <v>-0.3924375</v>
      </c>
      <c r="F81" s="25" t="n">
        <f aca="false">-MIN(F79,SUMPRODUCT(($C$6:$M$6&lt;F6)*($C$6:$M$6&gt;=F6-Assumptions!$B$68)*($C$80:$M$80))/Assumptions!$B$68)</f>
        <v>-0.63609</v>
      </c>
      <c r="G81" s="25" t="n">
        <f aca="false">-MIN(G79,SUMPRODUCT(($C$6:$M$6&lt;G6)*($C$6:$M$6&gt;=G6-Assumptions!$B$68)*($C$80:$M$80))/Assumptions!$B$68)</f>
        <v>-0.8894886</v>
      </c>
      <c r="H81" s="25" t="n">
        <f aca="false">-MIN(H79,SUMPRODUCT(($C$6:$M$6&lt;H6)*($C$6:$M$6&gt;=H6-Assumptions!$B$68)*($C$80:$M$80))/Assumptions!$B$68)</f>
        <v>-0.916773144</v>
      </c>
      <c r="I81" s="25" t="n">
        <f aca="false">-MIN(I79,SUMPRODUCT(($C$6:$M$6&lt;I6)*($C$6:$M$6&gt;=I6-Assumptions!$B$68)*($C$80:$M$80))/Assumptions!$B$68)</f>
        <v>-1.03466156976</v>
      </c>
      <c r="J81" s="25" t="n">
        <f aca="false">-MIN(J79,SUMPRODUCT(($C$6:$M$6&lt;J6)*($C$6:$M$6&gt;=J6-Assumptions!$B$68)*($C$80:$M$80))/Assumptions!$B$68)</f>
        <v>-0.9810350449536</v>
      </c>
      <c r="K81" s="25" t="n">
        <f aca="false">-MIN(K79,SUMPRODUCT(($C$6:$M$6&lt;K6)*($C$6:$M$6&gt;=K6-Assumptions!$B$68)*($C$80:$M$80))/Assumptions!$B$68)</f>
        <v>-0.925263459154944</v>
      </c>
      <c r="L81" s="25" t="n">
        <f aca="false">-MIN(L79,SUMPRODUCT(($C$6:$M$6&lt;L6)*($C$6:$M$6&gt;=L6-Assumptions!$B$68)*($C$80:$M$80))/Assumptions!$B$68)</f>
        <v>-0.867261009924342</v>
      </c>
      <c r="M81" s="25" t="n">
        <f aca="false">-MIN(M79,SUMPRODUCT(($C$6:$M$6&lt;M6)*($C$6:$M$6&gt;=M6-Assumptions!$B$68)*($C$80:$M$80))/Assumptions!$B$68)</f>
        <v>-0.700061773444429</v>
      </c>
    </row>
    <row r="82" customFormat="false" ht="15" hidden="false" customHeight="true" outlineLevel="0" collapsed="false">
      <c r="A82" s="31" t="s">
        <v>415</v>
      </c>
      <c r="C82" s="27" t="n">
        <f aca="false">C80</f>
        <v>0.945</v>
      </c>
      <c r="D82" s="27" t="n">
        <f aca="false">D79+D81+D80</f>
        <v>1.3335</v>
      </c>
      <c r="E82" s="27" t="n">
        <f aca="false">E79+E81+E80</f>
        <v>1.9156725</v>
      </c>
      <c r="F82" s="27" t="n">
        <f aca="false">F79+F81+F80</f>
        <v>2.2931769</v>
      </c>
      <c r="G82" s="27" t="n">
        <f aca="false">G79+G81+G80</f>
        <v>2.457826476</v>
      </c>
      <c r="H82" s="27" t="n">
        <f aca="false">H79+H81+H80</f>
        <v>2.63735703504</v>
      </c>
      <c r="I82" s="27" t="n">
        <f aca="false">I79+I81+I80</f>
        <v>2.3627993660544</v>
      </c>
      <c r="J82" s="27" t="n">
        <f aca="false">J79+J81+J80</f>
        <v>2.17227237790618</v>
      </c>
      <c r="K82" s="27" t="n">
        <f aca="false">K79+K81+K80</f>
        <v>2.06913729782882</v>
      </c>
      <c r="L82" s="27" t="n">
        <f aca="false">L79+L81+L80</f>
        <v>1.62938304502483</v>
      </c>
      <c r="M82" s="27" t="n">
        <f aca="false">M79+M81+M80</f>
        <v>0.929321271580401</v>
      </c>
    </row>
    <row r="83" customFormat="false" ht="15" hidden="false" customHeight="true" outlineLevel="0" collapsed="false">
      <c r="A83" s="31" t="s">
        <v>416</v>
      </c>
      <c r="C83" s="27" t="n">
        <v>0</v>
      </c>
      <c r="D83" s="27" t="n">
        <f aca="false">C83+D64+D66</f>
        <v>0</v>
      </c>
      <c r="E83" s="27" t="n">
        <f aca="false">D83+E64+E66</f>
        <v>0</v>
      </c>
      <c r="F83" s="27" t="n">
        <f aca="false">E83+F64+F66</f>
        <v>0</v>
      </c>
      <c r="G83" s="27" t="n">
        <f aca="false">F83+G64+G66</f>
        <v>0</v>
      </c>
      <c r="H83" s="27" t="n">
        <f aca="false">G83+H64+H66</f>
        <v>0</v>
      </c>
      <c r="I83" s="27" t="n">
        <f aca="false">H83+I64+I66</f>
        <v>0</v>
      </c>
      <c r="J83" s="27" t="n">
        <f aca="false">I83+J64+J66</f>
        <v>0</v>
      </c>
      <c r="K83" s="27" t="n">
        <f aca="false">J83+K64+K66</f>
        <v>0</v>
      </c>
      <c r="L83" s="27" t="n">
        <f aca="false">K83+L64+L66</f>
        <v>0</v>
      </c>
      <c r="M83" s="27" t="n">
        <f aca="false">L83+M64+M66</f>
        <v>0</v>
      </c>
    </row>
    <row r="84" customFormat="false" ht="15" hidden="false" customHeight="true" outlineLevel="0" collapsed="false">
      <c r="A84" s="47" t="s">
        <v>417</v>
      </c>
      <c r="C84" s="42" t="n">
        <f aca="false">C74+C78+C82+C83</f>
        <v>4.995</v>
      </c>
      <c r="D84" s="42" t="n">
        <f aca="false">D74+D78+D82+D83</f>
        <v>6.63875</v>
      </c>
      <c r="E84" s="42" t="n">
        <f aca="false">E74+E78+E82+E83</f>
        <v>9.219625</v>
      </c>
      <c r="F84" s="42" t="n">
        <f aca="false">F74+F78+F82+F83</f>
        <v>11.576735375</v>
      </c>
      <c r="G84" s="42" t="n">
        <f aca="false">G74+G78+G82+G83</f>
        <v>12.9151337957516</v>
      </c>
      <c r="H84" s="42" t="n">
        <f aca="false">H74+H78+H82+H83</f>
        <v>12.8036272392875</v>
      </c>
      <c r="I84" s="42" t="n">
        <f aca="false">I74+I78+I82+I83</f>
        <v>13.7943318285631</v>
      </c>
      <c r="J84" s="42" t="n">
        <f aca="false">J74+J78+J82+J83</f>
        <v>14.876747016502</v>
      </c>
      <c r="K84" s="42" t="n">
        <f aca="false">K74+K78+K82+K83</f>
        <v>16.0566877556759</v>
      </c>
      <c r="L84" s="42" t="n">
        <f aca="false">L74+L78+L82+L83</f>
        <v>15.9150717465937</v>
      </c>
      <c r="M84" s="42" t="n">
        <f aca="false">M74+M78+M82+M83</f>
        <v>14.5007255380708</v>
      </c>
    </row>
    <row r="85" customFormat="false" ht="15" hidden="false" customHeight="true" outlineLevel="0" collapsed="false">
      <c r="A85" s="4" t="s">
        <v>418</v>
      </c>
      <c r="C85" s="25" t="n">
        <f aca="false">C84-C69</f>
        <v>4.495</v>
      </c>
      <c r="D85" s="25" t="n">
        <f aca="false">D84-D69</f>
        <v>6.13875</v>
      </c>
      <c r="E85" s="25" t="n">
        <f aca="false">E84-E69</f>
        <v>8.719625</v>
      </c>
      <c r="F85" s="25" t="n">
        <f aca="false">F84-F69</f>
        <v>11.076735375</v>
      </c>
      <c r="G85" s="25" t="n">
        <f aca="false">G84-G69</f>
        <v>11.6237798202532</v>
      </c>
      <c r="H85" s="25" t="n">
        <f aca="false">H84-H69</f>
        <v>12.3036272392875</v>
      </c>
      <c r="I85" s="25" t="n">
        <f aca="false">I84-I69</f>
        <v>13.2943318285631</v>
      </c>
      <c r="J85" s="25" t="n">
        <f aca="false">J84-J69</f>
        <v>14.376747016502</v>
      </c>
      <c r="K85" s="25" t="n">
        <f aca="false">K84-K69</f>
        <v>15.5566877556759</v>
      </c>
      <c r="L85" s="25" t="n">
        <f aca="false">L84-L69</f>
        <v>15.4150717465937</v>
      </c>
      <c r="M85" s="25" t="n">
        <f aca="false">M84-M69</f>
        <v>14.0007255380708</v>
      </c>
    </row>
    <row r="86" customFormat="false" ht="15" hidden="false" customHeight="true" outlineLevel="0" collapsed="false">
      <c r="A86" s="4" t="s">
        <v>419</v>
      </c>
      <c r="C86" s="45" t="n">
        <f aca="false">IF(C41&lt;=0,0,C84/C41)</f>
        <v>2.775</v>
      </c>
      <c r="D86" s="45" t="n">
        <f aca="false">IF(D41&lt;=0,0,D84/D41)</f>
        <v>3.32800701820346</v>
      </c>
      <c r="E86" s="45" t="n">
        <f aca="false">IF(E41&lt;=0,0,E84/E41)</f>
        <v>2.25357377520385</v>
      </c>
      <c r="F86" s="45" t="n">
        <f aca="false">IF(F41&lt;=0,0,F84/F41)</f>
        <v>1.60043778225249</v>
      </c>
      <c r="G86" s="45" t="n">
        <f aca="false">IF(G41&lt;=0,0,G84/G41)</f>
        <v>1.13012100341206</v>
      </c>
      <c r="H86" s="45" t="n">
        <f aca="false">IF(H41&lt;=0,0,H84/H41)</f>
        <v>0.836750203647591</v>
      </c>
      <c r="I86" s="45" t="n">
        <f aca="false">IF(I41&lt;=0,0,I84/I41)</f>
        <v>0.737557442923611</v>
      </c>
      <c r="J86" s="45" t="n">
        <f aca="false">IF(J41&lt;=0,0,J84/J41)</f>
        <v>0.671718715606494</v>
      </c>
      <c r="K86" s="45" t="n">
        <f aca="false">IF(K41&lt;=0,0,K84/K41)</f>
        <v>0.622744424287851</v>
      </c>
      <c r="L86" s="45" t="n">
        <f aca="false">IF(L41&lt;=0,0,L84/L41)</f>
        <v>0.552179952813051</v>
      </c>
      <c r="M86" s="45" t="n">
        <f aca="false">IF(M41&lt;=0,0,M84/M41)</f>
        <v>0.467634196098272</v>
      </c>
    </row>
    <row r="87" customFormat="false" ht="15" hidden="false" customHeight="true" outlineLevel="0" collapsed="false">
      <c r="A87" s="4" t="s">
        <v>420</v>
      </c>
      <c r="C87" s="19" t="n">
        <f aca="false">IF(C86&lt;=Assumptions!$B$69,1,0)</f>
        <v>1</v>
      </c>
      <c r="D87" s="19" t="n">
        <f aca="false">IF(D86&lt;=Assumptions!$B$69,1,0)</f>
        <v>1</v>
      </c>
      <c r="E87" s="19" t="n">
        <f aca="false">IF(E86&lt;=Assumptions!$B$69,1,0)</f>
        <v>1</v>
      </c>
      <c r="F87" s="19" t="n">
        <f aca="false">IF(F86&lt;=Assumptions!$B$69,1,0)</f>
        <v>1</v>
      </c>
      <c r="G87" s="19" t="n">
        <f aca="false">IF(G86&lt;=Assumptions!$B$69,1,0)</f>
        <v>1</v>
      </c>
      <c r="H87" s="19" t="n">
        <f aca="false">IF(H86&lt;=Assumptions!$B$69,1,0)</f>
        <v>1</v>
      </c>
      <c r="I87" s="19" t="n">
        <f aca="false">IF(I86&lt;=Assumptions!$B$69,1,0)</f>
        <v>1</v>
      </c>
      <c r="J87" s="19" t="n">
        <f aca="false">IF(J86&lt;=Assumptions!$B$69,1,0)</f>
        <v>1</v>
      </c>
      <c r="K87" s="19" t="n">
        <f aca="false">IF(K86&lt;=Assumptions!$B$69,1,0)</f>
        <v>1</v>
      </c>
      <c r="L87" s="19" t="n">
        <f aca="false">IF(L86&lt;=Assumptions!$B$69,1,0)</f>
        <v>1</v>
      </c>
      <c r="M87" s="19" t="n">
        <f aca="false">IF(M86&lt;=Assumptions!$B$69,1,0)</f>
        <v>1</v>
      </c>
    </row>
    <row r="88" customFormat="false" ht="15" hidden="false" customHeight="true" outlineLevel="0" collapsed="false">
      <c r="A88" s="4" t="s">
        <v>421</v>
      </c>
      <c r="C88" s="25" t="n">
        <f aca="false">'Sources &amp; Uses'!$C$21</f>
        <v>0.945</v>
      </c>
      <c r="D88" s="25" t="n">
        <f aca="false">D20</f>
        <v>0.4165</v>
      </c>
      <c r="E88" s="25" t="n">
        <f aca="false">E20</f>
        <v>0.64974</v>
      </c>
      <c r="F88" s="25" t="n">
        <f aca="false">F20</f>
        <v>0.6757296</v>
      </c>
      <c r="G88" s="25" t="n">
        <f aca="false">G20</f>
        <v>0.702758784</v>
      </c>
      <c r="H88" s="25" t="n">
        <f aca="false">H20</f>
        <v>0.73086913536</v>
      </c>
      <c r="I88" s="25" t="n">
        <f aca="false">I20</f>
        <v>0.5067359338496</v>
      </c>
      <c r="J88" s="25" t="n">
        <f aca="false">J20</f>
        <v>0.527005371203584</v>
      </c>
      <c r="K88" s="25" t="n">
        <f aca="false">K20</f>
        <v>0.548085586051728</v>
      </c>
      <c r="L88" s="25" t="n">
        <f aca="false">L20</f>
        <v>0.285004504746898</v>
      </c>
      <c r="M88" s="25" t="n">
        <f aca="false">M20</f>
        <v>0</v>
      </c>
    </row>
    <row r="89" customFormat="false" ht="15" hidden="false" customHeight="true" outlineLevel="0" collapsed="false">
      <c r="A89" s="4" t="s">
        <v>422</v>
      </c>
      <c r="D89" s="25" t="n">
        <f aca="false">-D71*(Assumptions!$B$19+Assumptions!$B$59)</f>
        <v>-0.3645</v>
      </c>
      <c r="E89" s="25" t="n">
        <f aca="false">-E71*(Assumptions!$B$19+Assumptions!$B$59)</f>
        <v>-0.346275</v>
      </c>
      <c r="F89" s="25" t="n">
        <f aca="false">-F71*(Assumptions!$B$19+Assumptions!$B$59)</f>
        <v>-0.32805</v>
      </c>
      <c r="G89" s="25" t="n">
        <f aca="false">-G71*(Assumptions!$B$19+Assumptions!$B$59)</f>
        <v>-0.309825</v>
      </c>
      <c r="H89" s="25" t="n">
        <f aca="false">-H71*(Assumptions!$B$19+Assumptions!$B$59)</f>
        <v>-0.220378142205145</v>
      </c>
      <c r="I89" s="25" t="n">
        <f aca="false">-I71*(Assumptions!$B$19+Assumptions!$B$59)</f>
        <v>-0</v>
      </c>
      <c r="J89" s="25" t="n">
        <f aca="false">-J71*(Assumptions!$B$19+Assumptions!$B$59)</f>
        <v>-0</v>
      </c>
      <c r="K89" s="25" t="n">
        <f aca="false">-K71*(Assumptions!$B$19+Assumptions!$B$59)</f>
        <v>-0</v>
      </c>
      <c r="L89" s="25" t="n">
        <f aca="false">-L71*(Assumptions!$B$19+Assumptions!$B$59)</f>
        <v>-0</v>
      </c>
      <c r="M89" s="25" t="n">
        <f aca="false">-M71*(Assumptions!$B$19+Assumptions!$B$59)</f>
        <v>-0</v>
      </c>
    </row>
    <row r="90" customFormat="false" ht="15" hidden="false" customHeight="true" outlineLevel="0" collapsed="false">
      <c r="A90" s="4" t="s">
        <v>423</v>
      </c>
      <c r="D90" s="25" t="n">
        <f aca="false">-(D75+D76*Assumptions!$B$42)*(Assumptions!$B$19+Assumptions!$B$64)</f>
        <v>-0.0674209375</v>
      </c>
      <c r="E90" s="25" t="n">
        <f aca="false">-(E75+E76*Assumptions!$B$42)*(Assumptions!$B$19+Assumptions!$B$64)</f>
        <v>-0.2400185375</v>
      </c>
      <c r="F90" s="25" t="n">
        <f aca="false">-(F75+F76*Assumptions!$B$42)*(Assumptions!$B$19+Assumptions!$B$64)</f>
        <v>-0.44783683525</v>
      </c>
      <c r="G90" s="25" t="n">
        <f aca="false">-(G75+G76*Assumptions!$B$42)*(Assumptions!$B$19+Assumptions!$B$64)</f>
        <v>-0.6540569870975</v>
      </c>
      <c r="H90" s="25" t="n">
        <f aca="false">-(H75+H76*Assumptions!$B$42)*(Assumptions!$B$19+Assumptions!$B$64)</f>
        <v>-0.859110611097025</v>
      </c>
      <c r="I90" s="25" t="n">
        <f aca="false">-(I75+I76*Assumptions!$B$42)*(Assumptions!$B$19+Assumptions!$B$64)</f>
        <v>-1.0224078731848</v>
      </c>
      <c r="J90" s="25" t="n">
        <f aca="false">-(J75+J76*Assumptions!$B$42)*(Assumptions!$B$19+Assumptions!$B$64)</f>
        <v>-1.14272574724564</v>
      </c>
      <c r="K90" s="25" t="n">
        <f aca="false">-(K75+K76*Assumptions!$B$42)*(Assumptions!$B$19+Assumptions!$B$64)</f>
        <v>-1.26388525831224</v>
      </c>
      <c r="L90" s="25" t="n">
        <f aca="false">-(L75+L76*Assumptions!$B$42)*(Assumptions!$B$19+Assumptions!$B$64)</f>
        <v>-1.33998352155676</v>
      </c>
      <c r="M90" s="25" t="n">
        <f aca="false">-(M75+M76*Assumptions!$B$42)*(Assumptions!$B$19+Assumptions!$B$64)</f>
        <v>-1.32142620489512</v>
      </c>
    </row>
    <row r="91" customFormat="false" ht="15" hidden="false" customHeight="true" outlineLevel="0" collapsed="false">
      <c r="A91" s="4" t="s">
        <v>424</v>
      </c>
      <c r="D91" s="25" t="n">
        <f aca="false">-D79*Assumptions!$B$67</f>
        <v>-0.06615</v>
      </c>
      <c r="E91" s="25" t="n">
        <f aca="false">-E79*Assumptions!$B$67</f>
        <v>-0.093345</v>
      </c>
      <c r="F91" s="25" t="n">
        <f aca="false">-F79*Assumptions!$B$67</f>
        <v>-0.134097075</v>
      </c>
      <c r="G91" s="25" t="n">
        <f aca="false">-G79*Assumptions!$B$67</f>
        <v>-0.160522383</v>
      </c>
      <c r="H91" s="25" t="n">
        <f aca="false">-H79*Assumptions!$B$67</f>
        <v>-0.17204785332</v>
      </c>
      <c r="I91" s="25" t="n">
        <f aca="false">-I79*Assumptions!$B$67</f>
        <v>-0.1846149924528</v>
      </c>
      <c r="J91" s="25" t="n">
        <f aca="false">-J79*Assumptions!$B$67</f>
        <v>-0.165395955623808</v>
      </c>
      <c r="K91" s="25" t="n">
        <f aca="false">-K79*Assumptions!$B$67</f>
        <v>-0.152059066453432</v>
      </c>
      <c r="L91" s="25" t="n">
        <f aca="false">-L79*Assumptions!$B$67</f>
        <v>-0.144839610848018</v>
      </c>
      <c r="M91" s="25" t="n">
        <f aca="false">-M79*Assumptions!$B$67</f>
        <v>-0.114056813151738</v>
      </c>
    </row>
    <row r="92" customFormat="false" ht="15" hidden="false" customHeight="true" outlineLevel="0" collapsed="false">
      <c r="A92" s="4" t="s">
        <v>425</v>
      </c>
      <c r="D92" s="25" t="n">
        <f aca="false">-C83*(Assumptions!$B$19+Assumptions!$B$66)</f>
        <v>-0</v>
      </c>
      <c r="E92" s="25" t="n">
        <f aca="false">-D83*(Assumptions!$B$19+Assumptions!$B$66)</f>
        <v>-0</v>
      </c>
      <c r="F92" s="25" t="n">
        <f aca="false">-E83*(Assumptions!$B$19+Assumptions!$B$66)</f>
        <v>-0</v>
      </c>
      <c r="G92" s="25" t="n">
        <f aca="false">-F83*(Assumptions!$B$19+Assumptions!$B$66)</f>
        <v>-0</v>
      </c>
      <c r="H92" s="25" t="n">
        <f aca="false">-G83*(Assumptions!$B$19+Assumptions!$B$66)</f>
        <v>-0</v>
      </c>
      <c r="I92" s="25" t="n">
        <f aca="false">-H83*(Assumptions!$B$19+Assumptions!$B$66)</f>
        <v>-0</v>
      </c>
      <c r="J92" s="25" t="n">
        <f aca="false">-I83*(Assumptions!$B$19+Assumptions!$B$66)</f>
        <v>-0</v>
      </c>
      <c r="K92" s="25" t="n">
        <f aca="false">-J83*(Assumptions!$B$19+Assumptions!$B$66)</f>
        <v>-0</v>
      </c>
      <c r="L92" s="25" t="n">
        <f aca="false">-K83*(Assumptions!$B$19+Assumptions!$B$66)</f>
        <v>-0</v>
      </c>
      <c r="M92" s="25" t="n">
        <f aca="false">-L83*(Assumptions!$B$19+Assumptions!$B$66)</f>
        <v>-0</v>
      </c>
    </row>
    <row r="93" customFormat="false" ht="15" hidden="false" customHeight="true" outlineLevel="0" collapsed="false">
      <c r="A93" s="7" t="s">
        <v>426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customFormat="false" ht="15" hidden="false" customHeight="true" outlineLevel="0" collapsed="false">
      <c r="A94" s="31" t="s">
        <v>427</v>
      </c>
      <c r="C94" s="27" t="n">
        <f aca="false">C63</f>
        <v>2.9705</v>
      </c>
      <c r="D94" s="27" t="n">
        <f aca="false">C94+D63</f>
        <v>4.562693828125</v>
      </c>
      <c r="E94" s="27" t="n">
        <f aca="false">D94+E63</f>
        <v>6.95065422066532</v>
      </c>
      <c r="F94" s="27" t="n">
        <f aca="false">E94+F63</f>
        <v>8.96574754445689</v>
      </c>
      <c r="G94" s="27" t="n">
        <f aca="false">F94+G63</f>
        <v>10.7226445044569</v>
      </c>
      <c r="H94" s="27" t="n">
        <f aca="false">G94+H63</f>
        <v>12.5498173428569</v>
      </c>
      <c r="I94" s="27" t="n">
        <f aca="false">H94+I63</f>
        <v>13.8166571774809</v>
      </c>
      <c r="J94" s="27" t="n">
        <f aca="false">I94+J63</f>
        <v>15</v>
      </c>
      <c r="K94" s="27" t="n">
        <f aca="false">J94+K63</f>
        <v>15</v>
      </c>
      <c r="L94" s="27" t="n">
        <f aca="false">K94+L63</f>
        <v>15</v>
      </c>
      <c r="M94" s="27" t="n">
        <f aca="false">L94+M63</f>
        <v>15</v>
      </c>
    </row>
    <row r="95" customFormat="false" ht="15" hidden="false" customHeight="true" outlineLevel="0" collapsed="false">
      <c r="A95" s="4" t="s">
        <v>428</v>
      </c>
      <c r="C95" s="19" t="n">
        <f aca="false">IF(C94&lt;=Assumptions!$B$23+0.0001,1,0)</f>
        <v>1</v>
      </c>
      <c r="D95" s="19" t="n">
        <f aca="false">IF(D94&lt;=Assumptions!$B$23+0.0001,1,0)</f>
        <v>1</v>
      </c>
      <c r="E95" s="19" t="n">
        <f aca="false">IF(E94&lt;=Assumptions!$B$23+0.0001,1,0)</f>
        <v>1</v>
      </c>
      <c r="F95" s="19" t="n">
        <f aca="false">IF(F94&lt;=Assumptions!$B$23+0.0001,1,0)</f>
        <v>1</v>
      </c>
      <c r="G95" s="19" t="n">
        <f aca="false">IF(G94&lt;=Assumptions!$B$23+0.0001,1,0)</f>
        <v>1</v>
      </c>
      <c r="H95" s="19" t="n">
        <f aca="false">IF(H94&lt;=Assumptions!$B$23+0.0001,1,0)</f>
        <v>1</v>
      </c>
      <c r="I95" s="19" t="n">
        <f aca="false">IF(I94&lt;=Assumptions!$B$23+0.0001,1,0)</f>
        <v>1</v>
      </c>
      <c r="J95" s="19" t="n">
        <f aca="false">IF(J94&lt;=Assumptions!$B$23+0.0001,1,0)</f>
        <v>1</v>
      </c>
      <c r="K95" s="19" t="n">
        <f aca="false">IF(K94&lt;=Assumptions!$B$23+0.0001,1,0)</f>
        <v>1</v>
      </c>
      <c r="L95" s="19" t="n">
        <f aca="false">IF(L94&lt;=Assumptions!$B$23+0.0001,1,0)</f>
        <v>1</v>
      </c>
      <c r="M95" s="19" t="n">
        <f aca="false">IF(M94&lt;=Assumptions!$B$23+0.0001,1,0)</f>
        <v>1</v>
      </c>
    </row>
    <row r="96" customFormat="false" ht="15" hidden="false" customHeight="true" outlineLevel="0" collapsed="false">
      <c r="A96" s="4" t="s">
        <v>429</v>
      </c>
      <c r="C96" s="25" t="n">
        <f aca="false">'Sources &amp; Uses'!$C$20</f>
        <v>1.4175</v>
      </c>
      <c r="D96" s="25" t="n">
        <f aca="false">D19</f>
        <v>0.20825</v>
      </c>
      <c r="E96" s="25" t="n">
        <f aca="false">E19</f>
        <v>0.32487</v>
      </c>
      <c r="F96" s="25" t="n">
        <f aca="false">F19</f>
        <v>0.3378648</v>
      </c>
      <c r="G96" s="25" t="n">
        <f aca="false">G19</f>
        <v>0.351379392</v>
      </c>
      <c r="H96" s="25" t="n">
        <f aca="false">H19</f>
        <v>0.36543456768</v>
      </c>
      <c r="I96" s="25" t="n">
        <f aca="false">I19</f>
        <v>0.2533679669248</v>
      </c>
      <c r="J96" s="25" t="n">
        <f aca="false">J19</f>
        <v>0.263502685601792</v>
      </c>
      <c r="K96" s="25" t="n">
        <f aca="false">K19</f>
        <v>0.274042793025864</v>
      </c>
      <c r="L96" s="25" t="n">
        <f aca="false">L19</f>
        <v>0.142502252373449</v>
      </c>
      <c r="M96" s="25" t="n">
        <f aca="false">M19</f>
        <v>0</v>
      </c>
    </row>
    <row r="97" customFormat="false" ht="15" hidden="false" customHeight="true" outlineLevel="0" collapsed="false">
      <c r="A97" s="4" t="s">
        <v>430</v>
      </c>
      <c r="C97" s="25" t="n">
        <f aca="false">C63+C96</f>
        <v>4.388</v>
      </c>
      <c r="D97" s="25" t="n">
        <f aca="false">C97+D63+D96</f>
        <v>6.188443828125</v>
      </c>
      <c r="E97" s="25" t="n">
        <f aca="false">D97+E63+E96</f>
        <v>8.90127422066532</v>
      </c>
      <c r="F97" s="25" t="n">
        <f aca="false">E97+F63+F96</f>
        <v>11.2542323444569</v>
      </c>
      <c r="G97" s="25" t="n">
        <f aca="false">F97+G63+G96</f>
        <v>13.3625086964569</v>
      </c>
      <c r="H97" s="25" t="n">
        <f aca="false">G97+H63+H96</f>
        <v>15.5551161025369</v>
      </c>
      <c r="I97" s="25" t="n">
        <f aca="false">H97+I63+I96</f>
        <v>17.0753239040857</v>
      </c>
      <c r="J97" s="25" t="n">
        <f aca="false">I97+J63+J96</f>
        <v>18.5221694122066</v>
      </c>
      <c r="K97" s="25" t="n">
        <f aca="false">J97+K63+K96</f>
        <v>18.7962122052325</v>
      </c>
      <c r="L97" s="25" t="n">
        <f aca="false">K97+L63+L96</f>
        <v>18.9387144576059</v>
      </c>
      <c r="M97" s="25" t="n">
        <f aca="false">L97+M63+M96</f>
        <v>18.9387144576059</v>
      </c>
    </row>
    <row r="98" customFormat="false" ht="15" hidden="false" customHeight="true" outlineLevel="0" collapsed="false">
      <c r="A98" s="4" t="s">
        <v>431</v>
      </c>
      <c r="C98" s="44" t="n">
        <v>1</v>
      </c>
      <c r="D98" s="44" t="n">
        <f aca="false">MAX($C$98,(C41*Assumptions!$B$72-C85)/C100)</f>
        <v>1.84708295350957</v>
      </c>
      <c r="E98" s="44" t="n">
        <f aca="false">MAX($C$98,(D41*Assumptions!$B$72-D85)/D100)</f>
        <v>1.45912782095537</v>
      </c>
      <c r="F98" s="44" t="n">
        <f aca="false">MAX($C$98,(E41*Assumptions!$B$72-E85)/E100)</f>
        <v>2.75799871410422</v>
      </c>
      <c r="G98" s="44" t="n">
        <f aca="false">MAX($C$98,(F41*Assumptions!$B$72-F85)/F100)</f>
        <v>4.89871481257785</v>
      </c>
      <c r="H98" s="44" t="n">
        <f aca="false">MAX($C$98,(G41*Assumptions!$B$72-G85)/G100)</f>
        <v>8.03869214143089</v>
      </c>
      <c r="I98" s="44" t="n">
        <f aca="false">MAX($C$98,(H41*Assumptions!$B$72-H85)/H100)</f>
        <v>10.8003120941967</v>
      </c>
      <c r="J98" s="44" t="n">
        <f aca="false">MAX($C$98,(I41*Assumptions!$B$72-I85)/I100)</f>
        <v>13.1881225186305</v>
      </c>
      <c r="K98" s="44" t="n">
        <f aca="false">MAX($C$98,(J41*Assumptions!$B$72-J85)/J100)</f>
        <v>15.5785772509556</v>
      </c>
      <c r="L98" s="44" t="n">
        <f aca="false">MAX($C$98,(K41*Assumptions!$B$72-K85)/K100)</f>
        <v>18.2317396940688</v>
      </c>
      <c r="M98" s="44" t="n">
        <f aca="false">MAX($C$98,(L41*Assumptions!$B$72-L85)/L100)</f>
        <v>20.5808002012283</v>
      </c>
    </row>
    <row r="99" customFormat="false" ht="15" hidden="false" customHeight="true" outlineLevel="0" collapsed="false">
      <c r="A99" s="4" t="s">
        <v>432</v>
      </c>
      <c r="C99" s="46" t="n">
        <f aca="false">C63/C98</f>
        <v>2.9705</v>
      </c>
      <c r="D99" s="46" t="n">
        <f aca="false">C99+D63/D98</f>
        <v>3.83250450559068</v>
      </c>
      <c r="E99" s="46" t="n">
        <f aca="false">D99+E63/E98</f>
        <v>5.46907147268258</v>
      </c>
      <c r="F99" s="46" t="n">
        <f aca="false">E99+F63/F98</f>
        <v>6.19970753624799</v>
      </c>
      <c r="G99" s="46" t="n">
        <f aca="false">F99+G63/G98</f>
        <v>6.55835200264742</v>
      </c>
      <c r="H99" s="46" t="n">
        <f aca="false">G99+H63/H98</f>
        <v>6.78564928014644</v>
      </c>
      <c r="I99" s="46" t="n">
        <f aca="false">H99+I63/I98</f>
        <v>6.9029458752425</v>
      </c>
      <c r="J99" s="46" t="n">
        <f aca="false">I99+J63/J98</f>
        <v>6.99267379677548</v>
      </c>
      <c r="K99" s="46" t="n">
        <f aca="false">J99+K63/K98</f>
        <v>6.99267379677548</v>
      </c>
      <c r="L99" s="46" t="n">
        <f aca="false">K99+L63/L98</f>
        <v>6.99267379677548</v>
      </c>
      <c r="M99" s="46" t="n">
        <f aca="false">L99+M63/M98</f>
        <v>6.99267379677548</v>
      </c>
    </row>
    <row r="100" customFormat="false" ht="15" hidden="false" customHeight="true" outlineLevel="0" collapsed="false">
      <c r="A100" s="4" t="s">
        <v>433</v>
      </c>
      <c r="C100" s="46" t="n">
        <f aca="false">(C63+C96)/C98</f>
        <v>4.388</v>
      </c>
      <c r="D100" s="46" t="n">
        <f aca="false">C100+(D63+D96)/D98</f>
        <v>5.36274984797193</v>
      </c>
      <c r="E100" s="46" t="n">
        <f aca="false">D100+(E63+E96)/E98</f>
        <v>7.22196351902927</v>
      </c>
      <c r="F100" s="46" t="n">
        <f aca="false">E100+(F63+F96)/F98</f>
        <v>8.07510319301052</v>
      </c>
      <c r="G100" s="46" t="n">
        <f aca="false">F100+(G63+G96)/G98</f>
        <v>8.50547655268984</v>
      </c>
      <c r="H100" s="46" t="n">
        <f aca="false">G100+(H63+H96)/H98</f>
        <v>8.77823328568866</v>
      </c>
      <c r="I100" s="46" t="n">
        <f aca="false">H100+(I63+I96)/I98</f>
        <v>8.91898919980393</v>
      </c>
      <c r="J100" s="46" t="n">
        <f aca="false">I100+(J63+J96)/J98</f>
        <v>9.02869742446418</v>
      </c>
      <c r="K100" s="46" t="n">
        <f aca="false">J100+(K63+K96)/K98</f>
        <v>9.0462884270706</v>
      </c>
      <c r="L100" s="46" t="n">
        <f aca="false">K100+(L63+L96)/L98</f>
        <v>9.05410459024344</v>
      </c>
      <c r="M100" s="46" t="n">
        <f aca="false">L100+(M63+M96)/M98</f>
        <v>9.05410459024344</v>
      </c>
    </row>
    <row r="101" customFormat="false" ht="15" hidden="false" customHeight="true" outlineLevel="0" collapsed="false">
      <c r="A101" s="31" t="s">
        <v>434</v>
      </c>
      <c r="C101" s="33" t="n">
        <f aca="false">C99/C100</f>
        <v>0.676959890610757</v>
      </c>
      <c r="D101" s="33" t="n">
        <f aca="false">D99/D100</f>
        <v>0.714652857999716</v>
      </c>
      <c r="E101" s="33" t="n">
        <f aca="false">E99/E100</f>
        <v>0.757283176281911</v>
      </c>
      <c r="F101" s="33" t="n">
        <f aca="false">F99/F100</f>
        <v>0.767755827766288</v>
      </c>
      <c r="G101" s="33" t="n">
        <f aca="false">G99/G100</f>
        <v>0.771074020605389</v>
      </c>
      <c r="H101" s="33" t="n">
        <f aca="false">H99/H100</f>
        <v>0.773008538199734</v>
      </c>
      <c r="I101" s="33" t="n">
        <f aca="false">I99/I100</f>
        <v>0.773960559947112</v>
      </c>
      <c r="J101" s="33" t="n">
        <f aca="false">J99/J100</f>
        <v>0.774494200883077</v>
      </c>
      <c r="K101" s="33" t="n">
        <f aca="false">K99/K100</f>
        <v>0.772988154550791</v>
      </c>
      <c r="L101" s="33" t="n">
        <f aca="false">L99/L100</f>
        <v>0.772320854820993</v>
      </c>
      <c r="M101" s="33" t="n">
        <f aca="false">M99/M100</f>
        <v>0.772320854820993</v>
      </c>
    </row>
    <row r="102" customFormat="false" ht="15" hidden="false" customHeight="true" outlineLevel="0" collapsed="false">
      <c r="A102" s="31" t="s">
        <v>435</v>
      </c>
      <c r="D102" s="27" t="n">
        <f aca="false">-D68*D101</f>
        <v>0</v>
      </c>
      <c r="E102" s="27" t="n">
        <f aca="false">-E68*E101</f>
        <v>0</v>
      </c>
      <c r="F102" s="27" t="n">
        <f aca="false">-F68*F101</f>
        <v>0</v>
      </c>
      <c r="G102" s="27" t="n">
        <f aca="false">-G68*G101</f>
        <v>0</v>
      </c>
      <c r="H102" s="27" t="n">
        <f aca="false">-H68*H101</f>
        <v>1.83950779562275</v>
      </c>
      <c r="I102" s="27" t="n">
        <f aca="false">-I68*I101</f>
        <v>5.09241733899395</v>
      </c>
      <c r="J102" s="27" t="n">
        <f aca="false">-J68*J101</f>
        <v>6.63308311402764</v>
      </c>
      <c r="K102" s="27" t="n">
        <f aca="false">-K68*K101</f>
        <v>7.54975185568124</v>
      </c>
      <c r="L102" s="27" t="n">
        <f aca="false">-L68*L101</f>
        <v>10.0036720307841</v>
      </c>
      <c r="M102" s="27" t="n">
        <f aca="false">-M68*M101</f>
        <v>12.292189548868</v>
      </c>
    </row>
    <row r="103" customFormat="false" ht="15" hidden="false" customHeight="true" outlineLevel="0" collapsed="false">
      <c r="A103" s="4" t="s">
        <v>436</v>
      </c>
      <c r="C103" s="25" t="n">
        <v>0</v>
      </c>
      <c r="D103" s="25" t="n">
        <f aca="false">C103+D102</f>
        <v>0</v>
      </c>
      <c r="E103" s="25" t="n">
        <f aca="false">D103+E102</f>
        <v>0</v>
      </c>
      <c r="F103" s="25" t="n">
        <f aca="false">E103+F102</f>
        <v>0</v>
      </c>
      <c r="G103" s="25" t="n">
        <f aca="false">F103+G102</f>
        <v>0</v>
      </c>
      <c r="H103" s="25" t="n">
        <f aca="false">G103+H102</f>
        <v>1.83950779562275</v>
      </c>
      <c r="I103" s="25" t="n">
        <f aca="false">H103+I102</f>
        <v>6.9319251346167</v>
      </c>
      <c r="J103" s="25" t="n">
        <f aca="false">I103+J102</f>
        <v>13.5650082486443</v>
      </c>
      <c r="K103" s="25" t="n">
        <f aca="false">J103+K102</f>
        <v>21.1147601043256</v>
      </c>
      <c r="L103" s="25" t="n">
        <f aca="false">K103+L102</f>
        <v>31.1184321351097</v>
      </c>
      <c r="M103" s="25" t="n">
        <f aca="false">L103+M102</f>
        <v>43.4106216839777</v>
      </c>
    </row>
    <row r="104" customFormat="false" ht="15" hidden="false" customHeight="true" outlineLevel="0" collapsed="false">
      <c r="A104" s="4" t="s">
        <v>437</v>
      </c>
      <c r="C104" s="25" t="n">
        <f aca="false">C41*Assumptions!$B$72-C85</f>
        <v>8.105</v>
      </c>
      <c r="D104" s="25" t="n">
        <f aca="false">D41*Assumptions!$B$72-D85</f>
        <v>7.8249375</v>
      </c>
      <c r="E104" s="25" t="n">
        <f aca="false">E41*Assumptions!$B$72-E85</f>
        <v>19.9181660987903</v>
      </c>
      <c r="F104" s="25" t="n">
        <f aca="false">F41*Assumptions!$B$72-F85</f>
        <v>39.5576276246953</v>
      </c>
      <c r="G104" s="25" t="n">
        <f aca="false">G41*Assumptions!$B$72-G85</f>
        <v>68.3729075232325</v>
      </c>
      <c r="H104" s="25" t="n">
        <f aca="false">H41*Assumptions!$B$72-H85</f>
        <v>94.8076591211033</v>
      </c>
      <c r="I104" s="25" t="n">
        <f aca="false">I41*Assumptions!$B$72-I85</f>
        <v>117.624722309357</v>
      </c>
      <c r="J104" s="25" t="n">
        <f aca="false">J41*Assumptions!$B$72-J85</f>
        <v>140.65426030252</v>
      </c>
      <c r="K104" s="25" t="n">
        <f aca="false">K41*Assumptions!$B$72-K85</f>
        <v>164.929575799818</v>
      </c>
      <c r="L104" s="25" t="n">
        <f aca="false">L41*Assumptions!$B$72-L85</f>
        <v>186.340717572824</v>
      </c>
      <c r="M104" s="25" t="n">
        <f aca="false">M41*Assumptions!$B$72-M85</f>
        <v>203.060130176521</v>
      </c>
    </row>
    <row r="106" customFormat="false" ht="15" hidden="false" customHeight="true" outlineLevel="0" collapsed="false">
      <c r="A106" s="29" t="s">
        <v>438</v>
      </c>
      <c r="C106" s="36" t="n">
        <f aca="false">MIN(C87:M87)*MIN(C95:M95)*IF(MIN(D69:M69)&gt;=Assumptions!$B$29-0.0001,1,0)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DB1"/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4"/>
    <col collapsed="false" customWidth="true" hidden="false" outlineLevel="0" max="13" min="3" style="1" width="13"/>
    <col collapsed="false" customWidth="true" hidden="false" outlineLevel="0" max="14" min="14" style="1" width="50"/>
  </cols>
  <sheetData>
    <row r="1" customFormat="false" ht="17.25" hidden="false" customHeight="true" outlineLevel="0" collapsed="false">
      <c r="A1" s="2" t="s">
        <v>439</v>
      </c>
    </row>
    <row r="2" customFormat="false" ht="15" hidden="false" customHeight="true" outlineLevel="0" collapsed="false">
      <c r="A2" s="3" t="s">
        <v>440</v>
      </c>
    </row>
    <row r="4" customFormat="false" ht="15" hidden="false" customHeight="true" outlineLevel="0" collapsed="false">
      <c r="A4" s="7" t="s">
        <v>441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15" hidden="false" customHeight="true" outlineLevel="0" collapsed="false">
      <c r="A5" s="4" t="s">
        <v>442</v>
      </c>
      <c r="C5" s="23" t="n">
        <v>0.275</v>
      </c>
      <c r="N5" s="3" t="s">
        <v>443</v>
      </c>
    </row>
    <row r="6" customFormat="false" ht="15" hidden="false" customHeight="true" outlineLevel="0" collapsed="false">
      <c r="A6" s="4" t="s">
        <v>444</v>
      </c>
      <c r="C6" s="23" t="n">
        <v>0.65</v>
      </c>
      <c r="N6" s="3" t="s">
        <v>445</v>
      </c>
    </row>
    <row r="7" customFormat="false" ht="15" hidden="false" customHeight="true" outlineLevel="0" collapsed="false">
      <c r="A7" s="4" t="s">
        <v>446</v>
      </c>
      <c r="C7" s="23" t="n">
        <v>0.1</v>
      </c>
      <c r="N7" s="3" t="s">
        <v>447</v>
      </c>
    </row>
    <row r="8" customFormat="false" ht="15" hidden="false" customHeight="true" outlineLevel="0" collapsed="false">
      <c r="A8" s="4" t="s">
        <v>448</v>
      </c>
      <c r="C8" s="23" t="n">
        <v>0.02</v>
      </c>
      <c r="N8" s="3" t="s">
        <v>449</v>
      </c>
    </row>
    <row r="9" customFormat="false" ht="15" hidden="false" customHeight="true" outlineLevel="0" collapsed="false">
      <c r="A9" s="4" t="s">
        <v>450</v>
      </c>
      <c r="C9" s="23" t="n">
        <v>0.5</v>
      </c>
      <c r="N9" s="3" t="s">
        <v>451</v>
      </c>
    </row>
    <row r="10" customFormat="false" ht="15" hidden="false" customHeight="true" outlineLevel="0" collapsed="false">
      <c r="A10" s="4" t="s">
        <v>452</v>
      </c>
      <c r="C10" s="23" t="n">
        <v>0.7</v>
      </c>
      <c r="D10" s="23" t="n">
        <v>0.8</v>
      </c>
      <c r="N10" s="3" t="s">
        <v>453</v>
      </c>
    </row>
    <row r="11" customFormat="false" ht="15" hidden="false" customHeight="true" outlineLevel="0" collapsed="false">
      <c r="A11" s="4" t="s">
        <v>454</v>
      </c>
      <c r="C11" s="23" t="n">
        <v>0.2</v>
      </c>
      <c r="N11" s="3" t="s">
        <v>455</v>
      </c>
    </row>
    <row r="12" customFormat="false" ht="15" hidden="false" customHeight="true" outlineLevel="0" collapsed="false">
      <c r="A12" s="4" t="s">
        <v>456</v>
      </c>
      <c r="C12" s="23" t="n">
        <v>0.0075</v>
      </c>
      <c r="N12" s="3"/>
    </row>
    <row r="13" customFormat="false" ht="15" hidden="false" customHeight="true" outlineLevel="0" collapsed="false">
      <c r="A13" s="31" t="s">
        <v>457</v>
      </c>
      <c r="C13" s="49" t="n">
        <f aca="false">C5*C6*C7+C8+C9*(D10/C10-1)*C11+C12</f>
        <v>0.0596607142857143</v>
      </c>
    </row>
    <row r="14" customFormat="false" ht="15" hidden="false" customHeight="true" outlineLevel="0" collapsed="false">
      <c r="A14" s="4" t="s">
        <v>458</v>
      </c>
      <c r="C14" s="22" t="n">
        <v>4</v>
      </c>
    </row>
    <row r="15" customFormat="false" ht="15" hidden="false" customHeight="true" outlineLevel="0" collapsed="false">
      <c r="A15" s="4" t="s">
        <v>459</v>
      </c>
      <c r="C15" s="28" t="n">
        <f aca="false">C5*C6*C7</f>
        <v>0.017875</v>
      </c>
    </row>
    <row r="16" customFormat="false" ht="15" hidden="false" customHeight="true" outlineLevel="0" collapsed="false">
      <c r="A16" s="4" t="s">
        <v>460</v>
      </c>
      <c r="C16" s="28" t="n">
        <f aca="false">C8</f>
        <v>0.02</v>
      </c>
    </row>
    <row r="17" customFormat="false" ht="15" hidden="false" customHeight="true" outlineLevel="0" collapsed="false">
      <c r="A17" s="4" t="s">
        <v>461</v>
      </c>
      <c r="C17" s="28" t="n">
        <f aca="false">C9*(D10/C10-1)*C11</f>
        <v>0.0142857142857143</v>
      </c>
    </row>
    <row r="18" customFormat="false" ht="15" hidden="false" customHeight="true" outlineLevel="0" collapsed="false">
      <c r="A18" s="4" t="s">
        <v>462</v>
      </c>
      <c r="C18" s="28" t="n">
        <f aca="false">C12</f>
        <v>0.0075</v>
      </c>
    </row>
    <row r="20" customFormat="false" ht="15" hidden="false" customHeight="true" outlineLevel="0" collapsed="false">
      <c r="A20" s="7" t="s">
        <v>463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5" hidden="false" customHeight="true" outlineLevel="0" collapsed="false">
      <c r="A21" s="32" t="s">
        <v>464</v>
      </c>
      <c r="B21" s="39"/>
      <c r="C21" s="40" t="s">
        <v>13</v>
      </c>
      <c r="D21" s="40" t="s">
        <v>271</v>
      </c>
      <c r="E21" s="40" t="s">
        <v>272</v>
      </c>
      <c r="F21" s="40" t="s">
        <v>273</v>
      </c>
      <c r="G21" s="40" t="s">
        <v>274</v>
      </c>
      <c r="H21" s="40" t="s">
        <v>275</v>
      </c>
      <c r="I21" s="40" t="s">
        <v>276</v>
      </c>
      <c r="J21" s="40" t="s">
        <v>277</v>
      </c>
      <c r="K21" s="40" t="s">
        <v>278</v>
      </c>
      <c r="L21" s="40" t="s">
        <v>279</v>
      </c>
      <c r="M21" s="40" t="s">
        <v>280</v>
      </c>
    </row>
    <row r="22" customFormat="false" ht="15" hidden="false" customHeight="true" outlineLevel="0" collapsed="false">
      <c r="A22" s="4" t="s">
        <v>465</v>
      </c>
      <c r="D22" s="46" t="n">
        <f aca="false">Assumptions!$B$76*Assumptions!$B$77</f>
        <v>55.2</v>
      </c>
      <c r="E22" s="46" t="n">
        <f aca="false">Assumptions!$B$76*Assumptions!$B$77</f>
        <v>55.2</v>
      </c>
      <c r="F22" s="46" t="n">
        <f aca="false">Assumptions!$B$76*Assumptions!$B$77</f>
        <v>55.2</v>
      </c>
      <c r="G22" s="46" t="n">
        <f aca="false">Assumptions!$B$76*Assumptions!$B$77</f>
        <v>55.2</v>
      </c>
      <c r="H22" s="46" t="n">
        <f aca="false">Assumptions!$B$76*Assumptions!$B$77</f>
        <v>55.2</v>
      </c>
      <c r="I22" s="46" t="n">
        <f aca="false">Assumptions!$B$76*Assumptions!$B$77</f>
        <v>55.2</v>
      </c>
      <c r="J22" s="46" t="n">
        <f aca="false">Assumptions!$B$76*Assumptions!$B$77</f>
        <v>55.2</v>
      </c>
      <c r="K22" s="46" t="n">
        <f aca="false">Assumptions!$B$76*Assumptions!$B$77</f>
        <v>55.2</v>
      </c>
      <c r="L22" s="46" t="n">
        <f aca="false">Assumptions!$B$76*Assumptions!$B$77</f>
        <v>55.2</v>
      </c>
      <c r="M22" s="46" t="n">
        <f aca="false">Assumptions!$B$76*Assumptions!$B$77</f>
        <v>55.2</v>
      </c>
    </row>
    <row r="23" customFormat="false" ht="15" hidden="false" customHeight="true" outlineLevel="0" collapsed="false">
      <c r="A23" s="4" t="s">
        <v>466</v>
      </c>
      <c r="D23" s="46" t="n">
        <f aca="false">MIN(MAX(0,D22-'Roll-Up Model'!D26),'Roll-Up Model'!D11)</f>
        <v>4</v>
      </c>
      <c r="E23" s="46" t="n">
        <f aca="false">MIN(MAX(0,E22-'Roll-Up Model'!E26),'Roll-Up Model'!E11)</f>
        <v>7</v>
      </c>
      <c r="F23" s="46" t="n">
        <f aca="false">MIN(MAX(0,F22-'Roll-Up Model'!F26),'Roll-Up Model'!F11)</f>
        <v>10</v>
      </c>
      <c r="G23" s="46" t="n">
        <f aca="false">MIN(MAX(0,G22-'Roll-Up Model'!G26),'Roll-Up Model'!G11)</f>
        <v>13</v>
      </c>
      <c r="H23" s="46" t="n">
        <f aca="false">MIN(MAX(0,H22-'Roll-Up Model'!H26),'Roll-Up Model'!H11)</f>
        <v>16</v>
      </c>
      <c r="I23" s="46" t="n">
        <f aca="false">MIN(MAX(0,I22-'Roll-Up Model'!I26),'Roll-Up Model'!I11)</f>
        <v>18</v>
      </c>
      <c r="J23" s="46" t="n">
        <f aca="false">MIN(MAX(0,J22-'Roll-Up Model'!J26),'Roll-Up Model'!J11)</f>
        <v>20</v>
      </c>
      <c r="K23" s="46" t="n">
        <f aca="false">MIN(MAX(0,K22-'Roll-Up Model'!K26),'Roll-Up Model'!K11)</f>
        <v>22</v>
      </c>
      <c r="L23" s="46" t="n">
        <f aca="false">MIN(MAX(0,L22-'Roll-Up Model'!L26),'Roll-Up Model'!L11)</f>
        <v>23</v>
      </c>
      <c r="M23" s="46" t="n">
        <f aca="false">MIN(MAX(0,M22-'Roll-Up Model'!M26),'Roll-Up Model'!M11)</f>
        <v>23</v>
      </c>
    </row>
    <row r="24" customFormat="false" ht="15" hidden="false" customHeight="true" outlineLevel="0" collapsed="false">
      <c r="A24" s="4" t="s">
        <v>467</v>
      </c>
      <c r="D24" s="25" t="n">
        <f aca="false">D23*Assumptions!$B$50*Assumptions!$B$51</f>
        <v>1.008</v>
      </c>
      <c r="E24" s="25" t="n">
        <f aca="false">E23*Assumptions!$B$50*Assumptions!$B$51</f>
        <v>1.764</v>
      </c>
      <c r="F24" s="25" t="n">
        <f aca="false">F23*Assumptions!$B$50*Assumptions!$B$51</f>
        <v>2.52</v>
      </c>
      <c r="G24" s="25" t="n">
        <f aca="false">G23*Assumptions!$B$50*Assumptions!$B$51</f>
        <v>3.276</v>
      </c>
      <c r="H24" s="25" t="n">
        <f aca="false">H23*Assumptions!$B$50*Assumptions!$B$51</f>
        <v>4.032</v>
      </c>
      <c r="I24" s="25" t="n">
        <f aca="false">I23*Assumptions!$B$50*Assumptions!$B$51</f>
        <v>4.536</v>
      </c>
      <c r="J24" s="25" t="n">
        <f aca="false">J23*Assumptions!$B$50*Assumptions!$B$51</f>
        <v>5.04</v>
      </c>
      <c r="K24" s="25" t="n">
        <f aca="false">K23*Assumptions!$B$50*Assumptions!$B$51</f>
        <v>5.544</v>
      </c>
      <c r="L24" s="25" t="n">
        <f aca="false">L23*Assumptions!$B$50*Assumptions!$B$51</f>
        <v>5.796</v>
      </c>
      <c r="M24" s="25" t="n">
        <f aca="false">M23*Assumptions!$B$50*Assumptions!$B$51</f>
        <v>5.796</v>
      </c>
    </row>
    <row r="25" customFormat="false" ht="15" hidden="false" customHeight="true" outlineLevel="0" collapsed="false">
      <c r="A25" s="4" t="s">
        <v>468</v>
      </c>
      <c r="D25" s="25" t="n">
        <f aca="false">'Roll-Up Model'!D28*Assumptions!$B$78</f>
        <v>0.21</v>
      </c>
      <c r="E25" s="25" t="n">
        <f aca="false">'Roll-Up Model'!E28*Assumptions!$B$78</f>
        <v>0.357525</v>
      </c>
      <c r="F25" s="25" t="n">
        <f aca="false">'Roll-Up Model'!F28*Assumptions!$B$78</f>
        <v>0.57188475</v>
      </c>
      <c r="G25" s="25" t="n">
        <f aca="false">'Roll-Up Model'!G28*Assumptions!$B$78</f>
        <v>0.8278562025</v>
      </c>
      <c r="H25" s="25" t="n">
        <f aca="false">'Roll-Up Model'!H28*Assumptions!$B$78</f>
        <v>1.101215691225</v>
      </c>
      <c r="I25" s="25" t="n">
        <f aca="false">'Roll-Up Model'!I28*Assumptions!$B$78</f>
        <v>1.36118030784225</v>
      </c>
      <c r="J25" s="25" t="n">
        <f aca="false">'Roll-Up Model'!J28*Assumptions!$B$78</f>
        <v>1.6045021879502</v>
      </c>
      <c r="K25" s="25" t="n">
        <f aca="false">'Roll-Up Model'!K28*Assumptions!$B$78</f>
        <v>1.86279880165219</v>
      </c>
      <c r="L25" s="25" t="n">
        <f aca="false">'Roll-Up Model'!L28*Assumptions!$B$78</f>
        <v>2.10110754363831</v>
      </c>
      <c r="M25" s="25" t="n">
        <f aca="false">'Roll-Up Model'!M28*Assumptions!$B$78</f>
        <v>2.27805598027202</v>
      </c>
    </row>
    <row r="26" customFormat="false" ht="15" hidden="false" customHeight="true" outlineLevel="0" collapsed="false">
      <c r="A26" s="4" t="s">
        <v>469</v>
      </c>
      <c r="D26" s="25" t="n">
        <f aca="false">Assumptions!$B$79*Assumptions!$B$80*Assumptions!$B$82*MIN(1,'Roll-Up Model'!D11/Assumptions!$B$81)</f>
        <v>0.44</v>
      </c>
      <c r="E26" s="25" t="n">
        <f aca="false">Assumptions!$B$79*Assumptions!$B$80*Assumptions!$B$82*MIN(1,'Roll-Up Model'!E11/Assumptions!$B$81)</f>
        <v>0.77</v>
      </c>
      <c r="F26" s="25" t="n">
        <f aca="false">Assumptions!$B$79*Assumptions!$B$80*Assumptions!$B$82*MIN(1,'Roll-Up Model'!F11/Assumptions!$B$81)</f>
        <v>1.1</v>
      </c>
      <c r="G26" s="25" t="n">
        <f aca="false">Assumptions!$B$79*Assumptions!$B$80*Assumptions!$B$82*MIN(1,'Roll-Up Model'!G11/Assumptions!$B$81)</f>
        <v>1.43</v>
      </c>
      <c r="H26" s="25" t="n">
        <f aca="false">Assumptions!$B$79*Assumptions!$B$80*Assumptions!$B$82*MIN(1,'Roll-Up Model'!H11/Assumptions!$B$81)</f>
        <v>1.76</v>
      </c>
      <c r="I26" s="25" t="n">
        <f aca="false">Assumptions!$B$79*Assumptions!$B$80*Assumptions!$B$82*MIN(1,'Roll-Up Model'!I11/Assumptions!$B$81)</f>
        <v>1.98</v>
      </c>
      <c r="J26" s="25" t="n">
        <f aca="false">Assumptions!$B$79*Assumptions!$B$80*Assumptions!$B$82*MIN(1,'Roll-Up Model'!J11/Assumptions!$B$81)</f>
        <v>2.2</v>
      </c>
      <c r="K26" s="25" t="n">
        <f aca="false">Assumptions!$B$79*Assumptions!$B$80*Assumptions!$B$82*MIN(1,'Roll-Up Model'!K11/Assumptions!$B$81)</f>
        <v>2.2</v>
      </c>
      <c r="L26" s="25" t="n">
        <f aca="false">Assumptions!$B$79*Assumptions!$B$80*Assumptions!$B$82*MIN(1,'Roll-Up Model'!L11/Assumptions!$B$81)</f>
        <v>2.2</v>
      </c>
      <c r="M26" s="25" t="n">
        <f aca="false">Assumptions!$B$79*Assumptions!$B$80*Assumptions!$B$82*MIN(1,'Roll-Up Model'!M11/Assumptions!$B$81)</f>
        <v>2.2</v>
      </c>
    </row>
    <row r="27" customFormat="false" ht="15" hidden="false" customHeight="true" outlineLevel="0" collapsed="false">
      <c r="A27" s="31" t="s">
        <v>470</v>
      </c>
      <c r="D27" s="27" t="n">
        <f aca="false">SUM(D24:D26)</f>
        <v>1.658</v>
      </c>
      <c r="E27" s="27" t="n">
        <f aca="false">SUM(E24:E26)</f>
        <v>2.891525</v>
      </c>
      <c r="F27" s="27" t="n">
        <f aca="false">SUM(F24:F26)</f>
        <v>4.19188475</v>
      </c>
      <c r="G27" s="27" t="n">
        <f aca="false">SUM(G24:G26)</f>
        <v>5.5338562025</v>
      </c>
      <c r="H27" s="27" t="n">
        <f aca="false">SUM(H24:H26)</f>
        <v>6.893215691225</v>
      </c>
      <c r="I27" s="27" t="n">
        <f aca="false">SUM(I24:I26)</f>
        <v>7.87718030784225</v>
      </c>
      <c r="J27" s="27" t="n">
        <f aca="false">SUM(J24:J26)</f>
        <v>8.84450218795021</v>
      </c>
      <c r="K27" s="27" t="n">
        <f aca="false">SUM(K24:K26)</f>
        <v>9.60679880165219</v>
      </c>
      <c r="L27" s="27" t="n">
        <f aca="false">SUM(L24:L26)</f>
        <v>10.0971075436383</v>
      </c>
      <c r="M27" s="27" t="n">
        <f aca="false">SUM(M24:M26)</f>
        <v>10.274055980272</v>
      </c>
    </row>
    <row r="28" customFormat="false" ht="15" hidden="false" customHeight="true" outlineLevel="0" collapsed="false">
      <c r="A28" s="31" t="s">
        <v>471</v>
      </c>
      <c r="D28" s="27" t="n">
        <f aca="false">D27*Assumptions!$B$17*Assumptions!$B$75*Assumptions!$B$18</f>
        <v>5.2227</v>
      </c>
      <c r="E28" s="27" t="n">
        <f aca="false">E27*Assumptions!$B$17*Assumptions!$B$75*Assumptions!$B$18</f>
        <v>9.10830375</v>
      </c>
      <c r="F28" s="27" t="n">
        <f aca="false">F27*Assumptions!$B$17*Assumptions!$B$75*Assumptions!$B$18</f>
        <v>13.2044369625</v>
      </c>
      <c r="G28" s="27" t="n">
        <f aca="false">G27*Assumptions!$B$17*Assumptions!$B$75*Assumptions!$B$18</f>
        <v>17.431647037875</v>
      </c>
      <c r="H28" s="27" t="n">
        <f aca="false">H27*Assumptions!$B$17*Assumptions!$B$75*Assumptions!$B$18</f>
        <v>21.7136294273588</v>
      </c>
      <c r="I28" s="27" t="n">
        <f aca="false">I27*Assumptions!$B$17*Assumptions!$B$75*Assumptions!$B$18</f>
        <v>24.8131179697031</v>
      </c>
      <c r="J28" s="27" t="n">
        <f aca="false">J27*Assumptions!$B$17*Assumptions!$B$75*Assumptions!$B$18</f>
        <v>27.8601818920431</v>
      </c>
      <c r="K28" s="27" t="n">
        <f aca="false">K27*Assumptions!$B$17*Assumptions!$B$75*Assumptions!$B$18</f>
        <v>30.2614162252044</v>
      </c>
      <c r="L28" s="27" t="n">
        <f aca="false">L27*Assumptions!$B$17*Assumptions!$B$75*Assumptions!$B$18</f>
        <v>31.8058887624607</v>
      </c>
      <c r="M28" s="27" t="n">
        <f aca="false">M27*Assumptions!$B$17*Assumptions!$B$75*Assumptions!$B$18</f>
        <v>32.3632763378569</v>
      </c>
    </row>
    <row r="30" customFormat="false" ht="15" hidden="false" customHeight="true" outlineLevel="0" collapsed="false">
      <c r="A30" s="32" t="s">
        <v>472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customFormat="false" ht="15" hidden="false" customHeight="true" outlineLevel="0" collapsed="false">
      <c r="A31" s="4" t="s">
        <v>473</v>
      </c>
      <c r="D31" s="25" t="n">
        <f aca="false">Assumptions!$B$79*Assumptions!$B$80*MIN(1,'Roll-Up Model'!D11/Assumptions!$B$81)</f>
        <v>0.88</v>
      </c>
      <c r="E31" s="25" t="n">
        <f aca="false">Assumptions!$B$79*Assumptions!$B$80*MIN(1,'Roll-Up Model'!E11/Assumptions!$B$81)</f>
        <v>1.54</v>
      </c>
      <c r="F31" s="25" t="n">
        <f aca="false">Assumptions!$B$79*Assumptions!$B$80*MIN(1,'Roll-Up Model'!F11/Assumptions!$B$81)</f>
        <v>2.2</v>
      </c>
      <c r="G31" s="25" t="n">
        <f aca="false">Assumptions!$B$79*Assumptions!$B$80*MIN(1,'Roll-Up Model'!G11/Assumptions!$B$81)</f>
        <v>2.86</v>
      </c>
      <c r="H31" s="25" t="n">
        <f aca="false">Assumptions!$B$79*Assumptions!$B$80*MIN(1,'Roll-Up Model'!H11/Assumptions!$B$81)</f>
        <v>3.52</v>
      </c>
      <c r="I31" s="25" t="n">
        <f aca="false">Assumptions!$B$79*Assumptions!$B$80*MIN(1,'Roll-Up Model'!I11/Assumptions!$B$81)</f>
        <v>3.96</v>
      </c>
      <c r="J31" s="25" t="n">
        <f aca="false">Assumptions!$B$79*Assumptions!$B$80*MIN(1,'Roll-Up Model'!J11/Assumptions!$B$81)</f>
        <v>4.4</v>
      </c>
      <c r="K31" s="25" t="n">
        <f aca="false">Assumptions!$B$79*Assumptions!$B$80*MIN(1,'Roll-Up Model'!K11/Assumptions!$B$81)</f>
        <v>4.4</v>
      </c>
      <c r="L31" s="25" t="n">
        <f aca="false">Assumptions!$B$79*Assumptions!$B$80*MIN(1,'Roll-Up Model'!L11/Assumptions!$B$81)</f>
        <v>4.4</v>
      </c>
      <c r="M31" s="25" t="n">
        <f aca="false">Assumptions!$B$79*Assumptions!$B$80*MIN(1,'Roll-Up Model'!M11/Assumptions!$B$81)</f>
        <v>4.4</v>
      </c>
    </row>
    <row r="32" customFormat="false" ht="15" hidden="false" customHeight="true" outlineLevel="0" collapsed="false">
      <c r="A32" s="4" t="s">
        <v>474</v>
      </c>
      <c r="D32" s="25" t="n">
        <f aca="false">'Roll-Up Model'!D28*Assumptions!$B$84</f>
        <v>0.105</v>
      </c>
      <c r="E32" s="25" t="n">
        <f aca="false">'Roll-Up Model'!E28*Assumptions!$B$84</f>
        <v>0.1787625</v>
      </c>
      <c r="F32" s="25" t="n">
        <f aca="false">'Roll-Up Model'!F28*Assumptions!$B$84</f>
        <v>0.285942375</v>
      </c>
      <c r="G32" s="25" t="n">
        <f aca="false">'Roll-Up Model'!G28*Assumptions!$B$84</f>
        <v>0.41392810125</v>
      </c>
      <c r="H32" s="25" t="n">
        <f aca="false">'Roll-Up Model'!H28*Assumptions!$B$84</f>
        <v>0.5506078456125</v>
      </c>
      <c r="I32" s="25" t="n">
        <f aca="false">'Roll-Up Model'!I28*Assumptions!$B$84</f>
        <v>0.680590153921125</v>
      </c>
      <c r="J32" s="25" t="n">
        <f aca="false">'Roll-Up Model'!J28*Assumptions!$B$84</f>
        <v>0.802251093975101</v>
      </c>
      <c r="K32" s="25" t="n">
        <f aca="false">'Roll-Up Model'!K28*Assumptions!$B$84</f>
        <v>0.931399400826093</v>
      </c>
      <c r="L32" s="25" t="n">
        <f aca="false">'Roll-Up Model'!L28*Assumptions!$B$84</f>
        <v>1.05055377181916</v>
      </c>
      <c r="M32" s="25" t="n">
        <f aca="false">'Roll-Up Model'!M28*Assumptions!$B$84</f>
        <v>1.13902799013601</v>
      </c>
    </row>
    <row r="33" customFormat="false" ht="15" hidden="false" customHeight="true" outlineLevel="0" collapsed="false">
      <c r="A33" s="31" t="s">
        <v>475</v>
      </c>
      <c r="D33" s="27" t="n">
        <f aca="false">D31+D32</f>
        <v>0.985</v>
      </c>
      <c r="E33" s="27" t="n">
        <f aca="false">E31+E32</f>
        <v>1.7187625</v>
      </c>
      <c r="F33" s="27" t="n">
        <f aca="false">F31+F32</f>
        <v>2.485942375</v>
      </c>
      <c r="G33" s="27" t="n">
        <f aca="false">G31+G32</f>
        <v>3.27392810125</v>
      </c>
      <c r="H33" s="27" t="n">
        <f aca="false">H31+H32</f>
        <v>4.0706078456125</v>
      </c>
      <c r="I33" s="27" t="n">
        <f aca="false">I31+I32</f>
        <v>4.64059015392113</v>
      </c>
      <c r="J33" s="27" t="n">
        <f aca="false">J31+J32</f>
        <v>5.2022510939751</v>
      </c>
      <c r="K33" s="27" t="n">
        <f aca="false">K31+K32</f>
        <v>5.33139940082609</v>
      </c>
      <c r="L33" s="27" t="n">
        <f aca="false">L31+L32</f>
        <v>5.45055377181916</v>
      </c>
      <c r="M33" s="27" t="n">
        <f aca="false">M31+M32</f>
        <v>5.53902799013601</v>
      </c>
    </row>
    <row r="34" customFormat="false" ht="15" hidden="false" customHeight="true" outlineLevel="0" collapsed="false">
      <c r="A34" s="31" t="s">
        <v>476</v>
      </c>
      <c r="D34" s="27" t="n">
        <f aca="false">D33*Assumptions!$B$83*Assumptions!$B$75*Assumptions!$B$18</f>
        <v>1.86165</v>
      </c>
      <c r="E34" s="27" t="n">
        <f aca="false">E33*Assumptions!$B$83*Assumptions!$B$75*Assumptions!$B$18</f>
        <v>3.248461125</v>
      </c>
      <c r="F34" s="27" t="n">
        <f aca="false">F33*Assumptions!$B$83*Assumptions!$B$75*Assumptions!$B$18</f>
        <v>4.69843108875</v>
      </c>
      <c r="G34" s="27" t="n">
        <f aca="false">G33*Assumptions!$B$83*Assumptions!$B$75*Assumptions!$B$18</f>
        <v>6.1877241113625</v>
      </c>
      <c r="H34" s="27" t="n">
        <f aca="false">H33*Assumptions!$B$83*Assumptions!$B$75*Assumptions!$B$18</f>
        <v>7.69344882820763</v>
      </c>
      <c r="I34" s="27" t="n">
        <f aca="false">I33*Assumptions!$B$83*Assumptions!$B$75*Assumptions!$B$18</f>
        <v>8.77071539091093</v>
      </c>
      <c r="J34" s="27" t="n">
        <f aca="false">J33*Assumptions!$B$83*Assumptions!$B$75*Assumptions!$B$18</f>
        <v>9.83225456761294</v>
      </c>
      <c r="K34" s="27" t="n">
        <f aca="false">K33*Assumptions!$B$83*Assumptions!$B$75*Assumptions!$B$18</f>
        <v>10.0763448675613</v>
      </c>
      <c r="L34" s="27" t="n">
        <f aca="false">L33*Assumptions!$B$83*Assumptions!$B$75*Assumptions!$B$18</f>
        <v>10.3015466287382</v>
      </c>
      <c r="M34" s="27" t="n">
        <f aca="false">M33*Assumptions!$B$83*Assumptions!$B$75*Assumptions!$B$18</f>
        <v>10.4687629013571</v>
      </c>
    </row>
    <row r="36" customFormat="false" ht="15" hidden="false" customHeight="true" outlineLevel="0" collapsed="false">
      <c r="A36" s="7" t="s">
        <v>477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customFormat="false" ht="15" hidden="false" customHeight="true" outlineLevel="0" collapsed="false">
      <c r="A37" s="4" t="s">
        <v>478</v>
      </c>
    </row>
    <row r="38" customFormat="false" ht="15" hidden="false" customHeight="true" outlineLevel="0" collapsed="false">
      <c r="A38" s="4" t="s">
        <v>479</v>
      </c>
    </row>
    <row r="39" customFormat="false" ht="15" hidden="false" customHeight="true" outlineLevel="0" collapsed="false">
      <c r="A39" s="4" t="s">
        <v>480</v>
      </c>
    </row>
    <row r="40" customFormat="false" ht="15" hidden="false" customHeight="true" outlineLevel="0" collapsed="false">
      <c r="A40" s="4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DB1"/>
    <pageSetUpPr fitToPage="false"/>
  </sheetPr>
  <dimension ref="A1:N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4"/>
    <col collapsed="false" customWidth="true" hidden="false" outlineLevel="0" max="13" min="3" style="1" width="11"/>
    <col collapsed="false" customWidth="true" hidden="false" outlineLevel="0" max="14" min="14" style="1" width="40"/>
  </cols>
  <sheetData>
    <row r="1" customFormat="false" ht="17.25" hidden="false" customHeight="true" outlineLevel="0" collapsed="false">
      <c r="A1" s="2" t="s">
        <v>482</v>
      </c>
    </row>
    <row r="2" customFormat="false" ht="15" hidden="false" customHeight="true" outlineLevel="0" collapsed="false">
      <c r="A2" s="3" t="s">
        <v>483</v>
      </c>
    </row>
    <row r="3" customFormat="false" ht="15" hidden="false" customHeight="true" outlineLevel="0" collapsed="false">
      <c r="A3" s="3" t="s">
        <v>340</v>
      </c>
      <c r="C3" s="50" t="n">
        <v>0</v>
      </c>
      <c r="D3" s="50" t="n">
        <v>1</v>
      </c>
      <c r="E3" s="50" t="n">
        <v>2</v>
      </c>
      <c r="F3" s="50" t="n">
        <v>3</v>
      </c>
      <c r="G3" s="50" t="n">
        <v>4</v>
      </c>
      <c r="H3" s="50" t="n">
        <v>5</v>
      </c>
      <c r="I3" s="50" t="n">
        <v>6</v>
      </c>
      <c r="J3" s="50" t="n">
        <v>7</v>
      </c>
      <c r="K3" s="50" t="n">
        <v>8</v>
      </c>
      <c r="L3" s="50" t="n">
        <v>9</v>
      </c>
      <c r="M3" s="50" t="n">
        <v>10</v>
      </c>
    </row>
    <row r="4" customFormat="false" ht="15" hidden="false" customHeight="true" outlineLevel="0" collapsed="false">
      <c r="A4" s="32" t="s">
        <v>484</v>
      </c>
      <c r="B4" s="39"/>
      <c r="C4" s="40" t="s">
        <v>13</v>
      </c>
      <c r="D4" s="40" t="s">
        <v>271</v>
      </c>
      <c r="E4" s="40" t="s">
        <v>272</v>
      </c>
      <c r="F4" s="40" t="s">
        <v>273</v>
      </c>
      <c r="G4" s="40" t="s">
        <v>274</v>
      </c>
      <c r="H4" s="40" t="s">
        <v>275</v>
      </c>
      <c r="I4" s="40" t="s">
        <v>276</v>
      </c>
      <c r="J4" s="40" t="s">
        <v>277</v>
      </c>
      <c r="K4" s="40" t="s">
        <v>278</v>
      </c>
      <c r="L4" s="40" t="s">
        <v>279</v>
      </c>
      <c r="M4" s="40" t="s">
        <v>280</v>
      </c>
    </row>
    <row r="5" customFormat="false" ht="15" hidden="false" customHeight="true" outlineLevel="0" collapsed="false">
      <c r="A5" s="4" t="s">
        <v>19</v>
      </c>
      <c r="D5" s="14" t="n">
        <f aca="false">'Roll-Up Model'!D40</f>
        <v>1.5048125</v>
      </c>
      <c r="E5" s="14" t="n">
        <f aca="false">'Roll-Up Model'!E40</f>
        <v>3.3267130141129</v>
      </c>
      <c r="F5" s="14" t="n">
        <f aca="false">'Roll-Up Model'!F40</f>
        <v>6.43850442852791</v>
      </c>
      <c r="G5" s="14" t="n">
        <f aca="false">'Roll-Up Model'!G40</f>
        <v>10.6013231519265</v>
      </c>
      <c r="H5" s="14" t="n">
        <f aca="false">'Roll-Up Model'!H40</f>
        <v>14.4417662955987</v>
      </c>
      <c r="I5" s="14" t="n">
        <f aca="false">'Roll-Up Model'!I40</f>
        <v>18.1065620975268</v>
      </c>
      <c r="J5" s="14" t="n">
        <f aca="false">'Roll-Up Model'!J40</f>
        <v>21.5272804407972</v>
      </c>
      <c r="K5" s="14" t="n">
        <f aca="false">'Roll-Up Model'!K40</f>
        <v>25.1389453646736</v>
      </c>
      <c r="L5" s="14" t="n">
        <f aca="false">'Roll-Up Model'!L40</f>
        <v>28.4869561997104</v>
      </c>
      <c r="M5" s="14" t="n">
        <f aca="false">'Roll-Up Model'!M40</f>
        <v>31.0086936735131</v>
      </c>
    </row>
    <row r="6" customFormat="false" ht="15" hidden="false" customHeight="true" outlineLevel="0" collapsed="false">
      <c r="A6" s="4" t="s">
        <v>22</v>
      </c>
      <c r="D6" s="15" t="n">
        <f aca="false">'Roll-Up Model'!D32</f>
        <v>0.178571428571429</v>
      </c>
      <c r="E6" s="15" t="n">
        <f aca="false">'Roll-Up Model'!E32</f>
        <v>0.207142857142857</v>
      </c>
      <c r="F6" s="15" t="n">
        <f aca="false">'Roll-Up Model'!F32</f>
        <v>0.269542748779365</v>
      </c>
      <c r="G6" s="15" t="n">
        <f aca="false">'Roll-Up Model'!G32</f>
        <v>0.331771230976554</v>
      </c>
      <c r="H6" s="15" t="n">
        <f aca="false">'Roll-Up Model'!H32</f>
        <v>0.374128930546242</v>
      </c>
      <c r="I6" s="15" t="n">
        <f aca="false">'Roll-Up Model'!I32</f>
        <v>0.409759540005832</v>
      </c>
      <c r="J6" s="15" t="n">
        <f aca="false">'Roll-Up Model'!J32</f>
        <v>0.442289138719826</v>
      </c>
      <c r="K6" s="15" t="n">
        <f aca="false">'Roll-Up Model'!K32</f>
        <v>0.447157231816704</v>
      </c>
      <c r="L6" s="15" t="n">
        <f aca="false">'Roll-Up Model'!L32</f>
        <v>0.45179898960794</v>
      </c>
      <c r="M6" s="15" t="n">
        <f aca="false">'Roll-Up Model'!M32</f>
        <v>0.458336615578047</v>
      </c>
    </row>
    <row r="7" customFormat="false" ht="15" hidden="false" customHeight="true" outlineLevel="0" collapsed="false">
      <c r="A7" s="4" t="s">
        <v>485</v>
      </c>
      <c r="D7" s="45" t="n">
        <f aca="false">Assumptions!$B$16*(1-D6)+Assumptions!$B$17*D6</f>
        <v>10.8928571428571</v>
      </c>
      <c r="E7" s="45" t="n">
        <f aca="false">Assumptions!$B$16*(1-E6)+Assumptions!$B$17*E6</f>
        <v>11.0357142857143</v>
      </c>
      <c r="F7" s="45" t="n">
        <f aca="false">Assumptions!$B$16*(1-F6)+Assumptions!$B$17*F6</f>
        <v>11.3477137438968</v>
      </c>
      <c r="G7" s="45" t="n">
        <f aca="false">Assumptions!$B$16*(1-G6)+Assumptions!$B$17*G6</f>
        <v>11.6588561548828</v>
      </c>
      <c r="H7" s="45" t="n">
        <f aca="false">Assumptions!$B$16*(1-H6)+Assumptions!$B$17*H6</f>
        <v>11.8706446527312</v>
      </c>
      <c r="I7" s="45" t="n">
        <f aca="false">Assumptions!$B$16*(1-I6)+Assumptions!$B$17*I6</f>
        <v>12.0487977000292</v>
      </c>
      <c r="J7" s="45" t="n">
        <f aca="false">Assumptions!$B$16*(1-J6)+Assumptions!$B$17*J6</f>
        <v>12.2114456935991</v>
      </c>
      <c r="K7" s="45" t="n">
        <f aca="false">Assumptions!$B$16*(1-K6)+Assumptions!$B$17*K6</f>
        <v>12.2357861590835</v>
      </c>
      <c r="L7" s="45" t="n">
        <f aca="false">Assumptions!$B$16*(1-L6)+Assumptions!$B$17*L6</f>
        <v>12.2589949480397</v>
      </c>
      <c r="M7" s="45" t="n">
        <f aca="false">Assumptions!$B$16*(1-M6)+Assumptions!$B$17*M6</f>
        <v>12.2916830778902</v>
      </c>
    </row>
    <row r="8" customFormat="false" ht="15" hidden="false" customHeight="true" outlineLevel="0" collapsed="false">
      <c r="A8" s="4" t="s">
        <v>418</v>
      </c>
      <c r="D8" s="14" t="n">
        <f aca="false">'Roll-Up Model'!D85</f>
        <v>6.13875</v>
      </c>
      <c r="E8" s="14" t="n">
        <f aca="false">'Roll-Up Model'!E85</f>
        <v>8.719625</v>
      </c>
      <c r="F8" s="14" t="n">
        <f aca="false">'Roll-Up Model'!F85</f>
        <v>11.076735375</v>
      </c>
      <c r="G8" s="14" t="n">
        <f aca="false">'Roll-Up Model'!G85</f>
        <v>11.6237798202532</v>
      </c>
      <c r="H8" s="14" t="n">
        <f aca="false">'Roll-Up Model'!H85</f>
        <v>12.3036272392875</v>
      </c>
      <c r="I8" s="14" t="n">
        <f aca="false">'Roll-Up Model'!I85</f>
        <v>13.2943318285631</v>
      </c>
      <c r="J8" s="14" t="n">
        <f aca="false">'Roll-Up Model'!J85</f>
        <v>14.376747016502</v>
      </c>
      <c r="K8" s="14" t="n">
        <f aca="false">'Roll-Up Model'!K85</f>
        <v>15.5566877556759</v>
      </c>
      <c r="L8" s="14" t="n">
        <f aca="false">'Roll-Up Model'!L85</f>
        <v>15.4150717465937</v>
      </c>
      <c r="M8" s="14" t="n">
        <f aca="false">'Roll-Up Model'!M85</f>
        <v>14.0007255380708</v>
      </c>
    </row>
    <row r="9" customFormat="false" ht="15" hidden="false" customHeight="true" outlineLevel="0" collapsed="false">
      <c r="A9" s="4" t="s">
        <v>430</v>
      </c>
      <c r="D9" s="14" t="n">
        <f aca="false">'Roll-Up Model'!D97</f>
        <v>6.188443828125</v>
      </c>
      <c r="E9" s="14" t="n">
        <f aca="false">'Roll-Up Model'!E97</f>
        <v>8.90127422066532</v>
      </c>
      <c r="F9" s="14" t="n">
        <f aca="false">'Roll-Up Model'!F97</f>
        <v>11.2542323444569</v>
      </c>
      <c r="G9" s="14" t="n">
        <f aca="false">'Roll-Up Model'!G97</f>
        <v>13.3625086964569</v>
      </c>
      <c r="H9" s="14" t="n">
        <f aca="false">'Roll-Up Model'!H97</f>
        <v>15.5551161025369</v>
      </c>
      <c r="I9" s="14" t="n">
        <f aca="false">'Roll-Up Model'!I97</f>
        <v>17.0753239040857</v>
      </c>
      <c r="J9" s="14" t="n">
        <f aca="false">'Roll-Up Model'!J97</f>
        <v>18.5221694122066</v>
      </c>
      <c r="K9" s="14" t="n">
        <f aca="false">'Roll-Up Model'!K97</f>
        <v>18.7962122052325</v>
      </c>
      <c r="L9" s="14" t="n">
        <f aca="false">'Roll-Up Model'!L97</f>
        <v>18.9387144576059</v>
      </c>
      <c r="M9" s="14" t="n">
        <f aca="false">'Roll-Up Model'!M97</f>
        <v>18.9387144576059</v>
      </c>
    </row>
    <row r="10" customFormat="false" ht="15" hidden="false" customHeight="true" outlineLevel="0" collapsed="false">
      <c r="A10" s="4" t="s">
        <v>26</v>
      </c>
      <c r="D10" s="15" t="n">
        <f aca="false">'Roll-Up Model'!D101</f>
        <v>0.714652857999716</v>
      </c>
      <c r="E10" s="15" t="n">
        <f aca="false">'Roll-Up Model'!E101</f>
        <v>0.757283176281911</v>
      </c>
      <c r="F10" s="15" t="n">
        <f aca="false">'Roll-Up Model'!F101</f>
        <v>0.767755827766288</v>
      </c>
      <c r="G10" s="15" t="n">
        <f aca="false">'Roll-Up Model'!G101</f>
        <v>0.771074020605389</v>
      </c>
      <c r="H10" s="15" t="n">
        <f aca="false">'Roll-Up Model'!H101</f>
        <v>0.773008538199734</v>
      </c>
      <c r="I10" s="15" t="n">
        <f aca="false">'Roll-Up Model'!I101</f>
        <v>0.773960559947112</v>
      </c>
      <c r="J10" s="15" t="n">
        <f aca="false">'Roll-Up Model'!J101</f>
        <v>0.774494200883077</v>
      </c>
      <c r="K10" s="15" t="n">
        <f aca="false">'Roll-Up Model'!K101</f>
        <v>0.772988154550791</v>
      </c>
      <c r="L10" s="15" t="n">
        <f aca="false">'Roll-Up Model'!L101</f>
        <v>0.772320854820993</v>
      </c>
      <c r="M10" s="15" t="n">
        <f aca="false">'Roll-Up Model'!M101</f>
        <v>0.772320854820993</v>
      </c>
    </row>
    <row r="11" customFormat="false" ht="15" hidden="false" customHeight="true" outlineLevel="0" collapsed="false">
      <c r="A11" s="4" t="s">
        <v>427</v>
      </c>
      <c r="D11" s="14" t="n">
        <f aca="false">'Roll-Up Model'!D94</f>
        <v>4.562693828125</v>
      </c>
      <c r="E11" s="14" t="n">
        <f aca="false">'Roll-Up Model'!E94</f>
        <v>6.95065422066532</v>
      </c>
      <c r="F11" s="14" t="n">
        <f aca="false">'Roll-Up Model'!F94</f>
        <v>8.96574754445689</v>
      </c>
      <c r="G11" s="14" t="n">
        <f aca="false">'Roll-Up Model'!G94</f>
        <v>10.7226445044569</v>
      </c>
      <c r="H11" s="14" t="n">
        <f aca="false">'Roll-Up Model'!H94</f>
        <v>12.5498173428569</v>
      </c>
      <c r="I11" s="14" t="n">
        <f aca="false">'Roll-Up Model'!I94</f>
        <v>13.8166571774809</v>
      </c>
      <c r="J11" s="14" t="n">
        <f aca="false">'Roll-Up Model'!J94</f>
        <v>15</v>
      </c>
      <c r="K11" s="14" t="n">
        <f aca="false">'Roll-Up Model'!K94</f>
        <v>15</v>
      </c>
      <c r="L11" s="14" t="n">
        <f aca="false">'Roll-Up Model'!L94</f>
        <v>15</v>
      </c>
      <c r="M11" s="14" t="n">
        <f aca="false">'Roll-Up Model'!M94</f>
        <v>15</v>
      </c>
    </row>
    <row r="12" customFormat="false" ht="15" hidden="false" customHeight="true" outlineLevel="0" collapsed="false">
      <c r="A12" s="4" t="s">
        <v>486</v>
      </c>
      <c r="D12" s="14" t="n">
        <f aca="false">'Roll-Up Model'!D103</f>
        <v>0</v>
      </c>
      <c r="E12" s="14" t="n">
        <f aca="false">'Roll-Up Model'!E103</f>
        <v>0</v>
      </c>
      <c r="F12" s="14" t="n">
        <f aca="false">'Roll-Up Model'!F103</f>
        <v>0</v>
      </c>
      <c r="G12" s="14" t="n">
        <f aca="false">'Roll-Up Model'!G103</f>
        <v>0</v>
      </c>
      <c r="H12" s="14" t="n">
        <f aca="false">'Roll-Up Model'!H103</f>
        <v>1.83950779562275</v>
      </c>
      <c r="I12" s="14" t="n">
        <f aca="false">'Roll-Up Model'!I103</f>
        <v>6.9319251346167</v>
      </c>
      <c r="J12" s="14" t="n">
        <f aca="false">'Roll-Up Model'!J103</f>
        <v>13.5650082486443</v>
      </c>
      <c r="K12" s="14" t="n">
        <f aca="false">'Roll-Up Model'!K103</f>
        <v>21.1147601043256</v>
      </c>
      <c r="L12" s="14" t="n">
        <f aca="false">'Roll-Up Model'!L103</f>
        <v>31.1184321351097</v>
      </c>
      <c r="M12" s="14" t="n">
        <f aca="false">'Roll-Up Model'!M103</f>
        <v>43.4106216839777</v>
      </c>
    </row>
    <row r="14" customFormat="false" ht="15" hidden="false" customHeight="true" outlineLevel="0" collapsed="false">
      <c r="A14" s="7" t="s">
        <v>487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5" hidden="false" customHeight="true" outlineLevel="0" collapsed="false">
      <c r="A15" s="31" t="s">
        <v>488</v>
      </c>
      <c r="D15" s="27" t="n">
        <f aca="false">D5*D7+Synergies!D28</f>
        <v>21.6144075892857</v>
      </c>
      <c r="E15" s="27" t="n">
        <f aca="false">E5*E7+Synergies!E28</f>
        <v>45.8209580843174</v>
      </c>
      <c r="F15" s="27" t="n">
        <f aca="false">F5*F7+Synergies!F28</f>
        <v>86.2667421562467</v>
      </c>
      <c r="G15" s="27" t="n">
        <f aca="false">G5*G7+Synergies!G28</f>
        <v>141.030948717615</v>
      </c>
      <c r="H15" s="27" t="n">
        <f aca="false">H5*H7+Synergies!H28</f>
        <v>193.146705280201</v>
      </c>
      <c r="I15" s="27" t="n">
        <f aca="false">I5*I7+Synergies!I28</f>
        <v>242.97542172582</v>
      </c>
      <c r="J15" s="27" t="n">
        <f aca="false">J5*J7+Synergies!J28</f>
        <v>290.739397925717</v>
      </c>
      <c r="K15" s="27" t="n">
        <f aca="false">K5*K7+Synergies!K28</f>
        <v>337.856175972234</v>
      </c>
      <c r="L15" s="27" t="n">
        <f aca="false">L5*L7+Synergies!L28</f>
        <v>381.027340899739</v>
      </c>
      <c r="M15" s="27" t="n">
        <f aca="false">M5*M7+Synergies!M28</f>
        <v>413.512311632059</v>
      </c>
    </row>
    <row r="16" customFormat="false" ht="15" hidden="false" customHeight="true" outlineLevel="0" collapsed="false">
      <c r="A16" s="4" t="s">
        <v>489</v>
      </c>
      <c r="D16" s="45" t="n">
        <f aca="false">IF(D5=0,0,D15/D5)</f>
        <v>14.3635220928094</v>
      </c>
      <c r="E16" s="45" t="n">
        <f aca="false">IF(E5=0,0,E15/E5)</f>
        <v>13.7736431997384</v>
      </c>
      <c r="F16" s="45" t="n">
        <f aca="false">IF(F5=0,0,F15/F5)</f>
        <v>13.3985684274773</v>
      </c>
      <c r="G16" s="45" t="n">
        <f aca="false">IF(G5=0,0,G15/G5)</f>
        <v>13.3031459089129</v>
      </c>
      <c r="H16" s="45" t="n">
        <f aca="false">IF(H5=0,0,H15/H5)</f>
        <v>13.3741746907416</v>
      </c>
      <c r="I16" s="45" t="n">
        <f aca="false">IF(I5=0,0,I15/I5)</f>
        <v>13.4191913637215</v>
      </c>
      <c r="J16" s="45" t="n">
        <f aca="false">IF(J5=0,0,J15/J5)</f>
        <v>13.5056259765504</v>
      </c>
      <c r="K16" s="45" t="n">
        <f aca="false">IF(K5=0,0,K15/K5)</f>
        <v>13.4395524979741</v>
      </c>
      <c r="L16" s="45" t="n">
        <f aca="false">IF(L5=0,0,L15/L5)</f>
        <v>13.3755020448135</v>
      </c>
      <c r="M16" s="45" t="n">
        <f aca="false">IF(M5=0,0,M15/M5)</f>
        <v>13.3353670420909</v>
      </c>
    </row>
    <row r="17" customFormat="false" ht="15" hidden="false" customHeight="true" outlineLevel="0" collapsed="false">
      <c r="A17" s="4" t="s">
        <v>490</v>
      </c>
      <c r="D17" s="25" t="n">
        <f aca="false">D15*(1-Assumptions!$B$74)-D8</f>
        <v>15.0433694375</v>
      </c>
      <c r="E17" s="25" t="n">
        <f aca="false">E15*(1-Assumptions!$B$74)-E8</f>
        <v>36.1849139226311</v>
      </c>
      <c r="F17" s="25" t="n">
        <f aca="false">F15*(1-Assumptions!$B$74)-F8</f>
        <v>73.4646719381218</v>
      </c>
      <c r="G17" s="25" t="n">
        <f aca="false">G15*(1-Assumptions!$B$74)-G8</f>
        <v>126.586549923009</v>
      </c>
      <c r="H17" s="25" t="n">
        <f aca="false">H15*(1-Assumptions!$B$74)-H8</f>
        <v>176.98014393531</v>
      </c>
      <c r="I17" s="25" t="n">
        <f aca="false">I15*(1-Assumptions!$B$74)-I8</f>
        <v>224.82158146274</v>
      </c>
      <c r="J17" s="25" t="n">
        <f aca="false">J15*(1-Assumptions!$B$74)-J8</f>
        <v>270.5478629507</v>
      </c>
      <c r="K17" s="25" t="n">
        <f aca="false">K15*(1-Assumptions!$B$74)-K8</f>
        <v>315.542364697114</v>
      </c>
      <c r="L17" s="25" t="n">
        <f aca="false">L15*(1-Assumptions!$B$74)-L8</f>
        <v>357.99172233515</v>
      </c>
      <c r="M17" s="25" t="n">
        <f aca="false">M15*(1-Assumptions!$B$74)-M8</f>
        <v>391.241339861347</v>
      </c>
    </row>
    <row r="18" customFormat="false" ht="15" hidden="false" customHeight="true" outlineLevel="0" collapsed="false">
      <c r="A18" s="4" t="s">
        <v>491</v>
      </c>
      <c r="D18" s="25" t="n">
        <f aca="false">-Assumptions!$B$73*MAX(0,D17-D9)</f>
        <v>-0.8854925609375</v>
      </c>
      <c r="E18" s="25" t="n">
        <f aca="false">-Assumptions!$B$73*MAX(0,E17-E9)</f>
        <v>-2.72836397019657</v>
      </c>
      <c r="F18" s="25" t="n">
        <f aca="false">-Assumptions!$B$73*MAX(0,F17-F9)</f>
        <v>-6.22104395936649</v>
      </c>
      <c r="G18" s="25" t="n">
        <f aca="false">-Assumptions!$B$73*MAX(0,G17-G9)</f>
        <v>-11.3224041226552</v>
      </c>
      <c r="H18" s="25" t="n">
        <f aca="false">-Assumptions!$B$73*MAX(0,H17-H9)</f>
        <v>-16.1425027832773</v>
      </c>
      <c r="I18" s="25" t="n">
        <f aca="false">-Assumptions!$B$73*MAX(0,I17-I9)</f>
        <v>-20.7746257558654</v>
      </c>
      <c r="J18" s="25" t="n">
        <f aca="false">-Assumptions!$B$73*MAX(0,J17-J9)</f>
        <v>-25.2025693538494</v>
      </c>
      <c r="K18" s="25" t="n">
        <f aca="false">-Assumptions!$B$73*MAX(0,K17-K9)</f>
        <v>-29.6746152491881</v>
      </c>
      <c r="L18" s="25" t="n">
        <f aca="false">-Assumptions!$B$73*MAX(0,L17-L9)</f>
        <v>-33.9053007877544</v>
      </c>
      <c r="M18" s="25" t="n">
        <f aca="false">-Assumptions!$B$73*MAX(0,M17-M9)</f>
        <v>-37.2302625403741</v>
      </c>
    </row>
    <row r="19" customFormat="false" ht="15" hidden="false" customHeight="true" outlineLevel="0" collapsed="false">
      <c r="A19" s="47" t="s">
        <v>492</v>
      </c>
      <c r="D19" s="42" t="n">
        <f aca="false">MAX(0,(D17+D18)*D10)</f>
        <v>10.1179671730435</v>
      </c>
      <c r="E19" s="42" t="n">
        <f aca="false">MAX(0,(E17+E18)*E10)</f>
        <v>25.336082415414</v>
      </c>
      <c r="F19" s="42" t="n">
        <f aca="false">MAX(0,(F17+F18)*F10)</f>
        <v>51.6266872608376</v>
      </c>
      <c r="G19" s="42" t="n">
        <f aca="false">MAX(0,(G17+G18)*G10)</f>
        <v>88.8771883339248</v>
      </c>
      <c r="H19" s="42" t="n">
        <f aca="false">MAX(0,(H17+H18)*H10)</f>
        <v>124.328869874426</v>
      </c>
      <c r="I19" s="42" t="n">
        <f aca="false">MAX(0,(I17+I18)*I10)</f>
        <v>157.924296094396</v>
      </c>
      <c r="J19" s="42" t="n">
        <f aca="false">MAX(0,(J17+J18)*J10)</f>
        <v>190.018507104717</v>
      </c>
      <c r="K19" s="42" t="n">
        <f aca="false">MAX(0,(K17+K18)*K10)</f>
        <v>220.97238409134</v>
      </c>
      <c r="L19" s="42" t="n">
        <f aca="false">MAX(0,(L17+L18)*L10)</f>
        <v>250.298702125361</v>
      </c>
      <c r="M19" s="42" t="n">
        <f aca="false">MAX(0,(M17+M18)*M10)</f>
        <v>273.410137852635</v>
      </c>
    </row>
    <row r="20" customFormat="false" ht="15" hidden="false" customHeight="true" outlineLevel="0" collapsed="false">
      <c r="A20" s="31" t="s">
        <v>493</v>
      </c>
      <c r="D20" s="34" t="n">
        <f aca="false">IF(D11=0,0,(D19+D12)/D11)</f>
        <v>2.21754243308528</v>
      </c>
      <c r="E20" s="34" t="n">
        <f aca="false">IF(E11=0,0,(E19+E12)/E11)</f>
        <v>3.64513635854393</v>
      </c>
      <c r="F20" s="34" t="n">
        <f aca="false">IF(F11=0,0,(F19+F12)/F11)</f>
        <v>5.75821335642626</v>
      </c>
      <c r="G20" s="34" t="n">
        <f aca="false">IF(G11=0,0,(G19+G12)/G11)</f>
        <v>8.2887377546633</v>
      </c>
      <c r="H20" s="34" t="n">
        <f aca="false">IF(H11=0,0,(H19+H12)/H11)</f>
        <v>10.0534035056583</v>
      </c>
      <c r="I20" s="34" t="n">
        <f aca="false">IF(I11=0,0,(I19+I12)/I11)</f>
        <v>11.9317009252936</v>
      </c>
      <c r="J20" s="34" t="n">
        <f aca="false">IF(J11=0,0,(J19+J12)/J11)</f>
        <v>13.5722343568908</v>
      </c>
      <c r="K20" s="34" t="n">
        <f aca="false">IF(K11=0,0,(K19+K12)/K11)</f>
        <v>16.1391429463777</v>
      </c>
      <c r="L20" s="34" t="n">
        <f aca="false">IF(L11=0,0,(L19+L12)/L11)</f>
        <v>18.7611422840314</v>
      </c>
      <c r="M20" s="34" t="n">
        <f aca="false">IF(M11=0,0,(M19+M12)/M11)</f>
        <v>21.1213839691075</v>
      </c>
    </row>
    <row r="22" customFormat="false" ht="15" hidden="false" customHeight="true" outlineLevel="0" collapsed="false">
      <c r="A22" s="7" t="s">
        <v>494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4" t="s">
        <v>495</v>
      </c>
      <c r="D23" s="25" t="n">
        <f aca="false">D19*(1-Assumptions!$B$85)</f>
        <v>6.07078030382609</v>
      </c>
      <c r="E23" s="25" t="n">
        <f aca="false">E19*(1-Assumptions!$B$85)</f>
        <v>15.2016494492484</v>
      </c>
      <c r="F23" s="25" t="n">
        <f aca="false">F19*(1-Assumptions!$B$85)</f>
        <v>30.9760123565026</v>
      </c>
      <c r="G23" s="25" t="n">
        <f aca="false">G19*(1-Assumptions!$B$85)</f>
        <v>53.3263130003549</v>
      </c>
      <c r="H23" s="25" t="n">
        <f aca="false">H19*(1-Assumptions!$B$85)</f>
        <v>74.5973219246556</v>
      </c>
      <c r="I23" s="25" t="n">
        <f aca="false">I19*(1-Assumptions!$B$85)</f>
        <v>94.7545776566378</v>
      </c>
      <c r="J23" s="25" t="n">
        <f aca="false">J19*(1-Assumptions!$B$85)</f>
        <v>114.01110426283</v>
      </c>
      <c r="K23" s="25" t="n">
        <f aca="false">K19*(1-Assumptions!$B$85)</f>
        <v>132.583430454804</v>
      </c>
      <c r="L23" s="25" t="n">
        <f aca="false">L19*(1-Assumptions!$B$85)</f>
        <v>150.179221275217</v>
      </c>
      <c r="M23" s="25" t="n">
        <f aca="false">M19*(1-Assumptions!$B$85)</f>
        <v>164.046082711581</v>
      </c>
    </row>
    <row r="24" customFormat="false" ht="15" hidden="false" customHeight="true" outlineLevel="0" collapsed="false">
      <c r="A24" s="4" t="s">
        <v>496</v>
      </c>
      <c r="D24" s="25" t="n">
        <f aca="false">D19*Assumptions!$B$85*(1+Assumptions!$B$86)^(10-D$3)</f>
        <v>11.2231679344581</v>
      </c>
      <c r="E24" s="25" t="n">
        <f aca="false">E19*Assumptions!$B$85*(1+Assumptions!$B$86)^(10-E$3)</f>
        <v>25.0924828368542</v>
      </c>
      <c r="F24" s="25" t="n">
        <f aca="false">F19*Assumptions!$B$85*(1+Assumptions!$B$86)^(10-F$3)</f>
        <v>45.6520630614008</v>
      </c>
      <c r="G24" s="25" t="n">
        <f aca="false">G19*Assumptions!$B$85*(1+Assumptions!$B$86)^(10-G$3)</f>
        <v>70.1711242115487</v>
      </c>
      <c r="H24" s="25" t="n">
        <f aca="false">H19*Assumptions!$B$85*(1+Assumptions!$B$86)^(10-H$3)</f>
        <v>87.6439799219399</v>
      </c>
      <c r="I24" s="25" t="n">
        <f aca="false">I19*Assumptions!$B$85*(1+Assumptions!$B$86)^(10-I$3)</f>
        <v>99.398774927562</v>
      </c>
      <c r="J24" s="25" t="n">
        <f aca="false">J19*Assumptions!$B$85*(1+Assumptions!$B$86)^(10-J$3)</f>
        <v>106.784928459846</v>
      </c>
      <c r="K24" s="25" t="n">
        <f aca="false">K19*Assumptions!$B$85*(1+Assumptions!$B$86)^(10-K$3)</f>
        <v>110.875103441671</v>
      </c>
      <c r="L24" s="25" t="n">
        <f aca="false">L19*Assumptions!$B$85*(1+Assumptions!$B$86)^(10-L$3)</f>
        <v>112.133818552162</v>
      </c>
      <c r="M24" s="25" t="n">
        <f aca="false">M19*Assumptions!$B$85*(1+Assumptions!$B$86)^(10-M$3)</f>
        <v>109.364055141054</v>
      </c>
    </row>
    <row r="25" customFormat="false" ht="15" hidden="false" customHeight="true" outlineLevel="0" collapsed="false">
      <c r="A25" s="47" t="s">
        <v>497</v>
      </c>
      <c r="D25" s="42" t="n">
        <f aca="false">D23+D24</f>
        <v>17.2939482382842</v>
      </c>
      <c r="E25" s="42" t="n">
        <f aca="false">E23+E24</f>
        <v>40.2941322861026</v>
      </c>
      <c r="F25" s="42" t="n">
        <f aca="false">F23+F24</f>
        <v>76.6280754179034</v>
      </c>
      <c r="G25" s="42" t="n">
        <f aca="false">G23+G24</f>
        <v>123.497437211904</v>
      </c>
      <c r="H25" s="42" t="n">
        <f aca="false">H23+H24</f>
        <v>162.241301846595</v>
      </c>
      <c r="I25" s="42" t="n">
        <f aca="false">I23+I24</f>
        <v>194.1533525842</v>
      </c>
      <c r="J25" s="42" t="n">
        <f aca="false">J23+J24</f>
        <v>220.796032722676</v>
      </c>
      <c r="K25" s="42" t="n">
        <f aca="false">K23+K24</f>
        <v>243.458533896475</v>
      </c>
      <c r="L25" s="42" t="n">
        <f aca="false">L23+L24</f>
        <v>262.313039827379</v>
      </c>
      <c r="M25" s="42" t="n">
        <f aca="false">M23+M24</f>
        <v>273.410137852635</v>
      </c>
    </row>
    <row r="26" customFormat="false" ht="15" hidden="false" customHeight="true" outlineLevel="0" collapsed="false">
      <c r="A26" s="31" t="s">
        <v>493</v>
      </c>
      <c r="D26" s="34" t="n">
        <f aca="false">IF(D11=0,0,(D25+D12)/D11)</f>
        <v>3.79029338582444</v>
      </c>
      <c r="E26" s="34" t="n">
        <f aca="false">IF(E11=0,0,(E25+E12)/E11)</f>
        <v>5.79717117365761</v>
      </c>
      <c r="F26" s="34" t="n">
        <f aca="false">IF(F11=0,0,(F25+F12)/F11)</f>
        <v>8.54675809662731</v>
      </c>
      <c r="G26" s="34" t="n">
        <f aca="false">IF(G11=0,0,(G25+G12)/G11)</f>
        <v>11.5174420974762</v>
      </c>
      <c r="H26" s="34" t="n">
        <f aca="false">IF(H11=0,0,(H25+H12)/H11)</f>
        <v>13.0743583878223</v>
      </c>
      <c r="I26" s="34" t="n">
        <f aca="false">IF(I11=0,0,(I25+I12)/I11)</f>
        <v>14.5538298544858</v>
      </c>
      <c r="J26" s="34" t="n">
        <f aca="false">IF(J11=0,0,(J25+J12)/J11)</f>
        <v>15.6240693980881</v>
      </c>
      <c r="K26" s="34" t="n">
        <f aca="false">IF(K11=0,0,(K25+K12)/K11)</f>
        <v>17.6382196000533</v>
      </c>
      <c r="L26" s="34" t="n">
        <f aca="false">IF(L11=0,0,(L25+L12)/L11)</f>
        <v>19.5620981308326</v>
      </c>
      <c r="M26" s="34" t="n">
        <f aca="false">IF(M11=0,0,(M25+M12)/M11)</f>
        <v>21.1213839691075</v>
      </c>
    </row>
    <row r="28" customFormat="false" ht="15" hidden="false" customHeight="true" outlineLevel="0" collapsed="false">
      <c r="A28" s="7" t="s">
        <v>498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15" hidden="false" customHeight="true" outlineLevel="0" collapsed="false">
      <c r="A29" s="31" t="s">
        <v>488</v>
      </c>
      <c r="D29" s="27" t="n">
        <f aca="false">D5*Assumptions!$B$83+Synergies!D34</f>
        <v>15.4049625</v>
      </c>
      <c r="E29" s="27" t="n">
        <f aca="false">E5*Assumptions!$B$83+Synergies!E34</f>
        <v>33.1888782520161</v>
      </c>
      <c r="F29" s="27" t="n">
        <f aca="false">F5*Assumptions!$B$83+Synergies!F34</f>
        <v>62.6449709455012</v>
      </c>
      <c r="G29" s="27" t="n">
        <f aca="false">G5*Assumptions!$B$83+Synergies!G34</f>
        <v>101.599632478701</v>
      </c>
      <c r="H29" s="27" t="n">
        <f aca="false">H5*Assumptions!$B$83+Synergies!H34</f>
        <v>137.669345488596</v>
      </c>
      <c r="I29" s="27" t="n">
        <f aca="false">I5*Assumptions!$B$83+Synergies!I34</f>
        <v>171.729774268652</v>
      </c>
      <c r="J29" s="27" t="n">
        <f aca="false">J5*Assumptions!$B$83+Synergies!J34</f>
        <v>203.577778534788</v>
      </c>
      <c r="K29" s="27" t="n">
        <f aca="false">K5*Assumptions!$B$83+Synergies!K34</f>
        <v>236.326853149624</v>
      </c>
      <c r="L29" s="27" t="n">
        <f aca="false">L5*Assumptions!$B$83+Synergies!L34</f>
        <v>266.684152426132</v>
      </c>
      <c r="M29" s="27" t="n">
        <f aca="false">M5*Assumptions!$B$83+Synergies!M34</f>
        <v>289.547005962975</v>
      </c>
    </row>
    <row r="30" customFormat="false" ht="15" hidden="false" customHeight="true" outlineLevel="0" collapsed="false">
      <c r="A30" s="4" t="s">
        <v>489</v>
      </c>
      <c r="D30" s="45" t="n">
        <f aca="false">IF(D5=0,0,D29/D5)</f>
        <v>10.2371308717864</v>
      </c>
      <c r="E30" s="45" t="n">
        <f aca="false">IF(E5=0,0,E29/E5)</f>
        <v>9.97647771575698</v>
      </c>
      <c r="F30" s="45" t="n">
        <f aca="false">IF(F5=0,0,F29/F5)</f>
        <v>9.72973951340812</v>
      </c>
      <c r="G30" s="45" t="n">
        <f aca="false">IF(G5=0,0,G29/G5)</f>
        <v>9.58367470009987</v>
      </c>
      <c r="H30" s="45" t="n">
        <f aca="false">IF(H5=0,0,H29/H5)</f>
        <v>9.53272215259101</v>
      </c>
      <c r="I30" s="45" t="n">
        <f aca="false">IF(I5=0,0,I29/I5)</f>
        <v>9.48439429548633</v>
      </c>
      <c r="J30" s="45" t="n">
        <f aca="false">IF(J5=0,0,J29/J5)</f>
        <v>9.45673463467217</v>
      </c>
      <c r="K30" s="45" t="n">
        <f aca="false">IF(K5=0,0,K29/K5)</f>
        <v>9.40082607768109</v>
      </c>
      <c r="L30" s="45" t="n">
        <f aca="false">IF(L5=0,0,L29/L5)</f>
        <v>9.36162328317979</v>
      </c>
      <c r="M30" s="45" t="n">
        <f aca="false">IF(M5=0,0,M29/M5)</f>
        <v>9.3376073501058</v>
      </c>
    </row>
    <row r="31" customFormat="false" ht="15" hidden="false" customHeight="true" outlineLevel="0" collapsed="false">
      <c r="A31" s="4" t="s">
        <v>490</v>
      </c>
      <c r="D31" s="25" t="n">
        <f aca="false">D29*(1-Assumptions!$B$74)-D8</f>
        <v>8.95811325</v>
      </c>
      <c r="E31" s="25" t="n">
        <f aca="false">E29*(1-Assumptions!$B$74)-E8</f>
        <v>23.8054756869758</v>
      </c>
      <c r="F31" s="25" t="n">
        <f aca="false">F29*(1-Assumptions!$B$74)-F8</f>
        <v>50.3153361515911</v>
      </c>
      <c r="G31" s="25" t="n">
        <f aca="false">G29*(1-Assumptions!$B$74)-G8</f>
        <v>87.9438600088741</v>
      </c>
      <c r="H31" s="25" t="n">
        <f aca="false">H29*(1-Assumptions!$B$74)-H8</f>
        <v>122.612331339536</v>
      </c>
      <c r="I31" s="25" t="n">
        <f aca="false">I29*(1-Assumptions!$B$74)-I8</f>
        <v>155.000846954716</v>
      </c>
      <c r="J31" s="25" t="n">
        <f aca="false">J29*(1-Assumptions!$B$74)-J8</f>
        <v>185.12947594759</v>
      </c>
      <c r="K31" s="25" t="n">
        <f aca="false">K29*(1-Assumptions!$B$74)-K8</f>
        <v>216.043628330955</v>
      </c>
      <c r="L31" s="25" t="n">
        <f aca="false">L29*(1-Assumptions!$B$74)-L8</f>
        <v>245.935397631016</v>
      </c>
      <c r="M31" s="25" t="n">
        <f aca="false">M29*(1-Assumptions!$B$74)-M8</f>
        <v>269.755340305644</v>
      </c>
    </row>
    <row r="32" customFormat="false" ht="15" hidden="false" customHeight="true" outlineLevel="0" collapsed="false">
      <c r="A32" s="4" t="s">
        <v>491</v>
      </c>
      <c r="D32" s="25" t="n">
        <f aca="false">-Assumptions!$B$73*MAX(0,D31-D9)</f>
        <v>-0.2769669421875</v>
      </c>
      <c r="E32" s="25" t="n">
        <f aca="false">-Assumptions!$B$73*MAX(0,E31-E9)</f>
        <v>-1.49042014663105</v>
      </c>
      <c r="F32" s="25" t="n">
        <f aca="false">-Assumptions!$B$73*MAX(0,F31-F9)</f>
        <v>-3.90611038071342</v>
      </c>
      <c r="G32" s="25" t="n">
        <f aca="false">-Assumptions!$B$73*MAX(0,G31-G9)</f>
        <v>-7.45813513124172</v>
      </c>
      <c r="H32" s="25" t="n">
        <f aca="false">-Assumptions!$B$73*MAX(0,H31-H9)</f>
        <v>-10.7057215237</v>
      </c>
      <c r="I32" s="25" t="n">
        <f aca="false">-Assumptions!$B$73*MAX(0,I31-I9)</f>
        <v>-13.7925523050631</v>
      </c>
      <c r="J32" s="25" t="n">
        <f aca="false">-Assumptions!$B$73*MAX(0,J31-J9)</f>
        <v>-16.6607306535383</v>
      </c>
      <c r="K32" s="25" t="n">
        <f aca="false">-Assumptions!$B$73*MAX(0,K31-K9)</f>
        <v>-19.7247416125723</v>
      </c>
      <c r="L32" s="25" t="n">
        <f aca="false">-Assumptions!$B$73*MAX(0,L31-L9)</f>
        <v>-22.699668317341</v>
      </c>
      <c r="M32" s="25" t="n">
        <f aca="false">-Assumptions!$B$73*MAX(0,M31-M9)</f>
        <v>-25.0816625848038</v>
      </c>
    </row>
    <row r="33" customFormat="false" ht="15" hidden="false" customHeight="true" outlineLevel="0" collapsed="false">
      <c r="A33" s="47" t="s">
        <v>492</v>
      </c>
      <c r="D33" s="42" t="n">
        <f aca="false">MAX(0,(D31+D32)*D10)</f>
        <v>6.20400601959189</v>
      </c>
      <c r="E33" s="42" t="n">
        <f aca="false">MAX(0,(E31+E32)*E10)</f>
        <v>16.8988161384995</v>
      </c>
      <c r="F33" s="42" t="n">
        <f aca="false">MAX(0,(F31+F32)*F10)</f>
        <v>35.6309535477128</v>
      </c>
      <c r="G33" s="42" t="n">
        <f aca="false">MAX(0,(G31+G32)*G10)</f>
        <v>62.0604514827352</v>
      </c>
      <c r="H33" s="42" t="n">
        <f aca="false">MAX(0,(H31+H32)*H10)</f>
        <v>86.5047648686278</v>
      </c>
      <c r="I33" s="42" t="n">
        <f aca="false">MAX(0,(I31+I32)*I10)</f>
        <v>109.289650796222</v>
      </c>
      <c r="J33" s="42" t="n">
        <f aca="false">MAX(0,(J31+J32)*J10)</f>
        <v>130.478066260291</v>
      </c>
      <c r="K33" s="42" t="n">
        <f aca="false">MAX(0,(K31+K32)*K10)</f>
        <v>151.752173947909</v>
      </c>
      <c r="L33" s="42" t="n">
        <f aca="false">MAX(0,(L31+L32)*L10)</f>
        <v>172.409609290125</v>
      </c>
      <c r="M33" s="42" t="n">
        <f aca="false">MAX(0,(M31+M32)*M10)</f>
        <v>188.966583929556</v>
      </c>
    </row>
    <row r="34" customFormat="false" ht="15" hidden="false" customHeight="true" outlineLevel="0" collapsed="false">
      <c r="A34" s="31" t="s">
        <v>493</v>
      </c>
      <c r="D34" s="34" t="n">
        <f aca="false">IF(D11=0,0,(D33+D12)/D11)</f>
        <v>1.35972437627737</v>
      </c>
      <c r="E34" s="34" t="n">
        <f aca="false">IF(E11=0,0,(E33+E12)/E11)</f>
        <v>2.43125547639197</v>
      </c>
      <c r="F34" s="34" t="n">
        <f aca="false">IF(F11=0,0,(F33+F12)/F11)</f>
        <v>3.97411965606167</v>
      </c>
      <c r="G34" s="34" t="n">
        <f aca="false">IF(G11=0,0,(G33+G12)/G11)</f>
        <v>5.78779343630572</v>
      </c>
      <c r="H34" s="34" t="n">
        <f aca="false">IF(H11=0,0,(H33+H12)/H11)</f>
        <v>7.03948673121799</v>
      </c>
      <c r="I34" s="34" t="n">
        <f aca="false">IF(I11=0,0,(I33+I12)/I11)</f>
        <v>8.41170005435635</v>
      </c>
      <c r="J34" s="34" t="n">
        <f aca="false">IF(J11=0,0,(J33+J12)/J11)</f>
        <v>9.60287163392902</v>
      </c>
      <c r="K34" s="34" t="n">
        <f aca="false">IF(K11=0,0,(K33+K12)/K11)</f>
        <v>11.5244622701489</v>
      </c>
      <c r="L34" s="34" t="n">
        <f aca="false">IF(L11=0,0,(L33+L12)/L11)</f>
        <v>13.5685360950156</v>
      </c>
      <c r="M34" s="34" t="n">
        <f aca="false">IF(M11=0,0,(M33+M12)/M11)</f>
        <v>15.4918137075689</v>
      </c>
    </row>
    <row r="36" customFormat="false" ht="15" hidden="false" customHeight="true" outlineLevel="0" collapsed="false">
      <c r="A36" s="7" t="s">
        <v>499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customFormat="false" ht="15" hidden="false" customHeight="true" outlineLevel="0" collapsed="false">
      <c r="A37" s="31" t="s">
        <v>488</v>
      </c>
      <c r="D37" s="27" t="n">
        <f aca="false">D5*Assumptions!$B$16</f>
        <v>15.048125</v>
      </c>
      <c r="E37" s="27" t="n">
        <f aca="false">E5*Assumptions!$B$16</f>
        <v>33.267130141129</v>
      </c>
      <c r="F37" s="27" t="n">
        <f aca="false">F5*Assumptions!$B$16</f>
        <v>64.3850442852791</v>
      </c>
      <c r="G37" s="27" t="n">
        <f aca="false">G5*Assumptions!$B$16</f>
        <v>106.013231519265</v>
      </c>
      <c r="H37" s="27" t="n">
        <f aca="false">H5*Assumptions!$B$16</f>
        <v>144.417662955987</v>
      </c>
      <c r="I37" s="27" t="n">
        <f aca="false">I5*Assumptions!$B$16</f>
        <v>181.065620975268</v>
      </c>
      <c r="J37" s="27" t="n">
        <f aca="false">J5*Assumptions!$B$16</f>
        <v>215.272804407972</v>
      </c>
      <c r="K37" s="27" t="n">
        <f aca="false">K5*Assumptions!$B$16</f>
        <v>251.389453646736</v>
      </c>
      <c r="L37" s="27" t="n">
        <f aca="false">L5*Assumptions!$B$16</f>
        <v>284.869561997104</v>
      </c>
      <c r="M37" s="27" t="n">
        <f aca="false">M5*Assumptions!$B$16</f>
        <v>310.086936735131</v>
      </c>
    </row>
    <row r="38" customFormat="false" ht="15" hidden="false" customHeight="true" outlineLevel="0" collapsed="false">
      <c r="A38" s="4" t="s">
        <v>489</v>
      </c>
      <c r="D38" s="45" t="n">
        <f aca="false">IF(D5=0,0,D37/D5)</f>
        <v>10</v>
      </c>
      <c r="E38" s="45" t="n">
        <f aca="false">IF(E5=0,0,E37/E5)</f>
        <v>10</v>
      </c>
      <c r="F38" s="45" t="n">
        <f aca="false">IF(F5=0,0,F37/F5)</f>
        <v>10</v>
      </c>
      <c r="G38" s="45" t="n">
        <f aca="false">IF(G5=0,0,G37/G5)</f>
        <v>10</v>
      </c>
      <c r="H38" s="45" t="n">
        <f aca="false">IF(H5=0,0,H37/H5)</f>
        <v>10</v>
      </c>
      <c r="I38" s="45" t="n">
        <f aca="false">IF(I5=0,0,I37/I5)</f>
        <v>10</v>
      </c>
      <c r="J38" s="45" t="n">
        <f aca="false">IF(J5=0,0,J37/J5)</f>
        <v>10</v>
      </c>
      <c r="K38" s="45" t="n">
        <f aca="false">IF(K5=0,0,K37/K5)</f>
        <v>10</v>
      </c>
      <c r="L38" s="45" t="n">
        <f aca="false">IF(L5=0,0,L37/L5)</f>
        <v>10</v>
      </c>
      <c r="M38" s="45" t="n">
        <f aca="false">IF(M5=0,0,M37/M5)</f>
        <v>10</v>
      </c>
    </row>
    <row r="39" customFormat="false" ht="15" hidden="false" customHeight="true" outlineLevel="0" collapsed="false">
      <c r="A39" s="4" t="s">
        <v>490</v>
      </c>
      <c r="D39" s="25" t="n">
        <f aca="false">D37*(1-Assumptions!$B$74)-D8</f>
        <v>8.6084125</v>
      </c>
      <c r="E39" s="25" t="n">
        <f aca="false">E37*(1-Assumptions!$B$74)-E8</f>
        <v>23.8821625383065</v>
      </c>
      <c r="F39" s="25" t="n">
        <f aca="false">F37*(1-Assumptions!$B$74)-F8</f>
        <v>52.0206080245735</v>
      </c>
      <c r="G39" s="25" t="n">
        <f aca="false">G37*(1-Assumptions!$B$74)-G8</f>
        <v>92.2691870686268</v>
      </c>
      <c r="H39" s="25" t="n">
        <f aca="false">H37*(1-Assumptions!$B$74)-H8</f>
        <v>129.22568245758</v>
      </c>
      <c r="I39" s="25" t="n">
        <f aca="false">I37*(1-Assumptions!$B$74)-I8</f>
        <v>164.1499767272</v>
      </c>
      <c r="J39" s="25" t="n">
        <f aca="false">J37*(1-Assumptions!$B$74)-J8</f>
        <v>196.59060130331</v>
      </c>
      <c r="K39" s="25" t="n">
        <f aca="false">K37*(1-Assumptions!$B$74)-K8</f>
        <v>230.804976818125</v>
      </c>
      <c r="L39" s="25" t="n">
        <f aca="false">L37*(1-Assumptions!$B$74)-L8</f>
        <v>263.757099010568</v>
      </c>
      <c r="M39" s="25" t="n">
        <f aca="false">M37*(1-Assumptions!$B$74)-M8</f>
        <v>289.884472462357</v>
      </c>
    </row>
    <row r="40" customFormat="false" ht="15" hidden="false" customHeight="true" outlineLevel="0" collapsed="false">
      <c r="A40" s="4" t="s">
        <v>491</v>
      </c>
      <c r="D40" s="25" t="n">
        <f aca="false">-Assumptions!$B$73*MAX(0,D39-D9)</f>
        <v>-0.2419968671875</v>
      </c>
      <c r="E40" s="25" t="n">
        <f aca="false">-Assumptions!$B$73*MAX(0,E39-E9)</f>
        <v>-1.49808883176411</v>
      </c>
      <c r="F40" s="25" t="n">
        <f aca="false">-Assumptions!$B$73*MAX(0,F39-F9)</f>
        <v>-4.07663756801166</v>
      </c>
      <c r="G40" s="25" t="n">
        <f aca="false">-Assumptions!$B$73*MAX(0,G39-G9)</f>
        <v>-7.89066783721699</v>
      </c>
      <c r="H40" s="25" t="n">
        <f aca="false">-Assumptions!$B$73*MAX(0,H39-H9)</f>
        <v>-11.3670566355043</v>
      </c>
      <c r="I40" s="25" t="n">
        <f aca="false">-Assumptions!$B$73*MAX(0,I39-I9)</f>
        <v>-14.7074652823114</v>
      </c>
      <c r="J40" s="25" t="n">
        <f aca="false">-Assumptions!$B$73*MAX(0,J39-J9)</f>
        <v>-17.8068431891104</v>
      </c>
      <c r="K40" s="25" t="n">
        <f aca="false">-Assumptions!$B$73*MAX(0,K39-K9)</f>
        <v>-21.2008764612893</v>
      </c>
      <c r="L40" s="25" t="n">
        <f aca="false">-Assumptions!$B$73*MAX(0,L39-L9)</f>
        <v>-24.4818384552962</v>
      </c>
      <c r="M40" s="25" t="n">
        <f aca="false">-Assumptions!$B$73*MAX(0,M39-M9)</f>
        <v>-27.0945758004751</v>
      </c>
    </row>
    <row r="41" customFormat="false" ht="15" hidden="false" customHeight="true" outlineLevel="0" collapsed="false">
      <c r="A41" s="47" t="s">
        <v>492</v>
      </c>
      <c r="D41" s="42" t="n">
        <f aca="false">MAX(0,(D39+D40)*D10)</f>
        <v>5.97908284320296</v>
      </c>
      <c r="E41" s="42" t="n">
        <f aca="false">MAX(0,(E39+E40)*E10)</f>
        <v>16.9510824346188</v>
      </c>
      <c r="F41" s="42" t="n">
        <f aca="false">MAX(0,(F39+F40)*F10)</f>
        <v>36.8092627242801</v>
      </c>
      <c r="G41" s="42" t="n">
        <f aca="false">MAX(0,(G39+G40)*G10)</f>
        <v>65.0620840764923</v>
      </c>
      <c r="H41" s="42" t="n">
        <f aca="false">MAX(0,(H39+H40)*H10)</f>
        <v>91.1057240609519</v>
      </c>
      <c r="I41" s="42" t="n">
        <f aca="false">MAX(0,(I39+I40)*I10)</f>
        <v>115.662609837789</v>
      </c>
      <c r="J41" s="42" t="n">
        <f aca="false">MAX(0,(J39+J40)*J10)</f>
        <v>138.466983871531</v>
      </c>
      <c r="K41" s="42" t="n">
        <f aca="false">MAX(0,(K39+K40)*K10)</f>
        <v>162.021486721109</v>
      </c>
      <c r="L41" s="42" t="n">
        <f aca="false">MAX(0,(L39+L40)*L10)</f>
        <v>184.797273769563</v>
      </c>
      <c r="M41" s="42" t="n">
        <f aca="false">MAX(0,(M39+M40)*M10)</f>
        <v>202.958117628225</v>
      </c>
    </row>
    <row r="42" customFormat="false" ht="15" hidden="false" customHeight="true" outlineLevel="0" collapsed="false">
      <c r="A42" s="31" t="s">
        <v>493</v>
      </c>
      <c r="D42" s="34" t="n">
        <f aca="false">IF(D11=0,0,(D41+D12)/D11)</f>
        <v>1.31042824007764</v>
      </c>
      <c r="E42" s="34" t="n">
        <f aca="false">IF(E11=0,0,(E41+E12)/E11)</f>
        <v>2.4387750989282</v>
      </c>
      <c r="F42" s="34" t="n">
        <f aca="false">IF(F11=0,0,(F41+F12)/F11)</f>
        <v>4.10554307287378</v>
      </c>
      <c r="G42" s="34" t="n">
        <f aca="false">IF(G11=0,0,(G41+G12)/G11)</f>
        <v>6.06772742017598</v>
      </c>
      <c r="H42" s="34" t="n">
        <f aca="false">IF(H11=0,0,(H41+H12)/H11)</f>
        <v>7.40610236128076</v>
      </c>
      <c r="I42" s="34" t="n">
        <f aca="false">IF(I11=0,0,(I41+I12)/I11)</f>
        <v>8.87295193024086</v>
      </c>
      <c r="J42" s="34" t="n">
        <f aca="false">IF(J11=0,0,(J41+J12)/J11)</f>
        <v>10.135466141345</v>
      </c>
      <c r="K42" s="34" t="n">
        <f aca="false">IF(K11=0,0,(K41+K12)/K11)</f>
        <v>12.2090831216957</v>
      </c>
      <c r="L42" s="34" t="n">
        <f aca="false">IF(L11=0,0,(L41+L12)/L11)</f>
        <v>14.3943803936449</v>
      </c>
      <c r="M42" s="34" t="n">
        <f aca="false">IF(M11=0,0,(M41+M12)/M11)</f>
        <v>16.4245826208135</v>
      </c>
    </row>
    <row r="45" customFormat="false" ht="15" hidden="false" customHeight="true" outlineLevel="0" collapsed="false">
      <c r="A45" s="7" t="s">
        <v>500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customFormat="false" ht="15" hidden="false" customHeight="true" outlineLevel="0" collapsed="false">
      <c r="A46" s="32" t="s">
        <v>501</v>
      </c>
      <c r="B46" s="32" t="s">
        <v>502</v>
      </c>
      <c r="C46" s="32" t="s">
        <v>13</v>
      </c>
      <c r="D46" s="32" t="s">
        <v>271</v>
      </c>
      <c r="E46" s="32" t="s">
        <v>272</v>
      </c>
      <c r="F46" s="32" t="s">
        <v>273</v>
      </c>
      <c r="G46" s="32" t="s">
        <v>274</v>
      </c>
      <c r="H46" s="32" t="s">
        <v>275</v>
      </c>
      <c r="I46" s="32" t="s">
        <v>276</v>
      </c>
      <c r="J46" s="32" t="s">
        <v>277</v>
      </c>
      <c r="K46" s="32" t="s">
        <v>278</v>
      </c>
      <c r="L46" s="32" t="s">
        <v>279</v>
      </c>
      <c r="M46" s="32" t="s">
        <v>280</v>
      </c>
      <c r="N46" s="32" t="s">
        <v>8</v>
      </c>
    </row>
    <row r="47" customFormat="false" ht="15" hidden="false" customHeight="true" outlineLevel="0" collapsed="false">
      <c r="A47" s="4" t="s">
        <v>503</v>
      </c>
      <c r="B47" s="19" t="n">
        <v>5</v>
      </c>
      <c r="C47" s="25" t="n">
        <f aca="false">IF(0&lt;=$B47,-'Roll-Up Model'!C63+0,0)+IF(0=$B47,INDEX($D$19:$M$19,$B47),0)</f>
        <v>-2.9705</v>
      </c>
      <c r="D47" s="25" t="n">
        <f aca="false">IF(1&lt;=$B47,-'Roll-Up Model'!D63+'Roll-Up Model'!D102,0)+IF(1=$B47,INDEX($D$19:$M$19,$B47),0)</f>
        <v>-1.592193828125</v>
      </c>
      <c r="E47" s="25" t="n">
        <f aca="false">IF(2&lt;=$B47,-'Roll-Up Model'!E63+'Roll-Up Model'!E102,0)+IF(2=$B47,INDEX($D$19:$M$19,$B47),0)</f>
        <v>-2.38796039254032</v>
      </c>
      <c r="F47" s="25" t="n">
        <f aca="false">IF(3&lt;=$B47,-'Roll-Up Model'!F63+'Roll-Up Model'!F102,0)+IF(3=$B47,INDEX($D$19:$M$19,$B47),0)</f>
        <v>-2.01509332379157</v>
      </c>
      <c r="G47" s="25" t="n">
        <f aca="false">IF(4&lt;=$B47,-'Roll-Up Model'!G63+'Roll-Up Model'!G102,0)+IF(4=$B47,INDEX($D$19:$M$19,$B47),0)</f>
        <v>-1.75689696</v>
      </c>
      <c r="H47" s="25" t="n">
        <f aca="false">IF(5&lt;=$B47,-'Roll-Up Model'!H63+'Roll-Up Model'!H102,0)+IF(5=$B47,INDEX($D$19:$M$19,$B47),0)</f>
        <v>124.341204831649</v>
      </c>
      <c r="I47" s="25" t="n">
        <f aca="false">IF(6&lt;=$B47,-'Roll-Up Model'!I63+'Roll-Up Model'!I102,0)+IF(6=$B47,INDEX($D$19:$M$19,$B47),0)</f>
        <v>0</v>
      </c>
      <c r="J47" s="25" t="n">
        <f aca="false">IF(7&lt;=$B47,-'Roll-Up Model'!J63+'Roll-Up Model'!J102,0)+IF(7=$B47,INDEX($D$19:$M$19,$B47),0)</f>
        <v>0</v>
      </c>
      <c r="K47" s="25" t="n">
        <f aca="false">IF(8&lt;=$B47,-'Roll-Up Model'!K63+'Roll-Up Model'!K102,0)+IF(8=$B47,INDEX($D$19:$M$19,$B47),0)</f>
        <v>0</v>
      </c>
      <c r="L47" s="25" t="n">
        <f aca="false">IF(9&lt;=$B47,-'Roll-Up Model'!L63+'Roll-Up Model'!L102,0)+IF(9=$B47,INDEX($D$19:$M$19,$B47),0)</f>
        <v>0</v>
      </c>
      <c r="M47" s="25" t="n">
        <f aca="false">IF(10&lt;=$B47,-'Roll-Up Model'!M63+'Roll-Up Model'!M102,0)+IF(10=$B47,INDEX($D$19:$M$19,$B47),0)</f>
        <v>0</v>
      </c>
      <c r="N47" s="33" t="n">
        <f aca="false">IRR(C47:M47,0.25)</f>
        <v>0.911067800509404</v>
      </c>
    </row>
    <row r="48" customFormat="false" ht="15" hidden="false" customHeight="true" outlineLevel="0" collapsed="false">
      <c r="A48" s="4" t="s">
        <v>503</v>
      </c>
      <c r="B48" s="19" t="n">
        <v>6</v>
      </c>
      <c r="C48" s="25" t="n">
        <f aca="false">IF(0&lt;=$B48,-'Roll-Up Model'!C63+0,0)+IF(0=$B48,INDEX($D$19:$M$19,$B48),0)</f>
        <v>-2.9705</v>
      </c>
      <c r="D48" s="25" t="n">
        <f aca="false">IF(1&lt;=$B48,-'Roll-Up Model'!D63+'Roll-Up Model'!D102,0)+IF(1=$B48,INDEX($D$19:$M$19,$B48),0)</f>
        <v>-1.592193828125</v>
      </c>
      <c r="E48" s="25" t="n">
        <f aca="false">IF(2&lt;=$B48,-'Roll-Up Model'!E63+'Roll-Up Model'!E102,0)+IF(2=$B48,INDEX($D$19:$M$19,$B48),0)</f>
        <v>-2.38796039254032</v>
      </c>
      <c r="F48" s="25" t="n">
        <f aca="false">IF(3&lt;=$B48,-'Roll-Up Model'!F63+'Roll-Up Model'!F102,0)+IF(3=$B48,INDEX($D$19:$M$19,$B48),0)</f>
        <v>-2.01509332379157</v>
      </c>
      <c r="G48" s="25" t="n">
        <f aca="false">IF(4&lt;=$B48,-'Roll-Up Model'!G63+'Roll-Up Model'!G102,0)+IF(4=$B48,INDEX($D$19:$M$19,$B48),0)</f>
        <v>-1.75689696</v>
      </c>
      <c r="H48" s="25" t="n">
        <f aca="false">IF(5&lt;=$B48,-'Roll-Up Model'!H63+'Roll-Up Model'!H102,0)+IF(5=$B48,INDEX($D$19:$M$19,$B48),0)</f>
        <v>0.0123349572227498</v>
      </c>
      <c r="I48" s="25" t="n">
        <f aca="false">IF(6&lt;=$B48,-'Roll-Up Model'!I63+'Roll-Up Model'!I102,0)+IF(6=$B48,INDEX($D$19:$M$19,$B48),0)</f>
        <v>161.749873598766</v>
      </c>
      <c r="J48" s="25" t="n">
        <f aca="false">IF(7&lt;=$B48,-'Roll-Up Model'!J63+'Roll-Up Model'!J102,0)+IF(7=$B48,INDEX($D$19:$M$19,$B48),0)</f>
        <v>0</v>
      </c>
      <c r="K48" s="25" t="n">
        <f aca="false">IF(8&lt;=$B48,-'Roll-Up Model'!K63+'Roll-Up Model'!K102,0)+IF(8=$B48,INDEX($D$19:$M$19,$B48),0)</f>
        <v>0</v>
      </c>
      <c r="L48" s="25" t="n">
        <f aca="false">IF(9&lt;=$B48,-'Roll-Up Model'!L63+'Roll-Up Model'!L102,0)+IF(9=$B48,INDEX($D$19:$M$19,$B48),0)</f>
        <v>0</v>
      </c>
      <c r="M48" s="25" t="n">
        <f aca="false">IF(10&lt;=$B48,-'Roll-Up Model'!M63+'Roll-Up Model'!M102,0)+IF(10=$B48,INDEX($D$19:$M$19,$B48),0)</f>
        <v>0</v>
      </c>
      <c r="N48" s="33" t="n">
        <f aca="false">IRR(C48:M48,0.25)</f>
        <v>0.775654443613364</v>
      </c>
    </row>
    <row r="49" customFormat="false" ht="15" hidden="false" customHeight="true" outlineLevel="0" collapsed="false">
      <c r="A49" s="4" t="s">
        <v>503</v>
      </c>
      <c r="B49" s="19" t="n">
        <v>7</v>
      </c>
      <c r="C49" s="25" t="n">
        <f aca="false">IF(0&lt;=$B49,-'Roll-Up Model'!C63+0,0)+IF(0=$B49,INDEX($D$19:$M$19,$B49),0)</f>
        <v>-2.9705</v>
      </c>
      <c r="D49" s="25" t="n">
        <f aca="false">IF(1&lt;=$B49,-'Roll-Up Model'!D63+'Roll-Up Model'!D102,0)+IF(1=$B49,INDEX($D$19:$M$19,$B49),0)</f>
        <v>-1.592193828125</v>
      </c>
      <c r="E49" s="25" t="n">
        <f aca="false">IF(2&lt;=$B49,-'Roll-Up Model'!E63+'Roll-Up Model'!E102,0)+IF(2=$B49,INDEX($D$19:$M$19,$B49),0)</f>
        <v>-2.38796039254032</v>
      </c>
      <c r="F49" s="25" t="n">
        <f aca="false">IF(3&lt;=$B49,-'Roll-Up Model'!F63+'Roll-Up Model'!F102,0)+IF(3=$B49,INDEX($D$19:$M$19,$B49),0)</f>
        <v>-2.01509332379157</v>
      </c>
      <c r="G49" s="25" t="n">
        <f aca="false">IF(4&lt;=$B49,-'Roll-Up Model'!G63+'Roll-Up Model'!G102,0)+IF(4=$B49,INDEX($D$19:$M$19,$B49),0)</f>
        <v>-1.75689696</v>
      </c>
      <c r="H49" s="25" t="n">
        <f aca="false">IF(5&lt;=$B49,-'Roll-Up Model'!H63+'Roll-Up Model'!H102,0)+IF(5=$B49,INDEX($D$19:$M$19,$B49),0)</f>
        <v>0.0123349572227498</v>
      </c>
      <c r="I49" s="25" t="n">
        <f aca="false">IF(6&lt;=$B49,-'Roll-Up Model'!I63+'Roll-Up Model'!I102,0)+IF(6=$B49,INDEX($D$19:$M$19,$B49),0)</f>
        <v>3.82557750436995</v>
      </c>
      <c r="J49" s="25" t="n">
        <f aca="false">IF(7&lt;=$B49,-'Roll-Up Model'!J63+'Roll-Up Model'!J102,0)+IF(7=$B49,INDEX($D$19:$M$19,$B49),0)</f>
        <v>195.468247396225</v>
      </c>
      <c r="K49" s="25" t="n">
        <f aca="false">IF(8&lt;=$B49,-'Roll-Up Model'!K63+'Roll-Up Model'!K102,0)+IF(8=$B49,INDEX($D$19:$M$19,$B49),0)</f>
        <v>0</v>
      </c>
      <c r="L49" s="25" t="n">
        <f aca="false">IF(9&lt;=$B49,-'Roll-Up Model'!L63+'Roll-Up Model'!L102,0)+IF(9=$B49,INDEX($D$19:$M$19,$B49),0)</f>
        <v>0</v>
      </c>
      <c r="M49" s="25" t="n">
        <f aca="false">IF(10&lt;=$B49,-'Roll-Up Model'!M63+'Roll-Up Model'!M102,0)+IF(10=$B49,INDEX($D$19:$M$19,$B49),0)</f>
        <v>0</v>
      </c>
      <c r="N49" s="33" t="n">
        <f aca="false">IRR(C49:M49,0.25)</f>
        <v>0.676727473916418</v>
      </c>
    </row>
    <row r="50" customFormat="false" ht="15" hidden="false" customHeight="true" outlineLevel="0" collapsed="false">
      <c r="A50" s="4" t="s">
        <v>503</v>
      </c>
      <c r="B50" s="19" t="n">
        <v>8</v>
      </c>
      <c r="C50" s="25" t="n">
        <f aca="false">IF(0&lt;=$B50,-'Roll-Up Model'!C63+0,0)+IF(0=$B50,INDEX($D$19:$M$19,$B50),0)</f>
        <v>-2.9705</v>
      </c>
      <c r="D50" s="25" t="n">
        <f aca="false">IF(1&lt;=$B50,-'Roll-Up Model'!D63+'Roll-Up Model'!D102,0)+IF(1=$B50,INDEX($D$19:$M$19,$B50),0)</f>
        <v>-1.592193828125</v>
      </c>
      <c r="E50" s="25" t="n">
        <f aca="false">IF(2&lt;=$B50,-'Roll-Up Model'!E63+'Roll-Up Model'!E102,0)+IF(2=$B50,INDEX($D$19:$M$19,$B50),0)</f>
        <v>-2.38796039254032</v>
      </c>
      <c r="F50" s="25" t="n">
        <f aca="false">IF(3&lt;=$B50,-'Roll-Up Model'!F63+'Roll-Up Model'!F102,0)+IF(3=$B50,INDEX($D$19:$M$19,$B50),0)</f>
        <v>-2.01509332379157</v>
      </c>
      <c r="G50" s="25" t="n">
        <f aca="false">IF(4&lt;=$B50,-'Roll-Up Model'!G63+'Roll-Up Model'!G102,0)+IF(4=$B50,INDEX($D$19:$M$19,$B50),0)</f>
        <v>-1.75689696</v>
      </c>
      <c r="H50" s="25" t="n">
        <f aca="false">IF(5&lt;=$B50,-'Roll-Up Model'!H63+'Roll-Up Model'!H102,0)+IF(5=$B50,INDEX($D$19:$M$19,$B50),0)</f>
        <v>0.0123349572227498</v>
      </c>
      <c r="I50" s="25" t="n">
        <f aca="false">IF(6&lt;=$B50,-'Roll-Up Model'!I63+'Roll-Up Model'!I102,0)+IF(6=$B50,INDEX($D$19:$M$19,$B50),0)</f>
        <v>3.82557750436995</v>
      </c>
      <c r="J50" s="25" t="n">
        <f aca="false">IF(7&lt;=$B50,-'Roll-Up Model'!J63+'Roll-Up Model'!J102,0)+IF(7=$B50,INDEX($D$19:$M$19,$B50),0)</f>
        <v>5.44974029150854</v>
      </c>
      <c r="K50" s="25" t="n">
        <f aca="false">IF(8&lt;=$B50,-'Roll-Up Model'!K63+'Roll-Up Model'!K102,0)+IF(8=$B50,INDEX($D$19:$M$19,$B50),0)</f>
        <v>228.522135947021</v>
      </c>
      <c r="L50" s="25" t="n">
        <f aca="false">IF(9&lt;=$B50,-'Roll-Up Model'!L63+'Roll-Up Model'!L102,0)+IF(9=$B50,INDEX($D$19:$M$19,$B50),0)</f>
        <v>0</v>
      </c>
      <c r="M50" s="25" t="n">
        <f aca="false">IF(10&lt;=$B50,-'Roll-Up Model'!M63+'Roll-Up Model'!M102,0)+IF(10=$B50,INDEX($D$19:$M$19,$B50),0)</f>
        <v>0</v>
      </c>
      <c r="N50" s="33" t="n">
        <f aca="false">IRR(C50:M50,0.25)</f>
        <v>0.603826208170049</v>
      </c>
    </row>
    <row r="51" customFormat="false" ht="15" hidden="false" customHeight="true" outlineLevel="0" collapsed="false">
      <c r="A51" s="4" t="s">
        <v>503</v>
      </c>
      <c r="B51" s="19" t="n">
        <v>9</v>
      </c>
      <c r="C51" s="25" t="n">
        <f aca="false">IF(0&lt;=$B51,-'Roll-Up Model'!C63+0,0)+IF(0=$B51,INDEX($D$19:$M$19,$B51),0)</f>
        <v>-2.9705</v>
      </c>
      <c r="D51" s="25" t="n">
        <f aca="false">IF(1&lt;=$B51,-'Roll-Up Model'!D63+'Roll-Up Model'!D102,0)+IF(1=$B51,INDEX($D$19:$M$19,$B51),0)</f>
        <v>-1.592193828125</v>
      </c>
      <c r="E51" s="25" t="n">
        <f aca="false">IF(2&lt;=$B51,-'Roll-Up Model'!E63+'Roll-Up Model'!E102,0)+IF(2=$B51,INDEX($D$19:$M$19,$B51),0)</f>
        <v>-2.38796039254032</v>
      </c>
      <c r="F51" s="25" t="n">
        <f aca="false">IF(3&lt;=$B51,-'Roll-Up Model'!F63+'Roll-Up Model'!F102,0)+IF(3=$B51,INDEX($D$19:$M$19,$B51),0)</f>
        <v>-2.01509332379157</v>
      </c>
      <c r="G51" s="25" t="n">
        <f aca="false">IF(4&lt;=$B51,-'Roll-Up Model'!G63+'Roll-Up Model'!G102,0)+IF(4=$B51,INDEX($D$19:$M$19,$B51),0)</f>
        <v>-1.75689696</v>
      </c>
      <c r="H51" s="25" t="n">
        <f aca="false">IF(5&lt;=$B51,-'Roll-Up Model'!H63+'Roll-Up Model'!H102,0)+IF(5=$B51,INDEX($D$19:$M$19,$B51),0)</f>
        <v>0.0123349572227498</v>
      </c>
      <c r="I51" s="25" t="n">
        <f aca="false">IF(6&lt;=$B51,-'Roll-Up Model'!I63+'Roll-Up Model'!I102,0)+IF(6=$B51,INDEX($D$19:$M$19,$B51),0)</f>
        <v>3.82557750436995</v>
      </c>
      <c r="J51" s="25" t="n">
        <f aca="false">IF(7&lt;=$B51,-'Roll-Up Model'!J63+'Roll-Up Model'!J102,0)+IF(7=$B51,INDEX($D$19:$M$19,$B51),0)</f>
        <v>5.44974029150854</v>
      </c>
      <c r="K51" s="25" t="n">
        <f aca="false">IF(8&lt;=$B51,-'Roll-Up Model'!K63+'Roll-Up Model'!K102,0)+IF(8=$B51,INDEX($D$19:$M$19,$B51),0)</f>
        <v>7.54975185568124</v>
      </c>
      <c r="L51" s="25" t="n">
        <f aca="false">IF(9&lt;=$B51,-'Roll-Up Model'!L63+'Roll-Up Model'!L102,0)+IF(9=$B51,INDEX($D$19:$M$19,$B51),0)</f>
        <v>260.302374156145</v>
      </c>
      <c r="M51" s="25" t="n">
        <f aca="false">IF(10&lt;=$B51,-'Roll-Up Model'!M63+'Roll-Up Model'!M102,0)+IF(10=$B51,INDEX($D$19:$M$19,$B51),0)</f>
        <v>0</v>
      </c>
      <c r="N51" s="33" t="n">
        <f aca="false">IRR(C51:M51,0.25)</f>
        <v>0.54865387376678</v>
      </c>
    </row>
    <row r="52" customFormat="false" ht="15" hidden="false" customHeight="true" outlineLevel="0" collapsed="false">
      <c r="A52" s="4" t="s">
        <v>503</v>
      </c>
      <c r="B52" s="19" t="n">
        <v>10</v>
      </c>
      <c r="C52" s="25" t="n">
        <f aca="false">IF(0&lt;=$B52,-'Roll-Up Model'!C63+0,0)+IF(0=$B52,INDEX($D$19:$M$19,$B52),0)</f>
        <v>-2.9705</v>
      </c>
      <c r="D52" s="25" t="n">
        <f aca="false">IF(1&lt;=$B52,-'Roll-Up Model'!D63+'Roll-Up Model'!D102,0)+IF(1=$B52,INDEX($D$19:$M$19,$B52),0)</f>
        <v>-1.592193828125</v>
      </c>
      <c r="E52" s="25" t="n">
        <f aca="false">IF(2&lt;=$B52,-'Roll-Up Model'!E63+'Roll-Up Model'!E102,0)+IF(2=$B52,INDEX($D$19:$M$19,$B52),0)</f>
        <v>-2.38796039254032</v>
      </c>
      <c r="F52" s="25" t="n">
        <f aca="false">IF(3&lt;=$B52,-'Roll-Up Model'!F63+'Roll-Up Model'!F102,0)+IF(3=$B52,INDEX($D$19:$M$19,$B52),0)</f>
        <v>-2.01509332379157</v>
      </c>
      <c r="G52" s="25" t="n">
        <f aca="false">IF(4&lt;=$B52,-'Roll-Up Model'!G63+'Roll-Up Model'!G102,0)+IF(4=$B52,INDEX($D$19:$M$19,$B52),0)</f>
        <v>-1.75689696</v>
      </c>
      <c r="H52" s="25" t="n">
        <f aca="false">IF(5&lt;=$B52,-'Roll-Up Model'!H63+'Roll-Up Model'!H102,0)+IF(5=$B52,INDEX($D$19:$M$19,$B52),0)</f>
        <v>0.0123349572227498</v>
      </c>
      <c r="I52" s="25" t="n">
        <f aca="false">IF(6&lt;=$B52,-'Roll-Up Model'!I63+'Roll-Up Model'!I102,0)+IF(6=$B52,INDEX($D$19:$M$19,$B52),0)</f>
        <v>3.82557750436995</v>
      </c>
      <c r="J52" s="25" t="n">
        <f aca="false">IF(7&lt;=$B52,-'Roll-Up Model'!J63+'Roll-Up Model'!J102,0)+IF(7=$B52,INDEX($D$19:$M$19,$B52),0)</f>
        <v>5.44974029150854</v>
      </c>
      <c r="K52" s="25" t="n">
        <f aca="false">IF(8&lt;=$B52,-'Roll-Up Model'!K63+'Roll-Up Model'!K102,0)+IF(8=$B52,INDEX($D$19:$M$19,$B52),0)</f>
        <v>7.54975185568124</v>
      </c>
      <c r="L52" s="25" t="n">
        <f aca="false">IF(9&lt;=$B52,-'Roll-Up Model'!L63+'Roll-Up Model'!L102,0)+IF(9=$B52,INDEX($D$19:$M$19,$B52),0)</f>
        <v>10.0036720307841</v>
      </c>
      <c r="M52" s="25" t="n">
        <f aca="false">IF(10&lt;=$B52,-'Roll-Up Model'!M63+'Roll-Up Model'!M102,0)+IF(10=$B52,INDEX($D$19:$M$19,$B52),0)</f>
        <v>285.702327401502</v>
      </c>
      <c r="N52" s="33" t="n">
        <f aca="false">IRR(C52:M52,0.25)</f>
        <v>0.503746448238416</v>
      </c>
    </row>
    <row r="53" customFormat="false" ht="15" hidden="false" customHeight="true" outlineLevel="0" collapsed="false">
      <c r="A53" s="4" t="s">
        <v>504</v>
      </c>
      <c r="B53" s="19" t="n">
        <v>5</v>
      </c>
      <c r="C53" s="25" t="n">
        <f aca="false">IF(0&lt;=$B53,-'Roll-Up Model'!C63+0,0)+IF(0=$B53,INDEX($D$23:$M$23,$B53),0)+IF(0=10,INDEX($D$24:$M$24,$B53),0)</f>
        <v>-2.9705</v>
      </c>
      <c r="D53" s="25" t="n">
        <f aca="false">IF(1&lt;=$B53,-'Roll-Up Model'!D63+'Roll-Up Model'!D102,0)+IF(1=$B53,INDEX($D$23:$M$23,$B53),0)+IF(1=10,INDEX($D$24:$M$24,$B53),0)</f>
        <v>-1.592193828125</v>
      </c>
      <c r="E53" s="25" t="n">
        <f aca="false">IF(2&lt;=$B53,-'Roll-Up Model'!E63+'Roll-Up Model'!E102,0)+IF(2=$B53,INDEX($D$23:$M$23,$B53),0)+IF(2=10,INDEX($D$24:$M$24,$B53),0)</f>
        <v>-2.38796039254032</v>
      </c>
      <c r="F53" s="25" t="n">
        <f aca="false">IF(3&lt;=$B53,-'Roll-Up Model'!F63+'Roll-Up Model'!F102,0)+IF(3=$B53,INDEX($D$23:$M$23,$B53),0)+IF(3=10,INDEX($D$24:$M$24,$B53),0)</f>
        <v>-2.01509332379157</v>
      </c>
      <c r="G53" s="25" t="n">
        <f aca="false">IF(4&lt;=$B53,-'Roll-Up Model'!G63+'Roll-Up Model'!G102,0)+IF(4=$B53,INDEX($D$23:$M$23,$B53),0)+IF(4=10,INDEX($D$24:$M$24,$B53),0)</f>
        <v>-1.75689696</v>
      </c>
      <c r="H53" s="25" t="n">
        <f aca="false">IF(5&lt;=$B53,-'Roll-Up Model'!H63+'Roll-Up Model'!H102,0)+IF(5=$B53,INDEX($D$23:$M$23,$B53),0)+IF(5=10,INDEX($D$24:$M$24,$B53),0)</f>
        <v>74.6096568818783</v>
      </c>
      <c r="I53" s="25" t="n">
        <f aca="false">IF(6&lt;=$B53,-'Roll-Up Model'!I63+'Roll-Up Model'!I102,0)+IF(6=$B53,INDEX($D$23:$M$23,$B53),0)+IF(6=10,INDEX($D$24:$M$24,$B53),0)</f>
        <v>0</v>
      </c>
      <c r="J53" s="25" t="n">
        <f aca="false">IF(7&lt;=$B53,-'Roll-Up Model'!J63+'Roll-Up Model'!J102,0)+IF(7=$B53,INDEX($D$23:$M$23,$B53),0)+IF(7=10,INDEX($D$24:$M$24,$B53),0)</f>
        <v>0</v>
      </c>
      <c r="K53" s="25" t="n">
        <f aca="false">IF(8&lt;=$B53,-'Roll-Up Model'!K63+'Roll-Up Model'!K102,0)+IF(8=$B53,INDEX($D$23:$M$23,$B53),0)+IF(8=10,INDEX($D$24:$M$24,$B53),0)</f>
        <v>0</v>
      </c>
      <c r="L53" s="25" t="n">
        <f aca="false">IF(9&lt;=$B53,-'Roll-Up Model'!L63+'Roll-Up Model'!L102,0)+IF(9=$B53,INDEX($D$23:$M$23,$B53),0)+IF(9=10,INDEX($D$24:$M$24,$B53),0)</f>
        <v>0</v>
      </c>
      <c r="M53" s="25" t="n">
        <f aca="false">IF(10&lt;=$B53,-'Roll-Up Model'!M63+'Roll-Up Model'!M102,0)+IF(10=$B53,INDEX($D$23:$M$23,$B53),0)+IF(10=10,INDEX($D$24:$M$24,$B53),0)</f>
        <v>87.6439799219399</v>
      </c>
      <c r="N53" s="33" t="n">
        <f aca="false">IRR(C53:M53,0.25)</f>
        <v>0.723077711486031</v>
      </c>
    </row>
    <row r="54" customFormat="false" ht="15" hidden="false" customHeight="true" outlineLevel="0" collapsed="false">
      <c r="A54" s="4" t="s">
        <v>504</v>
      </c>
      <c r="B54" s="19" t="n">
        <v>6</v>
      </c>
      <c r="C54" s="25" t="n">
        <f aca="false">IF(0&lt;=$B54,-'Roll-Up Model'!C63+0,0)+IF(0=$B54,INDEX($D$23:$M$23,$B54),0)+IF(0=10,INDEX($D$24:$M$24,$B54),0)</f>
        <v>-2.9705</v>
      </c>
      <c r="D54" s="25" t="n">
        <f aca="false">IF(1&lt;=$B54,-'Roll-Up Model'!D63+'Roll-Up Model'!D102,0)+IF(1=$B54,INDEX($D$23:$M$23,$B54),0)+IF(1=10,INDEX($D$24:$M$24,$B54),0)</f>
        <v>-1.592193828125</v>
      </c>
      <c r="E54" s="25" t="n">
        <f aca="false">IF(2&lt;=$B54,-'Roll-Up Model'!E63+'Roll-Up Model'!E102,0)+IF(2=$B54,INDEX($D$23:$M$23,$B54),0)+IF(2=10,INDEX($D$24:$M$24,$B54),0)</f>
        <v>-2.38796039254032</v>
      </c>
      <c r="F54" s="25" t="n">
        <f aca="false">IF(3&lt;=$B54,-'Roll-Up Model'!F63+'Roll-Up Model'!F102,0)+IF(3=$B54,INDEX($D$23:$M$23,$B54),0)+IF(3=10,INDEX($D$24:$M$24,$B54),0)</f>
        <v>-2.01509332379157</v>
      </c>
      <c r="G54" s="25" t="n">
        <f aca="false">IF(4&lt;=$B54,-'Roll-Up Model'!G63+'Roll-Up Model'!G102,0)+IF(4=$B54,INDEX($D$23:$M$23,$B54),0)+IF(4=10,INDEX($D$24:$M$24,$B54),0)</f>
        <v>-1.75689696</v>
      </c>
      <c r="H54" s="25" t="n">
        <f aca="false">IF(5&lt;=$B54,-'Roll-Up Model'!H63+'Roll-Up Model'!H102,0)+IF(5=$B54,INDEX($D$23:$M$23,$B54),0)+IF(5=10,INDEX($D$24:$M$24,$B54),0)</f>
        <v>0.0123349572227498</v>
      </c>
      <c r="I54" s="25" t="n">
        <f aca="false">IF(6&lt;=$B54,-'Roll-Up Model'!I63+'Roll-Up Model'!I102,0)+IF(6=$B54,INDEX($D$23:$M$23,$B54),0)+IF(6=10,INDEX($D$24:$M$24,$B54),0)</f>
        <v>98.5801551610077</v>
      </c>
      <c r="J54" s="25" t="n">
        <f aca="false">IF(7&lt;=$B54,-'Roll-Up Model'!J63+'Roll-Up Model'!J102,0)+IF(7=$B54,INDEX($D$23:$M$23,$B54),0)+IF(7=10,INDEX($D$24:$M$24,$B54),0)</f>
        <v>0</v>
      </c>
      <c r="K54" s="25" t="n">
        <f aca="false">IF(8&lt;=$B54,-'Roll-Up Model'!K63+'Roll-Up Model'!K102,0)+IF(8=$B54,INDEX($D$23:$M$23,$B54),0)+IF(8=10,INDEX($D$24:$M$24,$B54),0)</f>
        <v>0</v>
      </c>
      <c r="L54" s="25" t="n">
        <f aca="false">IF(9&lt;=$B54,-'Roll-Up Model'!L63+'Roll-Up Model'!L102,0)+IF(9=$B54,INDEX($D$23:$M$23,$B54),0)+IF(9=10,INDEX($D$24:$M$24,$B54),0)</f>
        <v>0</v>
      </c>
      <c r="M54" s="25" t="n">
        <f aca="false">IF(10&lt;=$B54,-'Roll-Up Model'!M63+'Roll-Up Model'!M102,0)+IF(10=$B54,INDEX($D$23:$M$23,$B54),0)+IF(10=10,INDEX($D$24:$M$24,$B54),0)</f>
        <v>99.398774927562</v>
      </c>
      <c r="N54" s="33" t="n">
        <f aca="false">IRR(C54:M54,0.25)</f>
        <v>0.652825386002854</v>
      </c>
    </row>
    <row r="55" customFormat="false" ht="15" hidden="false" customHeight="true" outlineLevel="0" collapsed="false">
      <c r="A55" s="4" t="s">
        <v>504</v>
      </c>
      <c r="B55" s="19" t="n">
        <v>7</v>
      </c>
      <c r="C55" s="25" t="n">
        <f aca="false">IF(0&lt;=$B55,-'Roll-Up Model'!C63+0,0)+IF(0=$B55,INDEX($D$23:$M$23,$B55),0)+IF(0=10,INDEX($D$24:$M$24,$B55),0)</f>
        <v>-2.9705</v>
      </c>
      <c r="D55" s="25" t="n">
        <f aca="false">IF(1&lt;=$B55,-'Roll-Up Model'!D63+'Roll-Up Model'!D102,0)+IF(1=$B55,INDEX($D$23:$M$23,$B55),0)+IF(1=10,INDEX($D$24:$M$24,$B55),0)</f>
        <v>-1.592193828125</v>
      </c>
      <c r="E55" s="25" t="n">
        <f aca="false">IF(2&lt;=$B55,-'Roll-Up Model'!E63+'Roll-Up Model'!E102,0)+IF(2=$B55,INDEX($D$23:$M$23,$B55),0)+IF(2=10,INDEX($D$24:$M$24,$B55),0)</f>
        <v>-2.38796039254032</v>
      </c>
      <c r="F55" s="25" t="n">
        <f aca="false">IF(3&lt;=$B55,-'Roll-Up Model'!F63+'Roll-Up Model'!F102,0)+IF(3=$B55,INDEX($D$23:$M$23,$B55),0)+IF(3=10,INDEX($D$24:$M$24,$B55),0)</f>
        <v>-2.01509332379157</v>
      </c>
      <c r="G55" s="25" t="n">
        <f aca="false">IF(4&lt;=$B55,-'Roll-Up Model'!G63+'Roll-Up Model'!G102,0)+IF(4=$B55,INDEX($D$23:$M$23,$B55),0)+IF(4=10,INDEX($D$24:$M$24,$B55),0)</f>
        <v>-1.75689696</v>
      </c>
      <c r="H55" s="25" t="n">
        <f aca="false">IF(5&lt;=$B55,-'Roll-Up Model'!H63+'Roll-Up Model'!H102,0)+IF(5=$B55,INDEX($D$23:$M$23,$B55),0)+IF(5=10,INDEX($D$24:$M$24,$B55),0)</f>
        <v>0.0123349572227498</v>
      </c>
      <c r="I55" s="25" t="n">
        <f aca="false">IF(6&lt;=$B55,-'Roll-Up Model'!I63+'Roll-Up Model'!I102,0)+IF(6=$B55,INDEX($D$23:$M$23,$B55),0)+IF(6=10,INDEX($D$24:$M$24,$B55),0)</f>
        <v>3.82557750436995</v>
      </c>
      <c r="J55" s="25" t="n">
        <f aca="false">IF(7&lt;=$B55,-'Roll-Up Model'!J63+'Roll-Up Model'!J102,0)+IF(7=$B55,INDEX($D$23:$M$23,$B55),0)+IF(7=10,INDEX($D$24:$M$24,$B55),0)</f>
        <v>119.460844554339</v>
      </c>
      <c r="K55" s="25" t="n">
        <f aca="false">IF(8&lt;=$B55,-'Roll-Up Model'!K63+'Roll-Up Model'!K102,0)+IF(8=$B55,INDEX($D$23:$M$23,$B55),0)+IF(8=10,INDEX($D$24:$M$24,$B55),0)</f>
        <v>0</v>
      </c>
      <c r="L55" s="25" t="n">
        <f aca="false">IF(9&lt;=$B55,-'Roll-Up Model'!L63+'Roll-Up Model'!L102,0)+IF(9=$B55,INDEX($D$23:$M$23,$B55),0)+IF(9=10,INDEX($D$24:$M$24,$B55),0)</f>
        <v>0</v>
      </c>
      <c r="M55" s="25" t="n">
        <f aca="false">IF(10&lt;=$B55,-'Roll-Up Model'!M63+'Roll-Up Model'!M102,0)+IF(10=$B55,INDEX($D$23:$M$23,$B55),0)+IF(10=10,INDEX($D$24:$M$24,$B55),0)</f>
        <v>106.784928459846</v>
      </c>
      <c r="N55" s="33" t="n">
        <f aca="false">IRR(C55:M55,0.25)</f>
        <v>0.599661453914458</v>
      </c>
    </row>
    <row r="56" customFormat="false" ht="15" hidden="false" customHeight="true" outlineLevel="0" collapsed="false">
      <c r="A56" s="4" t="s">
        <v>504</v>
      </c>
      <c r="B56" s="19" t="n">
        <v>8</v>
      </c>
      <c r="C56" s="25" t="n">
        <f aca="false">IF(0&lt;=$B56,-'Roll-Up Model'!C63+0,0)+IF(0=$B56,INDEX($D$23:$M$23,$B56),0)+IF(0=10,INDEX($D$24:$M$24,$B56),0)</f>
        <v>-2.9705</v>
      </c>
      <c r="D56" s="25" t="n">
        <f aca="false">IF(1&lt;=$B56,-'Roll-Up Model'!D63+'Roll-Up Model'!D102,0)+IF(1=$B56,INDEX($D$23:$M$23,$B56),0)+IF(1=10,INDEX($D$24:$M$24,$B56),0)</f>
        <v>-1.592193828125</v>
      </c>
      <c r="E56" s="25" t="n">
        <f aca="false">IF(2&lt;=$B56,-'Roll-Up Model'!E63+'Roll-Up Model'!E102,0)+IF(2=$B56,INDEX($D$23:$M$23,$B56),0)+IF(2=10,INDEX($D$24:$M$24,$B56),0)</f>
        <v>-2.38796039254032</v>
      </c>
      <c r="F56" s="25" t="n">
        <f aca="false">IF(3&lt;=$B56,-'Roll-Up Model'!F63+'Roll-Up Model'!F102,0)+IF(3=$B56,INDEX($D$23:$M$23,$B56),0)+IF(3=10,INDEX($D$24:$M$24,$B56),0)</f>
        <v>-2.01509332379157</v>
      </c>
      <c r="G56" s="25" t="n">
        <f aca="false">IF(4&lt;=$B56,-'Roll-Up Model'!G63+'Roll-Up Model'!G102,0)+IF(4=$B56,INDEX($D$23:$M$23,$B56),0)+IF(4=10,INDEX($D$24:$M$24,$B56),0)</f>
        <v>-1.75689696</v>
      </c>
      <c r="H56" s="25" t="n">
        <f aca="false">IF(5&lt;=$B56,-'Roll-Up Model'!H63+'Roll-Up Model'!H102,0)+IF(5=$B56,INDEX($D$23:$M$23,$B56),0)+IF(5=10,INDEX($D$24:$M$24,$B56),0)</f>
        <v>0.0123349572227498</v>
      </c>
      <c r="I56" s="25" t="n">
        <f aca="false">IF(6&lt;=$B56,-'Roll-Up Model'!I63+'Roll-Up Model'!I102,0)+IF(6=$B56,INDEX($D$23:$M$23,$B56),0)+IF(6=10,INDEX($D$24:$M$24,$B56),0)</f>
        <v>3.82557750436995</v>
      </c>
      <c r="J56" s="25" t="n">
        <f aca="false">IF(7&lt;=$B56,-'Roll-Up Model'!J63+'Roll-Up Model'!J102,0)+IF(7=$B56,INDEX($D$23:$M$23,$B56),0)+IF(7=10,INDEX($D$24:$M$24,$B56),0)</f>
        <v>5.44974029150854</v>
      </c>
      <c r="K56" s="25" t="n">
        <f aca="false">IF(8&lt;=$B56,-'Roll-Up Model'!K63+'Roll-Up Model'!K102,0)+IF(8=$B56,INDEX($D$23:$M$23,$B56),0)+IF(8=10,INDEX($D$24:$M$24,$B56),0)</f>
        <v>140.133182310485</v>
      </c>
      <c r="L56" s="25" t="n">
        <f aca="false">IF(9&lt;=$B56,-'Roll-Up Model'!L63+'Roll-Up Model'!L102,0)+IF(9=$B56,INDEX($D$23:$M$23,$B56),0)+IF(9=10,INDEX($D$24:$M$24,$B56),0)</f>
        <v>0</v>
      </c>
      <c r="M56" s="25" t="n">
        <f aca="false">IF(10&lt;=$B56,-'Roll-Up Model'!M63+'Roll-Up Model'!M102,0)+IF(10=$B56,INDEX($D$23:$M$23,$B56),0)+IF(10=10,INDEX($D$24:$M$24,$B56),0)</f>
        <v>110.875103441671</v>
      </c>
      <c r="N56" s="33" t="n">
        <f aca="false">IRR(C56:M56,0.25)</f>
        <v>0.560129075379678</v>
      </c>
    </row>
    <row r="57" customFormat="false" ht="15" hidden="false" customHeight="true" outlineLevel="0" collapsed="false">
      <c r="A57" s="4" t="s">
        <v>504</v>
      </c>
      <c r="B57" s="19" t="n">
        <v>9</v>
      </c>
      <c r="C57" s="25" t="n">
        <f aca="false">IF(0&lt;=$B57,-'Roll-Up Model'!C63+0,0)+IF(0=$B57,INDEX($D$23:$M$23,$B57),0)+IF(0=10,INDEX($D$24:$M$24,$B57),0)</f>
        <v>-2.9705</v>
      </c>
      <c r="D57" s="25" t="n">
        <f aca="false">IF(1&lt;=$B57,-'Roll-Up Model'!D63+'Roll-Up Model'!D102,0)+IF(1=$B57,INDEX($D$23:$M$23,$B57),0)+IF(1=10,INDEX($D$24:$M$24,$B57),0)</f>
        <v>-1.592193828125</v>
      </c>
      <c r="E57" s="25" t="n">
        <f aca="false">IF(2&lt;=$B57,-'Roll-Up Model'!E63+'Roll-Up Model'!E102,0)+IF(2=$B57,INDEX($D$23:$M$23,$B57),0)+IF(2=10,INDEX($D$24:$M$24,$B57),0)</f>
        <v>-2.38796039254032</v>
      </c>
      <c r="F57" s="25" t="n">
        <f aca="false">IF(3&lt;=$B57,-'Roll-Up Model'!F63+'Roll-Up Model'!F102,0)+IF(3=$B57,INDEX($D$23:$M$23,$B57),0)+IF(3=10,INDEX($D$24:$M$24,$B57),0)</f>
        <v>-2.01509332379157</v>
      </c>
      <c r="G57" s="25" t="n">
        <f aca="false">IF(4&lt;=$B57,-'Roll-Up Model'!G63+'Roll-Up Model'!G102,0)+IF(4=$B57,INDEX($D$23:$M$23,$B57),0)+IF(4=10,INDEX($D$24:$M$24,$B57),0)</f>
        <v>-1.75689696</v>
      </c>
      <c r="H57" s="25" t="n">
        <f aca="false">IF(5&lt;=$B57,-'Roll-Up Model'!H63+'Roll-Up Model'!H102,0)+IF(5=$B57,INDEX($D$23:$M$23,$B57),0)+IF(5=10,INDEX($D$24:$M$24,$B57),0)</f>
        <v>0.0123349572227498</v>
      </c>
      <c r="I57" s="25" t="n">
        <f aca="false">IF(6&lt;=$B57,-'Roll-Up Model'!I63+'Roll-Up Model'!I102,0)+IF(6=$B57,INDEX($D$23:$M$23,$B57),0)+IF(6=10,INDEX($D$24:$M$24,$B57),0)</f>
        <v>3.82557750436995</v>
      </c>
      <c r="J57" s="25" t="n">
        <f aca="false">IF(7&lt;=$B57,-'Roll-Up Model'!J63+'Roll-Up Model'!J102,0)+IF(7=$B57,INDEX($D$23:$M$23,$B57),0)+IF(7=10,INDEX($D$24:$M$24,$B57),0)</f>
        <v>5.44974029150854</v>
      </c>
      <c r="K57" s="25" t="n">
        <f aca="false">IF(8&lt;=$B57,-'Roll-Up Model'!K63+'Roll-Up Model'!K102,0)+IF(8=$B57,INDEX($D$23:$M$23,$B57),0)+IF(8=10,INDEX($D$24:$M$24,$B57),0)</f>
        <v>7.54975185568124</v>
      </c>
      <c r="L57" s="25" t="n">
        <f aca="false">IF(9&lt;=$B57,-'Roll-Up Model'!L63+'Roll-Up Model'!L102,0)+IF(9=$B57,INDEX($D$23:$M$23,$B57),0)+IF(9=10,INDEX($D$24:$M$24,$B57),0)</f>
        <v>160.182893306001</v>
      </c>
      <c r="M57" s="25" t="n">
        <f aca="false">IF(10&lt;=$B57,-'Roll-Up Model'!M63+'Roll-Up Model'!M102,0)+IF(10=$B57,INDEX($D$23:$M$23,$B57),0)+IF(10=10,INDEX($D$24:$M$24,$B57),0)</f>
        <v>112.133818552162</v>
      </c>
      <c r="N57" s="33" t="n">
        <f aca="false">IRR(C57:M57,0.25)</f>
        <v>0.529871769491232</v>
      </c>
    </row>
    <row r="58" customFormat="false" ht="15" hidden="false" customHeight="true" outlineLevel="0" collapsed="false">
      <c r="A58" s="4" t="s">
        <v>504</v>
      </c>
      <c r="B58" s="19" t="n">
        <v>10</v>
      </c>
      <c r="C58" s="25" t="n">
        <f aca="false">IF(0&lt;=$B58,-'Roll-Up Model'!C63+0,0)+IF(0=$B58,INDEX($D$23:$M$23,$B58),0)+IF(0=10,INDEX($D$24:$M$24,$B58),0)</f>
        <v>-2.9705</v>
      </c>
      <c r="D58" s="25" t="n">
        <f aca="false">IF(1&lt;=$B58,-'Roll-Up Model'!D63+'Roll-Up Model'!D102,0)+IF(1=$B58,INDEX($D$23:$M$23,$B58),0)+IF(1=10,INDEX($D$24:$M$24,$B58),0)</f>
        <v>-1.592193828125</v>
      </c>
      <c r="E58" s="25" t="n">
        <f aca="false">IF(2&lt;=$B58,-'Roll-Up Model'!E63+'Roll-Up Model'!E102,0)+IF(2=$B58,INDEX($D$23:$M$23,$B58),0)+IF(2=10,INDEX($D$24:$M$24,$B58),0)</f>
        <v>-2.38796039254032</v>
      </c>
      <c r="F58" s="25" t="n">
        <f aca="false">IF(3&lt;=$B58,-'Roll-Up Model'!F63+'Roll-Up Model'!F102,0)+IF(3=$B58,INDEX($D$23:$M$23,$B58),0)+IF(3=10,INDEX($D$24:$M$24,$B58),0)</f>
        <v>-2.01509332379157</v>
      </c>
      <c r="G58" s="25" t="n">
        <f aca="false">IF(4&lt;=$B58,-'Roll-Up Model'!G63+'Roll-Up Model'!G102,0)+IF(4=$B58,INDEX($D$23:$M$23,$B58),0)+IF(4=10,INDEX($D$24:$M$24,$B58),0)</f>
        <v>-1.75689696</v>
      </c>
      <c r="H58" s="25" t="n">
        <f aca="false">IF(5&lt;=$B58,-'Roll-Up Model'!H63+'Roll-Up Model'!H102,0)+IF(5=$B58,INDEX($D$23:$M$23,$B58),0)+IF(5=10,INDEX($D$24:$M$24,$B58),0)</f>
        <v>0.0123349572227498</v>
      </c>
      <c r="I58" s="25" t="n">
        <f aca="false">IF(6&lt;=$B58,-'Roll-Up Model'!I63+'Roll-Up Model'!I102,0)+IF(6=$B58,INDEX($D$23:$M$23,$B58),0)+IF(6=10,INDEX($D$24:$M$24,$B58),0)</f>
        <v>3.82557750436995</v>
      </c>
      <c r="J58" s="25" t="n">
        <f aca="false">IF(7&lt;=$B58,-'Roll-Up Model'!J63+'Roll-Up Model'!J102,0)+IF(7=$B58,INDEX($D$23:$M$23,$B58),0)+IF(7=10,INDEX($D$24:$M$24,$B58),0)</f>
        <v>5.44974029150854</v>
      </c>
      <c r="K58" s="25" t="n">
        <f aca="false">IF(8&lt;=$B58,-'Roll-Up Model'!K63+'Roll-Up Model'!K102,0)+IF(8=$B58,INDEX($D$23:$M$23,$B58),0)+IF(8=10,INDEX($D$24:$M$24,$B58),0)</f>
        <v>7.54975185568124</v>
      </c>
      <c r="L58" s="25" t="n">
        <f aca="false">IF(9&lt;=$B58,-'Roll-Up Model'!L63+'Roll-Up Model'!L102,0)+IF(9=$B58,INDEX($D$23:$M$23,$B58),0)+IF(9=10,INDEX($D$24:$M$24,$B58),0)</f>
        <v>10.0036720307841</v>
      </c>
      <c r="M58" s="25" t="n">
        <f aca="false">IF(10&lt;=$B58,-'Roll-Up Model'!M63+'Roll-Up Model'!M102,0)+IF(10=$B58,INDEX($D$23:$M$23,$B58),0)+IF(10=10,INDEX($D$24:$M$24,$B58),0)</f>
        <v>285.702327401502</v>
      </c>
      <c r="N58" s="33" t="n">
        <f aca="false">IRR(C58:M58,0.25)</f>
        <v>0.503746448238416</v>
      </c>
    </row>
    <row r="59" customFormat="false" ht="15" hidden="false" customHeight="true" outlineLevel="0" collapsed="false">
      <c r="A59" s="4" t="s">
        <v>505</v>
      </c>
      <c r="B59" s="19" t="n">
        <v>5</v>
      </c>
      <c r="C59" s="25" t="n">
        <f aca="false">IF(0&lt;=$B59,-'Roll-Up Model'!C63+0,0)+IF(0=$B59,INDEX($D$33:$M$33,$B59),0)</f>
        <v>-2.9705</v>
      </c>
      <c r="D59" s="25" t="n">
        <f aca="false">IF(1&lt;=$B59,-'Roll-Up Model'!D63+'Roll-Up Model'!D102,0)+IF(1=$B59,INDEX($D$33:$M$33,$B59),0)</f>
        <v>-1.592193828125</v>
      </c>
      <c r="E59" s="25" t="n">
        <f aca="false">IF(2&lt;=$B59,-'Roll-Up Model'!E63+'Roll-Up Model'!E102,0)+IF(2=$B59,INDEX($D$33:$M$33,$B59),0)</f>
        <v>-2.38796039254032</v>
      </c>
      <c r="F59" s="25" t="n">
        <f aca="false">IF(3&lt;=$B59,-'Roll-Up Model'!F63+'Roll-Up Model'!F102,0)+IF(3=$B59,INDEX($D$33:$M$33,$B59),0)</f>
        <v>-2.01509332379157</v>
      </c>
      <c r="G59" s="25" t="n">
        <f aca="false">IF(4&lt;=$B59,-'Roll-Up Model'!G63+'Roll-Up Model'!G102,0)+IF(4=$B59,INDEX($D$33:$M$33,$B59),0)</f>
        <v>-1.75689696</v>
      </c>
      <c r="H59" s="25" t="n">
        <f aca="false">IF(5&lt;=$B59,-'Roll-Up Model'!H63+'Roll-Up Model'!H102,0)+IF(5=$B59,INDEX($D$33:$M$33,$B59),0)</f>
        <v>86.5170998258505</v>
      </c>
      <c r="I59" s="25" t="n">
        <f aca="false">IF(6&lt;=$B59,-'Roll-Up Model'!I63+'Roll-Up Model'!I102,0)+IF(6=$B59,INDEX($D$33:$M$33,$B59),0)</f>
        <v>0</v>
      </c>
      <c r="J59" s="25" t="n">
        <f aca="false">IF(7&lt;=$B59,-'Roll-Up Model'!J63+'Roll-Up Model'!J102,0)+IF(7=$B59,INDEX($D$33:$M$33,$B59),0)</f>
        <v>0</v>
      </c>
      <c r="K59" s="25" t="n">
        <f aca="false">IF(8&lt;=$B59,-'Roll-Up Model'!K63+'Roll-Up Model'!K102,0)+IF(8=$B59,INDEX($D$33:$M$33,$B59),0)</f>
        <v>0</v>
      </c>
      <c r="L59" s="25" t="n">
        <f aca="false">IF(9&lt;=$B59,-'Roll-Up Model'!L63+'Roll-Up Model'!L102,0)+IF(9=$B59,INDEX($D$33:$M$33,$B59),0)</f>
        <v>0</v>
      </c>
      <c r="M59" s="25" t="n">
        <f aca="false">IF(10&lt;=$B59,-'Roll-Up Model'!M63+'Roll-Up Model'!M102,0)+IF(10=$B59,INDEX($D$33:$M$33,$B59),0)</f>
        <v>0</v>
      </c>
      <c r="N59" s="33" t="n">
        <f aca="false">IRR(C59:M59,0.25)</f>
        <v>0.753831081226673</v>
      </c>
    </row>
    <row r="60" customFormat="false" ht="15" hidden="false" customHeight="true" outlineLevel="0" collapsed="false">
      <c r="A60" s="4" t="s">
        <v>505</v>
      </c>
      <c r="B60" s="19" t="n">
        <v>6</v>
      </c>
      <c r="C60" s="25" t="n">
        <f aca="false">IF(0&lt;=$B60,-'Roll-Up Model'!C63+0,0)+IF(0=$B60,INDEX($D$33:$M$33,$B60),0)</f>
        <v>-2.9705</v>
      </c>
      <c r="D60" s="25" t="n">
        <f aca="false">IF(1&lt;=$B60,-'Roll-Up Model'!D63+'Roll-Up Model'!D102,0)+IF(1=$B60,INDEX($D$33:$M$33,$B60),0)</f>
        <v>-1.592193828125</v>
      </c>
      <c r="E60" s="25" t="n">
        <f aca="false">IF(2&lt;=$B60,-'Roll-Up Model'!E63+'Roll-Up Model'!E102,0)+IF(2=$B60,INDEX($D$33:$M$33,$B60),0)</f>
        <v>-2.38796039254032</v>
      </c>
      <c r="F60" s="25" t="n">
        <f aca="false">IF(3&lt;=$B60,-'Roll-Up Model'!F63+'Roll-Up Model'!F102,0)+IF(3=$B60,INDEX($D$33:$M$33,$B60),0)</f>
        <v>-2.01509332379157</v>
      </c>
      <c r="G60" s="25" t="n">
        <f aca="false">IF(4&lt;=$B60,-'Roll-Up Model'!G63+'Roll-Up Model'!G102,0)+IF(4=$B60,INDEX($D$33:$M$33,$B60),0)</f>
        <v>-1.75689696</v>
      </c>
      <c r="H60" s="25" t="n">
        <f aca="false">IF(5&lt;=$B60,-'Roll-Up Model'!H63+'Roll-Up Model'!H102,0)+IF(5=$B60,INDEX($D$33:$M$33,$B60),0)</f>
        <v>0.0123349572227498</v>
      </c>
      <c r="I60" s="25" t="n">
        <f aca="false">IF(6&lt;=$B60,-'Roll-Up Model'!I63+'Roll-Up Model'!I102,0)+IF(6=$B60,INDEX($D$33:$M$33,$B60),0)</f>
        <v>113.115228300592</v>
      </c>
      <c r="J60" s="25" t="n">
        <f aca="false">IF(7&lt;=$B60,-'Roll-Up Model'!J63+'Roll-Up Model'!J102,0)+IF(7=$B60,INDEX($D$33:$M$33,$B60),0)</f>
        <v>0</v>
      </c>
      <c r="K60" s="25" t="n">
        <f aca="false">IF(8&lt;=$B60,-'Roll-Up Model'!K63+'Roll-Up Model'!K102,0)+IF(8=$B60,INDEX($D$33:$M$33,$B60),0)</f>
        <v>0</v>
      </c>
      <c r="L60" s="25" t="n">
        <f aca="false">IF(9&lt;=$B60,-'Roll-Up Model'!L63+'Roll-Up Model'!L102,0)+IF(9=$B60,INDEX($D$33:$M$33,$B60),0)</f>
        <v>0</v>
      </c>
      <c r="M60" s="25" t="n">
        <f aca="false">IF(10&lt;=$B60,-'Roll-Up Model'!M63+'Roll-Up Model'!M102,0)+IF(10=$B60,INDEX($D$33:$M$33,$B60),0)</f>
        <v>0</v>
      </c>
      <c r="N60" s="33" t="n">
        <f aca="false">IRR(C60:M60,0.25)</f>
        <v>0.656336886747883</v>
      </c>
    </row>
    <row r="61" customFormat="false" ht="15" hidden="false" customHeight="true" outlineLevel="0" collapsed="false">
      <c r="A61" s="4" t="s">
        <v>505</v>
      </c>
      <c r="B61" s="19" t="n">
        <v>7</v>
      </c>
      <c r="C61" s="25" t="n">
        <f aca="false">IF(0&lt;=$B61,-'Roll-Up Model'!C63+0,0)+IF(0=$B61,INDEX($D$33:$M$33,$B61),0)</f>
        <v>-2.9705</v>
      </c>
      <c r="D61" s="25" t="n">
        <f aca="false">IF(1&lt;=$B61,-'Roll-Up Model'!D63+'Roll-Up Model'!D102,0)+IF(1=$B61,INDEX($D$33:$M$33,$B61),0)</f>
        <v>-1.592193828125</v>
      </c>
      <c r="E61" s="25" t="n">
        <f aca="false">IF(2&lt;=$B61,-'Roll-Up Model'!E63+'Roll-Up Model'!E102,0)+IF(2=$B61,INDEX($D$33:$M$33,$B61),0)</f>
        <v>-2.38796039254032</v>
      </c>
      <c r="F61" s="25" t="n">
        <f aca="false">IF(3&lt;=$B61,-'Roll-Up Model'!F63+'Roll-Up Model'!F102,0)+IF(3=$B61,INDEX($D$33:$M$33,$B61),0)</f>
        <v>-2.01509332379157</v>
      </c>
      <c r="G61" s="25" t="n">
        <f aca="false">IF(4&lt;=$B61,-'Roll-Up Model'!G63+'Roll-Up Model'!G102,0)+IF(4=$B61,INDEX($D$33:$M$33,$B61),0)</f>
        <v>-1.75689696</v>
      </c>
      <c r="H61" s="25" t="n">
        <f aca="false">IF(5&lt;=$B61,-'Roll-Up Model'!H63+'Roll-Up Model'!H102,0)+IF(5=$B61,INDEX($D$33:$M$33,$B61),0)</f>
        <v>0.0123349572227498</v>
      </c>
      <c r="I61" s="25" t="n">
        <f aca="false">IF(6&lt;=$B61,-'Roll-Up Model'!I63+'Roll-Up Model'!I102,0)+IF(6=$B61,INDEX($D$33:$M$33,$B61),0)</f>
        <v>3.82557750436995</v>
      </c>
      <c r="J61" s="25" t="n">
        <f aca="false">IF(7&lt;=$B61,-'Roll-Up Model'!J63+'Roll-Up Model'!J102,0)+IF(7=$B61,INDEX($D$33:$M$33,$B61),0)</f>
        <v>135.9278065518</v>
      </c>
      <c r="K61" s="25" t="n">
        <f aca="false">IF(8&lt;=$B61,-'Roll-Up Model'!K63+'Roll-Up Model'!K102,0)+IF(8=$B61,INDEX($D$33:$M$33,$B61),0)</f>
        <v>0</v>
      </c>
      <c r="L61" s="25" t="n">
        <f aca="false">IF(9&lt;=$B61,-'Roll-Up Model'!L63+'Roll-Up Model'!L102,0)+IF(9=$B61,INDEX($D$33:$M$33,$B61),0)</f>
        <v>0</v>
      </c>
      <c r="M61" s="25" t="n">
        <f aca="false">IF(10&lt;=$B61,-'Roll-Up Model'!M63+'Roll-Up Model'!M102,0)+IF(10=$B61,INDEX($D$33:$M$33,$B61),0)</f>
        <v>0</v>
      </c>
      <c r="N61" s="33" t="n">
        <f aca="false">IRR(C61:M61,0.25)</f>
        <v>0.582267547328606</v>
      </c>
    </row>
    <row r="62" customFormat="false" ht="15" hidden="false" customHeight="true" outlineLevel="0" collapsed="false">
      <c r="A62" s="4" t="s">
        <v>505</v>
      </c>
      <c r="B62" s="19" t="n">
        <v>8</v>
      </c>
      <c r="C62" s="25" t="n">
        <f aca="false">IF(0&lt;=$B62,-'Roll-Up Model'!C63+0,0)+IF(0=$B62,INDEX($D$33:$M$33,$B62),0)</f>
        <v>-2.9705</v>
      </c>
      <c r="D62" s="25" t="n">
        <f aca="false">IF(1&lt;=$B62,-'Roll-Up Model'!D63+'Roll-Up Model'!D102,0)+IF(1=$B62,INDEX($D$33:$M$33,$B62),0)</f>
        <v>-1.592193828125</v>
      </c>
      <c r="E62" s="25" t="n">
        <f aca="false">IF(2&lt;=$B62,-'Roll-Up Model'!E63+'Roll-Up Model'!E102,0)+IF(2=$B62,INDEX($D$33:$M$33,$B62),0)</f>
        <v>-2.38796039254032</v>
      </c>
      <c r="F62" s="25" t="n">
        <f aca="false">IF(3&lt;=$B62,-'Roll-Up Model'!F63+'Roll-Up Model'!F102,0)+IF(3=$B62,INDEX($D$33:$M$33,$B62),0)</f>
        <v>-2.01509332379157</v>
      </c>
      <c r="G62" s="25" t="n">
        <f aca="false">IF(4&lt;=$B62,-'Roll-Up Model'!G63+'Roll-Up Model'!G102,0)+IF(4=$B62,INDEX($D$33:$M$33,$B62),0)</f>
        <v>-1.75689696</v>
      </c>
      <c r="H62" s="25" t="n">
        <f aca="false">IF(5&lt;=$B62,-'Roll-Up Model'!H63+'Roll-Up Model'!H102,0)+IF(5=$B62,INDEX($D$33:$M$33,$B62),0)</f>
        <v>0.0123349572227498</v>
      </c>
      <c r="I62" s="25" t="n">
        <f aca="false">IF(6&lt;=$B62,-'Roll-Up Model'!I63+'Roll-Up Model'!I102,0)+IF(6=$B62,INDEX($D$33:$M$33,$B62),0)</f>
        <v>3.82557750436995</v>
      </c>
      <c r="J62" s="25" t="n">
        <f aca="false">IF(7&lt;=$B62,-'Roll-Up Model'!J63+'Roll-Up Model'!J102,0)+IF(7=$B62,INDEX($D$33:$M$33,$B62),0)</f>
        <v>5.44974029150854</v>
      </c>
      <c r="K62" s="25" t="n">
        <f aca="false">IF(8&lt;=$B62,-'Roll-Up Model'!K63+'Roll-Up Model'!K102,0)+IF(8=$B62,INDEX($D$33:$M$33,$B62),0)</f>
        <v>159.30192580359</v>
      </c>
      <c r="L62" s="25" t="n">
        <f aca="false">IF(9&lt;=$B62,-'Roll-Up Model'!L63+'Roll-Up Model'!L102,0)+IF(9=$B62,INDEX($D$33:$M$33,$B62),0)</f>
        <v>0</v>
      </c>
      <c r="M62" s="25" t="n">
        <f aca="false">IF(10&lt;=$B62,-'Roll-Up Model'!M63+'Roll-Up Model'!M102,0)+IF(10=$B62,INDEX($D$33:$M$33,$B62),0)</f>
        <v>0</v>
      </c>
      <c r="N62" s="33" t="n">
        <f aca="false">IRR(C62:M62,0.25)</f>
        <v>0.528782059728941</v>
      </c>
    </row>
    <row r="63" customFormat="false" ht="15" hidden="false" customHeight="true" outlineLevel="0" collapsed="false">
      <c r="A63" s="4" t="s">
        <v>505</v>
      </c>
      <c r="B63" s="19" t="n">
        <v>9</v>
      </c>
      <c r="C63" s="25" t="n">
        <f aca="false">IF(0&lt;=$B63,-'Roll-Up Model'!C63+0,0)+IF(0=$B63,INDEX($D$33:$M$33,$B63),0)</f>
        <v>-2.9705</v>
      </c>
      <c r="D63" s="25" t="n">
        <f aca="false">IF(1&lt;=$B63,-'Roll-Up Model'!D63+'Roll-Up Model'!D102,0)+IF(1=$B63,INDEX($D$33:$M$33,$B63),0)</f>
        <v>-1.592193828125</v>
      </c>
      <c r="E63" s="25" t="n">
        <f aca="false">IF(2&lt;=$B63,-'Roll-Up Model'!E63+'Roll-Up Model'!E102,0)+IF(2=$B63,INDEX($D$33:$M$33,$B63),0)</f>
        <v>-2.38796039254032</v>
      </c>
      <c r="F63" s="25" t="n">
        <f aca="false">IF(3&lt;=$B63,-'Roll-Up Model'!F63+'Roll-Up Model'!F102,0)+IF(3=$B63,INDEX($D$33:$M$33,$B63),0)</f>
        <v>-2.01509332379157</v>
      </c>
      <c r="G63" s="25" t="n">
        <f aca="false">IF(4&lt;=$B63,-'Roll-Up Model'!G63+'Roll-Up Model'!G102,0)+IF(4=$B63,INDEX($D$33:$M$33,$B63),0)</f>
        <v>-1.75689696</v>
      </c>
      <c r="H63" s="25" t="n">
        <f aca="false">IF(5&lt;=$B63,-'Roll-Up Model'!H63+'Roll-Up Model'!H102,0)+IF(5=$B63,INDEX($D$33:$M$33,$B63),0)</f>
        <v>0.0123349572227498</v>
      </c>
      <c r="I63" s="25" t="n">
        <f aca="false">IF(6&lt;=$B63,-'Roll-Up Model'!I63+'Roll-Up Model'!I102,0)+IF(6=$B63,INDEX($D$33:$M$33,$B63),0)</f>
        <v>3.82557750436995</v>
      </c>
      <c r="J63" s="25" t="n">
        <f aca="false">IF(7&lt;=$B63,-'Roll-Up Model'!J63+'Roll-Up Model'!J102,0)+IF(7=$B63,INDEX($D$33:$M$33,$B63),0)</f>
        <v>5.44974029150854</v>
      </c>
      <c r="K63" s="25" t="n">
        <f aca="false">IF(8&lt;=$B63,-'Roll-Up Model'!K63+'Roll-Up Model'!K102,0)+IF(8=$B63,INDEX($D$33:$M$33,$B63),0)</f>
        <v>7.54975185568124</v>
      </c>
      <c r="L63" s="25" t="n">
        <f aca="false">IF(9&lt;=$B63,-'Roll-Up Model'!L63+'Roll-Up Model'!L102,0)+IF(9=$B63,INDEX($D$33:$M$33,$B63),0)</f>
        <v>182.413281320909</v>
      </c>
      <c r="M63" s="25" t="n">
        <f aca="false">IF(10&lt;=$B63,-'Roll-Up Model'!M63+'Roll-Up Model'!M102,0)+IF(10=$B63,INDEX($D$33:$M$33,$B63),0)</f>
        <v>0</v>
      </c>
      <c r="N63" s="33" t="n">
        <f aca="false">IRR(C63:M63,0.25)</f>
        <v>0.488557169850665</v>
      </c>
    </row>
    <row r="64" customFormat="false" ht="15" hidden="false" customHeight="true" outlineLevel="0" collapsed="false">
      <c r="A64" s="4" t="s">
        <v>505</v>
      </c>
      <c r="B64" s="19" t="n">
        <v>10</v>
      </c>
      <c r="C64" s="25" t="n">
        <f aca="false">IF(0&lt;=$B64,-'Roll-Up Model'!C63+0,0)+IF(0=$B64,INDEX($D$33:$M$33,$B64),0)</f>
        <v>-2.9705</v>
      </c>
      <c r="D64" s="25" t="n">
        <f aca="false">IF(1&lt;=$B64,-'Roll-Up Model'!D63+'Roll-Up Model'!D102,0)+IF(1=$B64,INDEX($D$33:$M$33,$B64),0)</f>
        <v>-1.592193828125</v>
      </c>
      <c r="E64" s="25" t="n">
        <f aca="false">IF(2&lt;=$B64,-'Roll-Up Model'!E63+'Roll-Up Model'!E102,0)+IF(2=$B64,INDEX($D$33:$M$33,$B64),0)</f>
        <v>-2.38796039254032</v>
      </c>
      <c r="F64" s="25" t="n">
        <f aca="false">IF(3&lt;=$B64,-'Roll-Up Model'!F63+'Roll-Up Model'!F102,0)+IF(3=$B64,INDEX($D$33:$M$33,$B64),0)</f>
        <v>-2.01509332379157</v>
      </c>
      <c r="G64" s="25" t="n">
        <f aca="false">IF(4&lt;=$B64,-'Roll-Up Model'!G63+'Roll-Up Model'!G102,0)+IF(4=$B64,INDEX($D$33:$M$33,$B64),0)</f>
        <v>-1.75689696</v>
      </c>
      <c r="H64" s="25" t="n">
        <f aca="false">IF(5&lt;=$B64,-'Roll-Up Model'!H63+'Roll-Up Model'!H102,0)+IF(5=$B64,INDEX($D$33:$M$33,$B64),0)</f>
        <v>0.0123349572227498</v>
      </c>
      <c r="I64" s="25" t="n">
        <f aca="false">IF(6&lt;=$B64,-'Roll-Up Model'!I63+'Roll-Up Model'!I102,0)+IF(6=$B64,INDEX($D$33:$M$33,$B64),0)</f>
        <v>3.82557750436995</v>
      </c>
      <c r="J64" s="25" t="n">
        <f aca="false">IF(7&lt;=$B64,-'Roll-Up Model'!J63+'Roll-Up Model'!J102,0)+IF(7=$B64,INDEX($D$33:$M$33,$B64),0)</f>
        <v>5.44974029150854</v>
      </c>
      <c r="K64" s="25" t="n">
        <f aca="false">IF(8&lt;=$B64,-'Roll-Up Model'!K63+'Roll-Up Model'!K102,0)+IF(8=$B64,INDEX($D$33:$M$33,$B64),0)</f>
        <v>7.54975185568124</v>
      </c>
      <c r="L64" s="25" t="n">
        <f aca="false">IF(9&lt;=$B64,-'Roll-Up Model'!L63+'Roll-Up Model'!L102,0)+IF(9=$B64,INDEX($D$33:$M$33,$B64),0)</f>
        <v>10.0036720307841</v>
      </c>
      <c r="M64" s="25" t="n">
        <f aca="false">IF(10&lt;=$B64,-'Roll-Up Model'!M63+'Roll-Up Model'!M102,0)+IF(10=$B64,INDEX($D$33:$M$33,$B64),0)</f>
        <v>201.258773478424</v>
      </c>
      <c r="N64" s="33" t="n">
        <f aca="false">IRR(C64:M64,0.25)</f>
        <v>0.455335298148636</v>
      </c>
    </row>
    <row r="65" customFormat="false" ht="15" hidden="false" customHeight="true" outlineLevel="0" collapsed="false">
      <c r="A65" s="4" t="s">
        <v>506</v>
      </c>
      <c r="B65" s="19" t="n">
        <v>5</v>
      </c>
      <c r="C65" s="25" t="n">
        <f aca="false">IF(0&lt;=$B65,-'Roll-Up Model'!C63+0,0)+IF(0=$B65,INDEX($D$41:$M$41,$B65),0)</f>
        <v>-2.9705</v>
      </c>
      <c r="D65" s="25" t="n">
        <f aca="false">IF(1&lt;=$B65,-'Roll-Up Model'!D63+'Roll-Up Model'!D102,0)+IF(1=$B65,INDEX($D$41:$M$41,$B65),0)</f>
        <v>-1.592193828125</v>
      </c>
      <c r="E65" s="25" t="n">
        <f aca="false">IF(2&lt;=$B65,-'Roll-Up Model'!E63+'Roll-Up Model'!E102,0)+IF(2=$B65,INDEX($D$41:$M$41,$B65),0)</f>
        <v>-2.38796039254032</v>
      </c>
      <c r="F65" s="25" t="n">
        <f aca="false">IF(3&lt;=$B65,-'Roll-Up Model'!F63+'Roll-Up Model'!F102,0)+IF(3=$B65,INDEX($D$41:$M$41,$B65),0)</f>
        <v>-2.01509332379157</v>
      </c>
      <c r="G65" s="25" t="n">
        <f aca="false">IF(4&lt;=$B65,-'Roll-Up Model'!G63+'Roll-Up Model'!G102,0)+IF(4=$B65,INDEX($D$41:$M$41,$B65),0)</f>
        <v>-1.75689696</v>
      </c>
      <c r="H65" s="25" t="n">
        <f aca="false">IF(5&lt;=$B65,-'Roll-Up Model'!H63+'Roll-Up Model'!H102,0)+IF(5=$B65,INDEX($D$41:$M$41,$B65),0)</f>
        <v>91.1180590181747</v>
      </c>
      <c r="I65" s="25" t="n">
        <f aca="false">IF(6&lt;=$B65,-'Roll-Up Model'!I63+'Roll-Up Model'!I102,0)+IF(6=$B65,INDEX($D$41:$M$41,$B65),0)</f>
        <v>0</v>
      </c>
      <c r="J65" s="25" t="n">
        <f aca="false">IF(7&lt;=$B65,-'Roll-Up Model'!J63+'Roll-Up Model'!J102,0)+IF(7=$B65,INDEX($D$41:$M$41,$B65),0)</f>
        <v>0</v>
      </c>
      <c r="K65" s="25" t="n">
        <f aca="false">IF(8&lt;=$B65,-'Roll-Up Model'!K63+'Roll-Up Model'!K102,0)+IF(8=$B65,INDEX($D$41:$M$41,$B65),0)</f>
        <v>0</v>
      </c>
      <c r="L65" s="25" t="n">
        <f aca="false">IF(9&lt;=$B65,-'Roll-Up Model'!L63+'Roll-Up Model'!L102,0)+IF(9=$B65,INDEX($D$41:$M$41,$B65),0)</f>
        <v>0</v>
      </c>
      <c r="M65" s="25" t="n">
        <f aca="false">IF(10&lt;=$B65,-'Roll-Up Model'!M63+'Roll-Up Model'!M102,0)+IF(10=$B65,INDEX($D$41:$M$41,$B65),0)</f>
        <v>0</v>
      </c>
      <c r="N65" s="33" t="n">
        <f aca="false">IRR(C65:M65,0.25)</f>
        <v>0.775713194512567</v>
      </c>
    </row>
    <row r="66" customFormat="false" ht="15" hidden="false" customHeight="true" outlineLevel="0" collapsed="false">
      <c r="A66" s="4" t="s">
        <v>506</v>
      </c>
      <c r="B66" s="19" t="n">
        <v>6</v>
      </c>
      <c r="C66" s="25" t="n">
        <f aca="false">IF(0&lt;=$B66,-'Roll-Up Model'!C63+0,0)+IF(0=$B66,INDEX($D$41:$M$41,$B66),0)</f>
        <v>-2.9705</v>
      </c>
      <c r="D66" s="25" t="n">
        <f aca="false">IF(1&lt;=$B66,-'Roll-Up Model'!D63+'Roll-Up Model'!D102,0)+IF(1=$B66,INDEX($D$41:$M$41,$B66),0)</f>
        <v>-1.592193828125</v>
      </c>
      <c r="E66" s="25" t="n">
        <f aca="false">IF(2&lt;=$B66,-'Roll-Up Model'!E63+'Roll-Up Model'!E102,0)+IF(2=$B66,INDEX($D$41:$M$41,$B66),0)</f>
        <v>-2.38796039254032</v>
      </c>
      <c r="F66" s="25" t="n">
        <f aca="false">IF(3&lt;=$B66,-'Roll-Up Model'!F63+'Roll-Up Model'!F102,0)+IF(3=$B66,INDEX($D$41:$M$41,$B66),0)</f>
        <v>-2.01509332379157</v>
      </c>
      <c r="G66" s="25" t="n">
        <f aca="false">IF(4&lt;=$B66,-'Roll-Up Model'!G63+'Roll-Up Model'!G102,0)+IF(4=$B66,INDEX($D$41:$M$41,$B66),0)</f>
        <v>-1.75689696</v>
      </c>
      <c r="H66" s="25" t="n">
        <f aca="false">IF(5&lt;=$B66,-'Roll-Up Model'!H63+'Roll-Up Model'!H102,0)+IF(5=$B66,INDEX($D$41:$M$41,$B66),0)</f>
        <v>0.0123349572227498</v>
      </c>
      <c r="I66" s="25" t="n">
        <f aca="false">IF(6&lt;=$B66,-'Roll-Up Model'!I63+'Roll-Up Model'!I102,0)+IF(6=$B66,INDEX($D$41:$M$41,$B66),0)</f>
        <v>119.488187342159</v>
      </c>
      <c r="J66" s="25" t="n">
        <f aca="false">IF(7&lt;=$B66,-'Roll-Up Model'!J63+'Roll-Up Model'!J102,0)+IF(7=$B66,INDEX($D$41:$M$41,$B66),0)</f>
        <v>0</v>
      </c>
      <c r="K66" s="25" t="n">
        <f aca="false">IF(8&lt;=$B66,-'Roll-Up Model'!K63+'Roll-Up Model'!K102,0)+IF(8=$B66,INDEX($D$41:$M$41,$B66),0)</f>
        <v>0</v>
      </c>
      <c r="L66" s="25" t="n">
        <f aca="false">IF(9&lt;=$B66,-'Roll-Up Model'!L63+'Roll-Up Model'!L102,0)+IF(9=$B66,INDEX($D$41:$M$41,$B66),0)</f>
        <v>0</v>
      </c>
      <c r="M66" s="25" t="n">
        <f aca="false">IF(10&lt;=$B66,-'Roll-Up Model'!M63+'Roll-Up Model'!M102,0)+IF(10=$B66,INDEX($D$41:$M$41,$B66),0)</f>
        <v>0</v>
      </c>
      <c r="N66" s="33" t="n">
        <f aca="false">IRR(C66:M66,0.25)</f>
        <v>0.674227393587382</v>
      </c>
    </row>
    <row r="67" customFormat="false" ht="15" hidden="false" customHeight="true" outlineLevel="0" collapsed="false">
      <c r="A67" s="4" t="s">
        <v>506</v>
      </c>
      <c r="B67" s="19" t="n">
        <v>7</v>
      </c>
      <c r="C67" s="25" t="n">
        <f aca="false">IF(0&lt;=$B67,-'Roll-Up Model'!C63+0,0)+IF(0=$B67,INDEX($D$41:$M$41,$B67),0)</f>
        <v>-2.9705</v>
      </c>
      <c r="D67" s="25" t="n">
        <f aca="false">IF(1&lt;=$B67,-'Roll-Up Model'!D63+'Roll-Up Model'!D102,0)+IF(1=$B67,INDEX($D$41:$M$41,$B67),0)</f>
        <v>-1.592193828125</v>
      </c>
      <c r="E67" s="25" t="n">
        <f aca="false">IF(2&lt;=$B67,-'Roll-Up Model'!E63+'Roll-Up Model'!E102,0)+IF(2=$B67,INDEX($D$41:$M$41,$B67),0)</f>
        <v>-2.38796039254032</v>
      </c>
      <c r="F67" s="25" t="n">
        <f aca="false">IF(3&lt;=$B67,-'Roll-Up Model'!F63+'Roll-Up Model'!F102,0)+IF(3=$B67,INDEX($D$41:$M$41,$B67),0)</f>
        <v>-2.01509332379157</v>
      </c>
      <c r="G67" s="25" t="n">
        <f aca="false">IF(4&lt;=$B67,-'Roll-Up Model'!G63+'Roll-Up Model'!G102,0)+IF(4=$B67,INDEX($D$41:$M$41,$B67),0)</f>
        <v>-1.75689696</v>
      </c>
      <c r="H67" s="25" t="n">
        <f aca="false">IF(5&lt;=$B67,-'Roll-Up Model'!H63+'Roll-Up Model'!H102,0)+IF(5=$B67,INDEX($D$41:$M$41,$B67),0)</f>
        <v>0.0123349572227498</v>
      </c>
      <c r="I67" s="25" t="n">
        <f aca="false">IF(6&lt;=$B67,-'Roll-Up Model'!I63+'Roll-Up Model'!I102,0)+IF(6=$B67,INDEX($D$41:$M$41,$B67),0)</f>
        <v>3.82557750436995</v>
      </c>
      <c r="J67" s="25" t="n">
        <f aca="false">IF(7&lt;=$B67,-'Roll-Up Model'!J63+'Roll-Up Model'!J102,0)+IF(7=$B67,INDEX($D$41:$M$41,$B67),0)</f>
        <v>143.916724163039</v>
      </c>
      <c r="K67" s="25" t="n">
        <f aca="false">IF(8&lt;=$B67,-'Roll-Up Model'!K63+'Roll-Up Model'!K102,0)+IF(8=$B67,INDEX($D$41:$M$41,$B67),0)</f>
        <v>0</v>
      </c>
      <c r="L67" s="25" t="n">
        <f aca="false">IF(9&lt;=$B67,-'Roll-Up Model'!L63+'Roll-Up Model'!L102,0)+IF(9=$B67,INDEX($D$41:$M$41,$B67),0)</f>
        <v>0</v>
      </c>
      <c r="M67" s="25" t="n">
        <f aca="false">IF(10&lt;=$B67,-'Roll-Up Model'!M63+'Roll-Up Model'!M102,0)+IF(10=$B67,INDEX($D$41:$M$41,$B67),0)</f>
        <v>0</v>
      </c>
      <c r="N67" s="33" t="n">
        <f aca="false">IRR(C67:M67,0.25)</f>
        <v>0.596782300004213</v>
      </c>
    </row>
    <row r="68" customFormat="false" ht="15" hidden="false" customHeight="true" outlineLevel="0" collapsed="false">
      <c r="A68" s="4" t="s">
        <v>506</v>
      </c>
      <c r="B68" s="19" t="n">
        <v>8</v>
      </c>
      <c r="C68" s="25" t="n">
        <f aca="false">IF(0&lt;=$B68,-'Roll-Up Model'!C63+0,0)+IF(0=$B68,INDEX($D$41:$M$41,$B68),0)</f>
        <v>-2.9705</v>
      </c>
      <c r="D68" s="25" t="n">
        <f aca="false">IF(1&lt;=$B68,-'Roll-Up Model'!D63+'Roll-Up Model'!D102,0)+IF(1=$B68,INDEX($D$41:$M$41,$B68),0)</f>
        <v>-1.592193828125</v>
      </c>
      <c r="E68" s="25" t="n">
        <f aca="false">IF(2&lt;=$B68,-'Roll-Up Model'!E63+'Roll-Up Model'!E102,0)+IF(2=$B68,INDEX($D$41:$M$41,$B68),0)</f>
        <v>-2.38796039254032</v>
      </c>
      <c r="F68" s="25" t="n">
        <f aca="false">IF(3&lt;=$B68,-'Roll-Up Model'!F63+'Roll-Up Model'!F102,0)+IF(3=$B68,INDEX($D$41:$M$41,$B68),0)</f>
        <v>-2.01509332379157</v>
      </c>
      <c r="G68" s="25" t="n">
        <f aca="false">IF(4&lt;=$B68,-'Roll-Up Model'!G63+'Roll-Up Model'!G102,0)+IF(4=$B68,INDEX($D$41:$M$41,$B68),0)</f>
        <v>-1.75689696</v>
      </c>
      <c r="H68" s="25" t="n">
        <f aca="false">IF(5&lt;=$B68,-'Roll-Up Model'!H63+'Roll-Up Model'!H102,0)+IF(5=$B68,INDEX($D$41:$M$41,$B68),0)</f>
        <v>0.0123349572227498</v>
      </c>
      <c r="I68" s="25" t="n">
        <f aca="false">IF(6&lt;=$B68,-'Roll-Up Model'!I63+'Roll-Up Model'!I102,0)+IF(6=$B68,INDEX($D$41:$M$41,$B68),0)</f>
        <v>3.82557750436995</v>
      </c>
      <c r="J68" s="25" t="n">
        <f aca="false">IF(7&lt;=$B68,-'Roll-Up Model'!J63+'Roll-Up Model'!J102,0)+IF(7=$B68,INDEX($D$41:$M$41,$B68),0)</f>
        <v>5.44974029150854</v>
      </c>
      <c r="K68" s="25" t="n">
        <f aca="false">IF(8&lt;=$B68,-'Roll-Up Model'!K63+'Roll-Up Model'!K102,0)+IF(8=$B68,INDEX($D$41:$M$41,$B68),0)</f>
        <v>169.571238576791</v>
      </c>
      <c r="L68" s="25" t="n">
        <f aca="false">IF(9&lt;=$B68,-'Roll-Up Model'!L63+'Roll-Up Model'!L102,0)+IF(9=$B68,INDEX($D$41:$M$41,$B68),0)</f>
        <v>0</v>
      </c>
      <c r="M68" s="25" t="n">
        <f aca="false">IF(10&lt;=$B68,-'Roll-Up Model'!M63+'Roll-Up Model'!M102,0)+IF(10=$B68,INDEX($D$41:$M$41,$B68),0)</f>
        <v>0</v>
      </c>
      <c r="N68" s="33" t="n">
        <f aca="false">IRR(C68:M68,0.25)</f>
        <v>0.541465904626961</v>
      </c>
    </row>
    <row r="69" customFormat="false" ht="15" hidden="false" customHeight="true" outlineLevel="0" collapsed="false">
      <c r="A69" s="4" t="s">
        <v>506</v>
      </c>
      <c r="B69" s="19" t="n">
        <v>9</v>
      </c>
      <c r="C69" s="25" t="n">
        <f aca="false">IF(0&lt;=$B69,-'Roll-Up Model'!C63+0,0)+IF(0=$B69,INDEX($D$41:$M$41,$B69),0)</f>
        <v>-2.9705</v>
      </c>
      <c r="D69" s="25" t="n">
        <f aca="false">IF(1&lt;=$B69,-'Roll-Up Model'!D63+'Roll-Up Model'!D102,0)+IF(1=$B69,INDEX($D$41:$M$41,$B69),0)</f>
        <v>-1.592193828125</v>
      </c>
      <c r="E69" s="25" t="n">
        <f aca="false">IF(2&lt;=$B69,-'Roll-Up Model'!E63+'Roll-Up Model'!E102,0)+IF(2=$B69,INDEX($D$41:$M$41,$B69),0)</f>
        <v>-2.38796039254032</v>
      </c>
      <c r="F69" s="25" t="n">
        <f aca="false">IF(3&lt;=$B69,-'Roll-Up Model'!F63+'Roll-Up Model'!F102,0)+IF(3=$B69,INDEX($D$41:$M$41,$B69),0)</f>
        <v>-2.01509332379157</v>
      </c>
      <c r="G69" s="25" t="n">
        <f aca="false">IF(4&lt;=$B69,-'Roll-Up Model'!G63+'Roll-Up Model'!G102,0)+IF(4=$B69,INDEX($D$41:$M$41,$B69),0)</f>
        <v>-1.75689696</v>
      </c>
      <c r="H69" s="25" t="n">
        <f aca="false">IF(5&lt;=$B69,-'Roll-Up Model'!H63+'Roll-Up Model'!H102,0)+IF(5=$B69,INDEX($D$41:$M$41,$B69),0)</f>
        <v>0.0123349572227498</v>
      </c>
      <c r="I69" s="25" t="n">
        <f aca="false">IF(6&lt;=$B69,-'Roll-Up Model'!I63+'Roll-Up Model'!I102,0)+IF(6=$B69,INDEX($D$41:$M$41,$B69),0)</f>
        <v>3.82557750436995</v>
      </c>
      <c r="J69" s="25" t="n">
        <f aca="false">IF(7&lt;=$B69,-'Roll-Up Model'!J63+'Roll-Up Model'!J102,0)+IF(7=$B69,INDEX($D$41:$M$41,$B69),0)</f>
        <v>5.44974029150854</v>
      </c>
      <c r="K69" s="25" t="n">
        <f aca="false">IF(8&lt;=$B69,-'Roll-Up Model'!K63+'Roll-Up Model'!K102,0)+IF(8=$B69,INDEX($D$41:$M$41,$B69),0)</f>
        <v>7.54975185568124</v>
      </c>
      <c r="L69" s="25" t="n">
        <f aca="false">IF(9&lt;=$B69,-'Roll-Up Model'!L63+'Roll-Up Model'!L102,0)+IF(9=$B69,INDEX($D$41:$M$41,$B69),0)</f>
        <v>194.800945800347</v>
      </c>
      <c r="M69" s="25" t="n">
        <f aca="false">IF(10&lt;=$B69,-'Roll-Up Model'!M63+'Roll-Up Model'!M102,0)+IF(10=$B69,INDEX($D$41:$M$41,$B69),0)</f>
        <v>0</v>
      </c>
      <c r="N69" s="33" t="n">
        <f aca="false">IRR(C69:M69,0.25)</f>
        <v>0.499375037250485</v>
      </c>
    </row>
    <row r="70" customFormat="false" ht="15" hidden="false" customHeight="true" outlineLevel="0" collapsed="false">
      <c r="A70" s="4" t="s">
        <v>506</v>
      </c>
      <c r="B70" s="19" t="n">
        <v>10</v>
      </c>
      <c r="C70" s="25" t="n">
        <f aca="false">IF(0&lt;=$B70,-'Roll-Up Model'!C63+0,0)+IF(0=$B70,INDEX($D$41:$M$41,$B70),0)</f>
        <v>-2.9705</v>
      </c>
      <c r="D70" s="25" t="n">
        <f aca="false">IF(1&lt;=$B70,-'Roll-Up Model'!D63+'Roll-Up Model'!D102,0)+IF(1=$B70,INDEX($D$41:$M$41,$B70),0)</f>
        <v>-1.592193828125</v>
      </c>
      <c r="E70" s="25" t="n">
        <f aca="false">IF(2&lt;=$B70,-'Roll-Up Model'!E63+'Roll-Up Model'!E102,0)+IF(2=$B70,INDEX($D$41:$M$41,$B70),0)</f>
        <v>-2.38796039254032</v>
      </c>
      <c r="F70" s="25" t="n">
        <f aca="false">IF(3&lt;=$B70,-'Roll-Up Model'!F63+'Roll-Up Model'!F102,0)+IF(3=$B70,INDEX($D$41:$M$41,$B70),0)</f>
        <v>-2.01509332379157</v>
      </c>
      <c r="G70" s="25" t="n">
        <f aca="false">IF(4&lt;=$B70,-'Roll-Up Model'!G63+'Roll-Up Model'!G102,0)+IF(4=$B70,INDEX($D$41:$M$41,$B70),0)</f>
        <v>-1.75689696</v>
      </c>
      <c r="H70" s="25" t="n">
        <f aca="false">IF(5&lt;=$B70,-'Roll-Up Model'!H63+'Roll-Up Model'!H102,0)+IF(5=$B70,INDEX($D$41:$M$41,$B70),0)</f>
        <v>0.0123349572227498</v>
      </c>
      <c r="I70" s="25" t="n">
        <f aca="false">IF(6&lt;=$B70,-'Roll-Up Model'!I63+'Roll-Up Model'!I102,0)+IF(6=$B70,INDEX($D$41:$M$41,$B70),0)</f>
        <v>3.82557750436995</v>
      </c>
      <c r="J70" s="25" t="n">
        <f aca="false">IF(7&lt;=$B70,-'Roll-Up Model'!J63+'Roll-Up Model'!J102,0)+IF(7=$B70,INDEX($D$41:$M$41,$B70),0)</f>
        <v>5.44974029150854</v>
      </c>
      <c r="K70" s="25" t="n">
        <f aca="false">IF(8&lt;=$B70,-'Roll-Up Model'!K63+'Roll-Up Model'!K102,0)+IF(8=$B70,INDEX($D$41:$M$41,$B70),0)</f>
        <v>7.54975185568124</v>
      </c>
      <c r="L70" s="25" t="n">
        <f aca="false">IF(9&lt;=$B70,-'Roll-Up Model'!L63+'Roll-Up Model'!L102,0)+IF(9=$B70,INDEX($D$41:$M$41,$B70),0)</f>
        <v>10.0036720307841</v>
      </c>
      <c r="M70" s="25" t="n">
        <f aca="false">IF(10&lt;=$B70,-'Roll-Up Model'!M63+'Roll-Up Model'!M102,0)+IF(10=$B70,INDEX($D$41:$M$41,$B70),0)</f>
        <v>215.250307177093</v>
      </c>
      <c r="N70" s="33" t="n">
        <f aca="false">IRR(C70:M70,0.25)</f>
        <v>0.464351404348098</v>
      </c>
    </row>
    <row r="72" customFormat="false" ht="15" hidden="false" customHeight="true" outlineLevel="0" collapsed="false">
      <c r="A72" s="7" t="s">
        <v>507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" hidden="false" customHeight="true" outlineLevel="0" collapsed="false">
      <c r="A73" s="12" t="s">
        <v>28</v>
      </c>
      <c r="B73" s="13"/>
      <c r="C73" s="13" t="s">
        <v>29</v>
      </c>
      <c r="D73" s="13" t="s">
        <v>30</v>
      </c>
      <c r="E73" s="13" t="s">
        <v>31</v>
      </c>
      <c r="F73" s="13" t="s">
        <v>508</v>
      </c>
      <c r="G73" s="13" t="s">
        <v>32</v>
      </c>
      <c r="H73" s="13" t="s">
        <v>33</v>
      </c>
    </row>
    <row r="74" customFormat="false" ht="15" hidden="false" customHeight="true" outlineLevel="0" collapsed="false">
      <c r="A74" s="31" t="s">
        <v>503</v>
      </c>
      <c r="C74" s="45" t="n">
        <f aca="false">H20</f>
        <v>10.0534035056583</v>
      </c>
      <c r="D74" s="45" t="n">
        <f aca="false">J20</f>
        <v>13.5722343568908</v>
      </c>
      <c r="E74" s="45" t="n">
        <f aca="false">M20</f>
        <v>21.1213839691075</v>
      </c>
      <c r="F74" s="28" t="n">
        <f aca="false">N47</f>
        <v>0.911067800509404</v>
      </c>
      <c r="G74" s="28" t="n">
        <f aca="false">N49</f>
        <v>0.676727473916418</v>
      </c>
      <c r="H74" s="28" t="n">
        <f aca="false">N52</f>
        <v>0.503746448238416</v>
      </c>
    </row>
    <row r="75" customFormat="false" ht="15" hidden="false" customHeight="true" outlineLevel="0" collapsed="false">
      <c r="A75" s="31" t="s">
        <v>504</v>
      </c>
      <c r="C75" s="45" t="n">
        <f aca="false">H26</f>
        <v>13.0743583878223</v>
      </c>
      <c r="D75" s="45" t="n">
        <f aca="false">J26</f>
        <v>15.6240693980881</v>
      </c>
      <c r="E75" s="45" t="n">
        <f aca="false">M26</f>
        <v>21.1213839691075</v>
      </c>
      <c r="F75" s="28" t="n">
        <f aca="false">N53</f>
        <v>0.723077711486031</v>
      </c>
      <c r="G75" s="28" t="n">
        <f aca="false">N55</f>
        <v>0.599661453914458</v>
      </c>
      <c r="H75" s="28" t="n">
        <f aca="false">N58</f>
        <v>0.503746448238416</v>
      </c>
    </row>
    <row r="76" customFormat="false" ht="15" hidden="false" customHeight="true" outlineLevel="0" collapsed="false">
      <c r="A76" s="31" t="s">
        <v>505</v>
      </c>
      <c r="C76" s="45" t="n">
        <f aca="false">H34</f>
        <v>7.03948673121799</v>
      </c>
      <c r="D76" s="45" t="n">
        <f aca="false">J34</f>
        <v>9.60287163392902</v>
      </c>
      <c r="E76" s="45" t="n">
        <f aca="false">M34</f>
        <v>15.4918137075689</v>
      </c>
      <c r="F76" s="28" t="n">
        <f aca="false">N59</f>
        <v>0.753831081226673</v>
      </c>
      <c r="G76" s="28" t="n">
        <f aca="false">N61</f>
        <v>0.582267547328606</v>
      </c>
      <c r="H76" s="28" t="n">
        <f aca="false">N64</f>
        <v>0.455335298148636</v>
      </c>
    </row>
    <row r="77" customFormat="false" ht="15" hidden="false" customHeight="true" outlineLevel="0" collapsed="false">
      <c r="A77" s="31" t="s">
        <v>506</v>
      </c>
      <c r="C77" s="45" t="n">
        <f aca="false">H42</f>
        <v>7.40610236128076</v>
      </c>
      <c r="D77" s="45" t="n">
        <f aca="false">J42</f>
        <v>10.135466141345</v>
      </c>
      <c r="E77" s="45" t="n">
        <f aca="false">M42</f>
        <v>16.4245826208135</v>
      </c>
      <c r="F77" s="28" t="n">
        <f aca="false">N65</f>
        <v>0.775713194512567</v>
      </c>
      <c r="G77" s="28" t="n">
        <f aca="false">N67</f>
        <v>0.596782300004213</v>
      </c>
      <c r="H77" s="28" t="n">
        <f aca="false">N70</f>
        <v>0.464351404348098</v>
      </c>
    </row>
    <row r="79" customFormat="false" ht="15" hidden="false" customHeight="true" outlineLevel="0" collapsed="false">
      <c r="A79" s="7" t="s">
        <v>509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customFormat="false" ht="15" hidden="false" customHeight="true" outlineLevel="0" collapsed="false">
      <c r="A80" s="4" t="s">
        <v>510</v>
      </c>
      <c r="C80" s="19" t="n">
        <f aca="false">Assumptions!$B$90</f>
        <v>7</v>
      </c>
    </row>
    <row r="81" customFormat="false" ht="15" hidden="false" customHeight="true" outlineLevel="0" collapsed="false">
      <c r="A81" s="4" t="s">
        <v>511</v>
      </c>
      <c r="C81" s="19" t="n">
        <f aca="false">Assumptions!$B$91</f>
        <v>1</v>
      </c>
    </row>
    <row r="82" customFormat="false" ht="15" hidden="false" customHeight="true" outlineLevel="0" collapsed="false">
      <c r="A82" s="4" t="s">
        <v>512</v>
      </c>
      <c r="C82" s="25" t="n">
        <f aca="false">INDEX($C$11:$M$11,C80+1)</f>
        <v>15</v>
      </c>
    </row>
    <row r="83" customFormat="false" ht="15" hidden="false" customHeight="true" outlineLevel="0" collapsed="false">
      <c r="A83" s="31" t="s">
        <v>513</v>
      </c>
      <c r="C83" s="27" t="n">
        <f aca="false">CHOOSE(C81,INDEX($C$19:$M$19,C80+1),INDEX($C$25:$M$25,C80+1),INDEX($C$33:$M$33,C80+1),INDEX($C$41:$M$41,C80+1))</f>
        <v>190.018507104717</v>
      </c>
    </row>
    <row r="84" customFormat="false" ht="15" hidden="false" customHeight="true" outlineLevel="0" collapsed="false">
      <c r="A84" s="4" t="s">
        <v>514</v>
      </c>
      <c r="C84" s="25" t="n">
        <f aca="false">INDEX($C$12:$M$12,C80+1)</f>
        <v>13.5650082486443</v>
      </c>
    </row>
    <row r="85" customFormat="false" ht="15" hidden="false" customHeight="true" outlineLevel="0" collapsed="false">
      <c r="A85" s="47" t="s">
        <v>515</v>
      </c>
      <c r="C85" s="42" t="n">
        <f aca="false">C83+C84</f>
        <v>203.583515353361</v>
      </c>
    </row>
    <row r="86" customFormat="false" ht="15" hidden="false" customHeight="true" outlineLevel="0" collapsed="false">
      <c r="A86" s="31" t="s">
        <v>7</v>
      </c>
      <c r="C86" s="34" t="n">
        <f aca="false">IF(C82=0,0,C85/C82)</f>
        <v>13.5722343568908</v>
      </c>
    </row>
    <row r="87" customFormat="false" ht="15" hidden="false" customHeight="true" outlineLevel="0" collapsed="false">
      <c r="A87" s="31" t="s">
        <v>8</v>
      </c>
      <c r="C87" s="33" t="n">
        <f aca="false">INDEX($N$47:$N$70,(C81-1)*6+C80-4)</f>
        <v>0.676727473916418</v>
      </c>
    </row>
    <row r="88" customFormat="false" ht="15" hidden="false" customHeight="true" outlineLevel="0" collapsed="false">
      <c r="A88" s="4" t="s">
        <v>516</v>
      </c>
      <c r="C88" s="25" t="n">
        <f aca="false">Assumptions!$B$87*Assumptions!$B$23*C80</f>
        <v>2.1</v>
      </c>
    </row>
    <row r="89" customFormat="false" ht="15" hidden="false" customHeight="true" outlineLevel="0" collapsed="false">
      <c r="A89" s="4" t="s">
        <v>517</v>
      </c>
      <c r="C89" s="25" t="n">
        <f aca="false">C82+C88</f>
        <v>17.1</v>
      </c>
    </row>
    <row r="90" customFormat="false" ht="15" hidden="false" customHeight="true" outlineLevel="0" collapsed="false">
      <c r="A90" s="4" t="s">
        <v>518</v>
      </c>
      <c r="C90" s="25" t="n">
        <f aca="false">C89*((1+Assumptions!$B$88)^C80-1)</f>
        <v>12.2063949961298</v>
      </c>
    </row>
    <row r="91" customFormat="false" ht="15" hidden="false" customHeight="true" outlineLevel="0" collapsed="false">
      <c r="A91" s="4" t="s">
        <v>519</v>
      </c>
      <c r="C91" s="25" t="n">
        <f aca="false">-Assumptions!$B$89*MAX(0,C85-C89-C90)</f>
        <v>-34.8554240714463</v>
      </c>
    </row>
    <row r="92" customFormat="false" ht="15" hidden="false" customHeight="true" outlineLevel="0" collapsed="false">
      <c r="A92" s="47" t="s">
        <v>520</v>
      </c>
      <c r="C92" s="42" t="n">
        <f aca="false">C85+C91</f>
        <v>168.728091281915</v>
      </c>
    </row>
    <row r="93" customFormat="false" ht="15" hidden="false" customHeight="true" outlineLevel="0" collapsed="false">
      <c r="A93" s="31" t="s">
        <v>521</v>
      </c>
      <c r="C93" s="34" t="n">
        <f aca="false">IF(C89=0,0,C92/C89)</f>
        <v>9.86713984104766</v>
      </c>
    </row>
    <row r="95" customFormat="false" ht="15" hidden="false" customHeight="true" outlineLevel="0" collapsed="false">
      <c r="A95" s="3" t="s">
        <v>522</v>
      </c>
      <c r="C95" s="25" t="n">
        <f aca="false">IF(0&lt;=$C$80,-'Roll-Up Model'!C63-IF(0&gt;=1,Assumptions!$B$87*Assumptions!$B$23,0)+0,0)+IF(0=$C$80,$C$92-$C$84,0)</f>
        <v>-2.9705</v>
      </c>
      <c r="D95" s="25" t="n">
        <f aca="false">IF(1&lt;=$C$80,-'Roll-Up Model'!D63-IF(1&gt;=1,Assumptions!$B$87*Assumptions!$B$23,0)+'Roll-Up Model'!D102,0)+IF(1=$C$80,$C$92-$C$84,0)</f>
        <v>-1.892193828125</v>
      </c>
      <c r="E95" s="25" t="n">
        <f aca="false">IF(2&lt;=$C$80,-'Roll-Up Model'!E63-IF(2&gt;=1,Assumptions!$B$87*Assumptions!$B$23,0)+'Roll-Up Model'!E102,0)+IF(2=$C$80,$C$92-$C$84,0)</f>
        <v>-2.68796039254032</v>
      </c>
      <c r="F95" s="25" t="n">
        <f aca="false">IF(3&lt;=$C$80,-'Roll-Up Model'!F63-IF(3&gt;=1,Assumptions!$B$87*Assumptions!$B$23,0)+'Roll-Up Model'!F102,0)+IF(3=$C$80,$C$92-$C$84,0)</f>
        <v>-2.31509332379157</v>
      </c>
      <c r="G95" s="25" t="n">
        <f aca="false">IF(4&lt;=$C$80,-'Roll-Up Model'!G63-IF(4&gt;=1,Assumptions!$B$87*Assumptions!$B$23,0)+'Roll-Up Model'!G102,0)+IF(4=$C$80,$C$92-$C$84,0)</f>
        <v>-2.05689696</v>
      </c>
      <c r="H95" s="25" t="n">
        <f aca="false">IF(5&lt;=$C$80,-'Roll-Up Model'!H63-IF(5&gt;=1,Assumptions!$B$87*Assumptions!$B$23,0)+'Roll-Up Model'!H102,0)+IF(5=$C$80,$C$92-$C$84,0)</f>
        <v>-0.28766504277725</v>
      </c>
      <c r="I95" s="25" t="n">
        <f aca="false">IF(6&lt;=$C$80,-'Roll-Up Model'!I63-IF(6&gt;=1,Assumptions!$B$87*Assumptions!$B$23,0)+'Roll-Up Model'!I102,0)+IF(6=$C$80,$C$92-$C$84,0)</f>
        <v>3.52557750436995</v>
      </c>
      <c r="J95" s="25" t="n">
        <f aca="false">IF(7&lt;=$C$80,-'Roll-Up Model'!J63-IF(7&gt;=1,Assumptions!$B$87*Assumptions!$B$23,0)+'Roll-Up Model'!J102,0)+IF(7=$C$80,$C$92-$C$84,0)</f>
        <v>160.312823324779</v>
      </c>
      <c r="K95" s="25" t="n">
        <f aca="false">IF(8&lt;=$C$80,-'Roll-Up Model'!K63-IF(8&gt;=1,Assumptions!$B$87*Assumptions!$B$23,0)+'Roll-Up Model'!K102,0)+IF(8=$C$80,$C$92-$C$84,0)</f>
        <v>0</v>
      </c>
      <c r="L95" s="25" t="n">
        <f aca="false">IF(9&lt;=$C$80,-'Roll-Up Model'!L63-IF(9&gt;=1,Assumptions!$B$87*Assumptions!$B$23,0)+'Roll-Up Model'!L102,0)+IF(9=$C$80,$C$92-$C$84,0)</f>
        <v>0</v>
      </c>
      <c r="M95" s="25" t="n">
        <f aca="false">IF(10&lt;=$C$80,-'Roll-Up Model'!M63-IF(10&gt;=1,Assumptions!$B$87*Assumptions!$B$23,0)+'Roll-Up Model'!M102,0)+IF(10=$C$80,$C$92-$C$84,0)</f>
        <v>0</v>
      </c>
    </row>
    <row r="96" customFormat="false" ht="15" hidden="false" customHeight="true" outlineLevel="0" collapsed="false">
      <c r="A96" s="31" t="s">
        <v>10</v>
      </c>
      <c r="C96" s="33" t="n">
        <f aca="false">IRR(C95:M95,0.2)</f>
        <v>0.603195615377543</v>
      </c>
    </row>
    <row r="97" customFormat="false" ht="15" hidden="false" customHeight="true" outlineLevel="0" collapsed="false">
      <c r="A97" s="3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DB1"/>
    <pageSetUpPr fitToPage="false"/>
  </sheetPr>
  <dimension ref="A1:S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2"/>
    <col collapsed="false" customWidth="true" hidden="false" outlineLevel="0" max="8" min="8" style="1" width="4"/>
    <col collapsed="false" customWidth="true" hidden="false" outlineLevel="0" max="19" min="9" style="1" width="10"/>
  </cols>
  <sheetData>
    <row r="1" customFormat="false" ht="17.25" hidden="false" customHeight="true" outlineLevel="0" collapsed="false">
      <c r="A1" s="2" t="s">
        <v>524</v>
      </c>
    </row>
    <row r="2" customFormat="false" ht="15" hidden="false" customHeight="true" outlineLevel="0" collapsed="false">
      <c r="A2" s="3" t="s">
        <v>525</v>
      </c>
    </row>
    <row r="4" customFormat="false" ht="15" hidden="false" customHeight="true" outlineLevel="0" collapsed="false">
      <c r="A4" s="7" t="s">
        <v>526</v>
      </c>
      <c r="B4" s="8"/>
      <c r="C4" s="8"/>
      <c r="D4" s="8"/>
      <c r="E4" s="8"/>
      <c r="F4" s="8"/>
      <c r="G4" s="8"/>
    </row>
    <row r="5" customFormat="false" ht="15" hidden="false" customHeight="true" outlineLevel="0" collapsed="false">
      <c r="A5" s="32" t="s">
        <v>527</v>
      </c>
      <c r="B5" s="51" t="n">
        <v>12</v>
      </c>
      <c r="C5" s="51" t="n">
        <v>14</v>
      </c>
      <c r="D5" s="51" t="n">
        <v>15</v>
      </c>
      <c r="E5" s="51" t="n">
        <v>16</v>
      </c>
      <c r="F5" s="51" t="n">
        <v>18</v>
      </c>
      <c r="G5" s="51" t="n">
        <v>20</v>
      </c>
    </row>
    <row r="6" customFormat="false" ht="15" hidden="false" customHeight="true" outlineLevel="0" collapsed="false">
      <c r="A6" s="52" t="n">
        <v>5</v>
      </c>
      <c r="B6" s="45" t="n">
        <f aca="false">(MAX(0,(((INDEX('Roll-Up Model'!$C$40:$M$40,$A6+1)*(Assumptions!$B$16*(1-INDEX('Roll-Up Model'!$C$32:$M$32,$A6+1))+B$5*INDEX('Roll-Up Model'!$C$32:$M$32,$A6+1))+INDEX(Synergies!$C$27:$M$27,$A6+1)*B$5*Assumptions!$B$75*Assumptions!$B$18)*(1-Assumptions!$B$74)-INDEX('Roll-Up Model'!$C$85:$M$85,$A6+1))-Assumptions!$B$73*MAX(0,((INDEX('Roll-Up Model'!$C$40:$M$40,$A6+1)*(Assumptions!$B$16*(1-INDEX('Roll-Up Model'!$C$32:$M$32,$A6+1))+B$5*INDEX('Roll-Up Model'!$C$32:$M$32,$A6+1))+INDEX(Synergies!$C$27:$M$27,$A6+1)*B$5*Assumptions!$B$75*Assumptions!$B$18)*(1-Assumptions!$B$74)-INDEX('Roll-Up Model'!$C$85:$M$85,$A6+1))-INDEX('Roll-Up Model'!$C$97:$M$97,$A6+1)))*INDEX('Roll-Up Model'!$C$101:$M$101,$A6+1))+INDEX('Roll-Up Model'!$C$103:$M$103,$A6+1))/INDEX('Roll-Up Model'!$C$94:$M$94,$A6+1)</f>
        <v>8.93687708326444</v>
      </c>
      <c r="C6" s="45" t="n">
        <f aca="false">(MAX(0,(((INDEX('Roll-Up Model'!$C$40:$M$40,$A6+1)*(Assumptions!$B$16*(1-INDEX('Roll-Up Model'!$C$32:$M$32,$A6+1))+C$5*INDEX('Roll-Up Model'!$C$32:$M$32,$A6+1))+INDEX(Synergies!$C$27:$M$27,$A6+1)*C$5*Assumptions!$B$75*Assumptions!$B$18)*(1-Assumptions!$B$74)-INDEX('Roll-Up Model'!$C$85:$M$85,$A6+1))-Assumptions!$B$73*MAX(0,((INDEX('Roll-Up Model'!$C$40:$M$40,$A6+1)*(Assumptions!$B$16*(1-INDEX('Roll-Up Model'!$C$32:$M$32,$A6+1))+C$5*INDEX('Roll-Up Model'!$C$32:$M$32,$A6+1))+INDEX(Synergies!$C$27:$M$27,$A6+1)*C$5*Assumptions!$B$75*Assumptions!$B$18)*(1-Assumptions!$B$74)-INDEX('Roll-Up Model'!$C$85:$M$85,$A6+1))-INDEX('Roll-Up Model'!$C$97:$M$97,$A6+1)))*INDEX('Roll-Up Model'!$C$101:$M$101,$A6+1))+INDEX('Roll-Up Model'!$C$103:$M$103,$A6+1))/INDEX('Roll-Up Model'!$C$94:$M$94,$A6+1)</f>
        <v>9.681228031527</v>
      </c>
      <c r="D6" s="45" t="n">
        <f aca="false">(MAX(0,(((INDEX('Roll-Up Model'!$C$40:$M$40,$A6+1)*(Assumptions!$B$16*(1-INDEX('Roll-Up Model'!$C$32:$M$32,$A6+1))+D$5*INDEX('Roll-Up Model'!$C$32:$M$32,$A6+1))+INDEX(Synergies!$C$27:$M$27,$A6+1)*D$5*Assumptions!$B$75*Assumptions!$B$18)*(1-Assumptions!$B$74)-INDEX('Roll-Up Model'!$C$85:$M$85,$A6+1))-Assumptions!$B$73*MAX(0,((INDEX('Roll-Up Model'!$C$40:$M$40,$A6+1)*(Assumptions!$B$16*(1-INDEX('Roll-Up Model'!$C$32:$M$32,$A6+1))+D$5*INDEX('Roll-Up Model'!$C$32:$M$32,$A6+1))+INDEX(Synergies!$C$27:$M$27,$A6+1)*D$5*Assumptions!$B$75*Assumptions!$B$18)*(1-Assumptions!$B$74)-INDEX('Roll-Up Model'!$C$85:$M$85,$A6+1))-INDEX('Roll-Up Model'!$C$97:$M$97,$A6+1)))*INDEX('Roll-Up Model'!$C$101:$M$101,$A6+1))+INDEX('Roll-Up Model'!$C$103:$M$103,$A6+1))/INDEX('Roll-Up Model'!$C$94:$M$94,$A6+1)</f>
        <v>10.0534035056583</v>
      </c>
      <c r="E6" s="45" t="n">
        <f aca="false">(MAX(0,(((INDEX('Roll-Up Model'!$C$40:$M$40,$A6+1)*(Assumptions!$B$16*(1-INDEX('Roll-Up Model'!$C$32:$M$32,$A6+1))+E$5*INDEX('Roll-Up Model'!$C$32:$M$32,$A6+1))+INDEX(Synergies!$C$27:$M$27,$A6+1)*E$5*Assumptions!$B$75*Assumptions!$B$18)*(1-Assumptions!$B$74)-INDEX('Roll-Up Model'!$C$85:$M$85,$A6+1))-Assumptions!$B$73*MAX(0,((INDEX('Roll-Up Model'!$C$40:$M$40,$A6+1)*(Assumptions!$B$16*(1-INDEX('Roll-Up Model'!$C$32:$M$32,$A6+1))+E$5*INDEX('Roll-Up Model'!$C$32:$M$32,$A6+1))+INDEX(Synergies!$C$27:$M$27,$A6+1)*E$5*Assumptions!$B$75*Assumptions!$B$18)*(1-Assumptions!$B$74)-INDEX('Roll-Up Model'!$C$85:$M$85,$A6+1))-INDEX('Roll-Up Model'!$C$97:$M$97,$A6+1)))*INDEX('Roll-Up Model'!$C$101:$M$101,$A6+1))+INDEX('Roll-Up Model'!$C$103:$M$103,$A6+1))/INDEX('Roll-Up Model'!$C$94:$M$94,$A6+1)</f>
        <v>10.4255789797896</v>
      </c>
      <c r="F6" s="45" t="n">
        <f aca="false">(MAX(0,(((INDEX('Roll-Up Model'!$C$40:$M$40,$A6+1)*(Assumptions!$B$16*(1-INDEX('Roll-Up Model'!$C$32:$M$32,$A6+1))+F$5*INDEX('Roll-Up Model'!$C$32:$M$32,$A6+1))+INDEX(Synergies!$C$27:$M$27,$A6+1)*F$5*Assumptions!$B$75*Assumptions!$B$18)*(1-Assumptions!$B$74)-INDEX('Roll-Up Model'!$C$85:$M$85,$A6+1))-Assumptions!$B$73*MAX(0,((INDEX('Roll-Up Model'!$C$40:$M$40,$A6+1)*(Assumptions!$B$16*(1-INDEX('Roll-Up Model'!$C$32:$M$32,$A6+1))+F$5*INDEX('Roll-Up Model'!$C$32:$M$32,$A6+1))+INDEX(Synergies!$C$27:$M$27,$A6+1)*F$5*Assumptions!$B$75*Assumptions!$B$18)*(1-Assumptions!$B$74)-INDEX('Roll-Up Model'!$C$85:$M$85,$A6+1))-INDEX('Roll-Up Model'!$C$97:$M$97,$A6+1)))*INDEX('Roll-Up Model'!$C$101:$M$101,$A6+1))+INDEX('Roll-Up Model'!$C$103:$M$103,$A6+1))/INDEX('Roll-Up Model'!$C$94:$M$94,$A6+1)</f>
        <v>11.1699299280521</v>
      </c>
      <c r="G6" s="45" t="n">
        <f aca="false">(MAX(0,(((INDEX('Roll-Up Model'!$C$40:$M$40,$A6+1)*(Assumptions!$B$16*(1-INDEX('Roll-Up Model'!$C$32:$M$32,$A6+1))+G$5*INDEX('Roll-Up Model'!$C$32:$M$32,$A6+1))+INDEX(Synergies!$C$27:$M$27,$A6+1)*G$5*Assumptions!$B$75*Assumptions!$B$18)*(1-Assumptions!$B$74)-INDEX('Roll-Up Model'!$C$85:$M$85,$A6+1))-Assumptions!$B$73*MAX(0,((INDEX('Roll-Up Model'!$C$40:$M$40,$A6+1)*(Assumptions!$B$16*(1-INDEX('Roll-Up Model'!$C$32:$M$32,$A6+1))+G$5*INDEX('Roll-Up Model'!$C$32:$M$32,$A6+1))+INDEX(Synergies!$C$27:$M$27,$A6+1)*G$5*Assumptions!$B$75*Assumptions!$B$18)*(1-Assumptions!$B$74)-INDEX('Roll-Up Model'!$C$85:$M$85,$A6+1))-INDEX('Roll-Up Model'!$C$97:$M$97,$A6+1)))*INDEX('Roll-Up Model'!$C$101:$M$101,$A6+1))+INDEX('Roll-Up Model'!$C$103:$M$103,$A6+1))/INDEX('Roll-Up Model'!$C$94:$M$94,$A6+1)</f>
        <v>11.9142808763147</v>
      </c>
    </row>
    <row r="7" customFormat="false" ht="15" hidden="false" customHeight="true" outlineLevel="0" collapsed="false">
      <c r="A7" s="52" t="n">
        <v>6</v>
      </c>
      <c r="B7" s="45" t="n">
        <f aca="false">(MAX(0,(((INDEX('Roll-Up Model'!$C$40:$M$40,$A7+1)*(Assumptions!$B$16*(1-INDEX('Roll-Up Model'!$C$32:$M$32,$A7+1))+B$5*INDEX('Roll-Up Model'!$C$32:$M$32,$A7+1))+INDEX(Synergies!$C$27:$M$27,$A7+1)*B$5*Assumptions!$B$75*Assumptions!$B$18)*(1-Assumptions!$B$74)-INDEX('Roll-Up Model'!$C$85:$M$85,$A7+1))-Assumptions!$B$73*MAX(0,((INDEX('Roll-Up Model'!$C$40:$M$40,$A7+1)*(Assumptions!$B$16*(1-INDEX('Roll-Up Model'!$C$32:$M$32,$A7+1))+B$5*INDEX('Roll-Up Model'!$C$32:$M$32,$A7+1))+INDEX(Synergies!$C$27:$M$27,$A7+1)*B$5*Assumptions!$B$75*Assumptions!$B$18)*(1-Assumptions!$B$74)-INDEX('Roll-Up Model'!$C$85:$M$85,$A7+1))-INDEX('Roll-Up Model'!$C$97:$M$97,$A7+1)))*INDEX('Roll-Up Model'!$C$101:$M$101,$A7+1))+INDEX('Roll-Up Model'!$C$103:$M$103,$A7+1))/INDEX('Roll-Up Model'!$C$94:$M$94,$A7+1)</f>
        <v>10.5868236421039</v>
      </c>
      <c r="C7" s="45" t="n">
        <f aca="false">(MAX(0,(((INDEX('Roll-Up Model'!$C$40:$M$40,$A7+1)*(Assumptions!$B$16*(1-INDEX('Roll-Up Model'!$C$32:$M$32,$A7+1))+C$5*INDEX('Roll-Up Model'!$C$32:$M$32,$A7+1))+INDEX(Synergies!$C$27:$M$27,$A7+1)*C$5*Assumptions!$B$75*Assumptions!$B$18)*(1-Assumptions!$B$74)-INDEX('Roll-Up Model'!$C$85:$M$85,$A7+1))-Assumptions!$B$73*MAX(0,((INDEX('Roll-Up Model'!$C$40:$M$40,$A7+1)*(Assumptions!$B$16*(1-INDEX('Roll-Up Model'!$C$32:$M$32,$A7+1))+C$5*INDEX('Roll-Up Model'!$C$32:$M$32,$A7+1))+INDEX(Synergies!$C$27:$M$27,$A7+1)*C$5*Assumptions!$B$75*Assumptions!$B$18)*(1-Assumptions!$B$74)-INDEX('Roll-Up Model'!$C$85:$M$85,$A7+1))-INDEX('Roll-Up Model'!$C$97:$M$97,$A7+1)))*INDEX('Roll-Up Model'!$C$101:$M$101,$A7+1))+INDEX('Roll-Up Model'!$C$103:$M$103,$A7+1))/INDEX('Roll-Up Model'!$C$94:$M$94,$A7+1)</f>
        <v>11.4834084975637</v>
      </c>
      <c r="D7" s="45" t="n">
        <f aca="false">(MAX(0,(((INDEX('Roll-Up Model'!$C$40:$M$40,$A7+1)*(Assumptions!$B$16*(1-INDEX('Roll-Up Model'!$C$32:$M$32,$A7+1))+D$5*INDEX('Roll-Up Model'!$C$32:$M$32,$A7+1))+INDEX(Synergies!$C$27:$M$27,$A7+1)*D$5*Assumptions!$B$75*Assumptions!$B$18)*(1-Assumptions!$B$74)-INDEX('Roll-Up Model'!$C$85:$M$85,$A7+1))-Assumptions!$B$73*MAX(0,((INDEX('Roll-Up Model'!$C$40:$M$40,$A7+1)*(Assumptions!$B$16*(1-INDEX('Roll-Up Model'!$C$32:$M$32,$A7+1))+D$5*INDEX('Roll-Up Model'!$C$32:$M$32,$A7+1))+INDEX(Synergies!$C$27:$M$27,$A7+1)*D$5*Assumptions!$B$75*Assumptions!$B$18)*(1-Assumptions!$B$74)-INDEX('Roll-Up Model'!$C$85:$M$85,$A7+1))-INDEX('Roll-Up Model'!$C$97:$M$97,$A7+1)))*INDEX('Roll-Up Model'!$C$101:$M$101,$A7+1))+INDEX('Roll-Up Model'!$C$103:$M$103,$A7+1))/INDEX('Roll-Up Model'!$C$94:$M$94,$A7+1)</f>
        <v>11.9317009252936</v>
      </c>
      <c r="E7" s="45" t="n">
        <f aca="false">(MAX(0,(((INDEX('Roll-Up Model'!$C$40:$M$40,$A7+1)*(Assumptions!$B$16*(1-INDEX('Roll-Up Model'!$C$32:$M$32,$A7+1))+E$5*INDEX('Roll-Up Model'!$C$32:$M$32,$A7+1))+INDEX(Synergies!$C$27:$M$27,$A7+1)*E$5*Assumptions!$B$75*Assumptions!$B$18)*(1-Assumptions!$B$74)-INDEX('Roll-Up Model'!$C$85:$M$85,$A7+1))-Assumptions!$B$73*MAX(0,((INDEX('Roll-Up Model'!$C$40:$M$40,$A7+1)*(Assumptions!$B$16*(1-INDEX('Roll-Up Model'!$C$32:$M$32,$A7+1))+E$5*INDEX('Roll-Up Model'!$C$32:$M$32,$A7+1))+INDEX(Synergies!$C$27:$M$27,$A7+1)*E$5*Assumptions!$B$75*Assumptions!$B$18)*(1-Assumptions!$B$74)-INDEX('Roll-Up Model'!$C$85:$M$85,$A7+1))-INDEX('Roll-Up Model'!$C$97:$M$97,$A7+1)))*INDEX('Roll-Up Model'!$C$101:$M$101,$A7+1))+INDEX('Roll-Up Model'!$C$103:$M$103,$A7+1))/INDEX('Roll-Up Model'!$C$94:$M$94,$A7+1)</f>
        <v>12.3799933530235</v>
      </c>
      <c r="F7" s="45" t="n">
        <f aca="false">(MAX(0,(((INDEX('Roll-Up Model'!$C$40:$M$40,$A7+1)*(Assumptions!$B$16*(1-INDEX('Roll-Up Model'!$C$32:$M$32,$A7+1))+F$5*INDEX('Roll-Up Model'!$C$32:$M$32,$A7+1))+INDEX(Synergies!$C$27:$M$27,$A7+1)*F$5*Assumptions!$B$75*Assumptions!$B$18)*(1-Assumptions!$B$74)-INDEX('Roll-Up Model'!$C$85:$M$85,$A7+1))-Assumptions!$B$73*MAX(0,((INDEX('Roll-Up Model'!$C$40:$M$40,$A7+1)*(Assumptions!$B$16*(1-INDEX('Roll-Up Model'!$C$32:$M$32,$A7+1))+F$5*INDEX('Roll-Up Model'!$C$32:$M$32,$A7+1))+INDEX(Synergies!$C$27:$M$27,$A7+1)*F$5*Assumptions!$B$75*Assumptions!$B$18)*(1-Assumptions!$B$74)-INDEX('Roll-Up Model'!$C$85:$M$85,$A7+1))-INDEX('Roll-Up Model'!$C$97:$M$97,$A7+1)))*INDEX('Roll-Up Model'!$C$101:$M$101,$A7+1))+INDEX('Roll-Up Model'!$C$103:$M$103,$A7+1))/INDEX('Roll-Up Model'!$C$94:$M$94,$A7+1)</f>
        <v>13.2765782084833</v>
      </c>
      <c r="G7" s="45" t="n">
        <f aca="false">(MAX(0,(((INDEX('Roll-Up Model'!$C$40:$M$40,$A7+1)*(Assumptions!$B$16*(1-INDEX('Roll-Up Model'!$C$32:$M$32,$A7+1))+G$5*INDEX('Roll-Up Model'!$C$32:$M$32,$A7+1))+INDEX(Synergies!$C$27:$M$27,$A7+1)*G$5*Assumptions!$B$75*Assumptions!$B$18)*(1-Assumptions!$B$74)-INDEX('Roll-Up Model'!$C$85:$M$85,$A7+1))-Assumptions!$B$73*MAX(0,((INDEX('Roll-Up Model'!$C$40:$M$40,$A7+1)*(Assumptions!$B$16*(1-INDEX('Roll-Up Model'!$C$32:$M$32,$A7+1))+G$5*INDEX('Roll-Up Model'!$C$32:$M$32,$A7+1))+INDEX(Synergies!$C$27:$M$27,$A7+1)*G$5*Assumptions!$B$75*Assumptions!$B$18)*(1-Assumptions!$B$74)-INDEX('Roll-Up Model'!$C$85:$M$85,$A7+1))-INDEX('Roll-Up Model'!$C$97:$M$97,$A7+1)))*INDEX('Roll-Up Model'!$C$101:$M$101,$A7+1))+INDEX('Roll-Up Model'!$C$103:$M$103,$A7+1))/INDEX('Roll-Up Model'!$C$94:$M$94,$A7+1)</f>
        <v>14.1731630639431</v>
      </c>
    </row>
    <row r="8" customFormat="false" ht="15" hidden="false" customHeight="true" outlineLevel="0" collapsed="false">
      <c r="A8" s="52" t="n">
        <v>7</v>
      </c>
      <c r="B8" s="45" t="n">
        <f aca="false">(MAX(0,(((INDEX('Roll-Up Model'!$C$40:$M$40,$A8+1)*(Assumptions!$B$16*(1-INDEX('Roll-Up Model'!$C$32:$M$32,$A8+1))+B$5*INDEX('Roll-Up Model'!$C$32:$M$32,$A8+1))+INDEX(Synergies!$C$27:$M$27,$A8+1)*B$5*Assumptions!$B$75*Assumptions!$B$18)*(1-Assumptions!$B$74)-INDEX('Roll-Up Model'!$C$85:$M$85,$A8+1))-Assumptions!$B$73*MAX(0,((INDEX('Roll-Up Model'!$C$40:$M$40,$A8+1)*(Assumptions!$B$16*(1-INDEX('Roll-Up Model'!$C$32:$M$32,$A8+1))+B$5*INDEX('Roll-Up Model'!$C$32:$M$32,$A8+1))+INDEX(Synergies!$C$27:$M$27,$A8+1)*B$5*Assumptions!$B$75*Assumptions!$B$18)*(1-Assumptions!$B$74)-INDEX('Roll-Up Model'!$C$85:$M$85,$A8+1))-INDEX('Roll-Up Model'!$C$97:$M$97,$A8+1)))*INDEX('Roll-Up Model'!$C$101:$M$101,$A8+1))+INDEX('Roll-Up Model'!$C$103:$M$103,$A8+1))/INDEX('Roll-Up Model'!$C$94:$M$94,$A8+1)</f>
        <v>12.0176773873565</v>
      </c>
      <c r="C8" s="45" t="n">
        <f aca="false">(MAX(0,(((INDEX('Roll-Up Model'!$C$40:$M$40,$A8+1)*(Assumptions!$B$16*(1-INDEX('Roll-Up Model'!$C$32:$M$32,$A8+1))+C$5*INDEX('Roll-Up Model'!$C$32:$M$32,$A8+1))+INDEX(Synergies!$C$27:$M$27,$A8+1)*C$5*Assumptions!$B$75*Assumptions!$B$18)*(1-Assumptions!$B$74)-INDEX('Roll-Up Model'!$C$85:$M$85,$A8+1))-Assumptions!$B$73*MAX(0,((INDEX('Roll-Up Model'!$C$40:$M$40,$A8+1)*(Assumptions!$B$16*(1-INDEX('Roll-Up Model'!$C$32:$M$32,$A8+1))+C$5*INDEX('Roll-Up Model'!$C$32:$M$32,$A8+1))+INDEX(Synergies!$C$27:$M$27,$A8+1)*C$5*Assumptions!$B$75*Assumptions!$B$18)*(1-Assumptions!$B$74)-INDEX('Roll-Up Model'!$C$85:$M$85,$A8+1))-INDEX('Roll-Up Model'!$C$97:$M$97,$A8+1)))*INDEX('Roll-Up Model'!$C$101:$M$101,$A8+1))+INDEX('Roll-Up Model'!$C$103:$M$103,$A8+1))/INDEX('Roll-Up Model'!$C$94:$M$94,$A8+1)</f>
        <v>13.0540487003793</v>
      </c>
      <c r="D8" s="45" t="n">
        <f aca="false">(MAX(0,(((INDEX('Roll-Up Model'!$C$40:$M$40,$A8+1)*(Assumptions!$B$16*(1-INDEX('Roll-Up Model'!$C$32:$M$32,$A8+1))+D$5*INDEX('Roll-Up Model'!$C$32:$M$32,$A8+1))+INDEX(Synergies!$C$27:$M$27,$A8+1)*D$5*Assumptions!$B$75*Assumptions!$B$18)*(1-Assumptions!$B$74)-INDEX('Roll-Up Model'!$C$85:$M$85,$A8+1))-Assumptions!$B$73*MAX(0,((INDEX('Roll-Up Model'!$C$40:$M$40,$A8+1)*(Assumptions!$B$16*(1-INDEX('Roll-Up Model'!$C$32:$M$32,$A8+1))+D$5*INDEX('Roll-Up Model'!$C$32:$M$32,$A8+1))+INDEX(Synergies!$C$27:$M$27,$A8+1)*D$5*Assumptions!$B$75*Assumptions!$B$18)*(1-Assumptions!$B$74)-INDEX('Roll-Up Model'!$C$85:$M$85,$A8+1))-INDEX('Roll-Up Model'!$C$97:$M$97,$A8+1)))*INDEX('Roll-Up Model'!$C$101:$M$101,$A8+1))+INDEX('Roll-Up Model'!$C$103:$M$103,$A8+1))/INDEX('Roll-Up Model'!$C$94:$M$94,$A8+1)</f>
        <v>13.5722343568908</v>
      </c>
      <c r="E8" s="45" t="n">
        <f aca="false">(MAX(0,(((INDEX('Roll-Up Model'!$C$40:$M$40,$A8+1)*(Assumptions!$B$16*(1-INDEX('Roll-Up Model'!$C$32:$M$32,$A8+1))+E$5*INDEX('Roll-Up Model'!$C$32:$M$32,$A8+1))+INDEX(Synergies!$C$27:$M$27,$A8+1)*E$5*Assumptions!$B$75*Assumptions!$B$18)*(1-Assumptions!$B$74)-INDEX('Roll-Up Model'!$C$85:$M$85,$A8+1))-Assumptions!$B$73*MAX(0,((INDEX('Roll-Up Model'!$C$40:$M$40,$A8+1)*(Assumptions!$B$16*(1-INDEX('Roll-Up Model'!$C$32:$M$32,$A8+1))+E$5*INDEX('Roll-Up Model'!$C$32:$M$32,$A8+1))+INDEX(Synergies!$C$27:$M$27,$A8+1)*E$5*Assumptions!$B$75*Assumptions!$B$18)*(1-Assumptions!$B$74)-INDEX('Roll-Up Model'!$C$85:$M$85,$A8+1))-INDEX('Roll-Up Model'!$C$97:$M$97,$A8+1)))*INDEX('Roll-Up Model'!$C$101:$M$101,$A8+1))+INDEX('Roll-Up Model'!$C$103:$M$103,$A8+1))/INDEX('Roll-Up Model'!$C$94:$M$94,$A8+1)</f>
        <v>14.0904200134022</v>
      </c>
      <c r="F8" s="45" t="n">
        <f aca="false">(MAX(0,(((INDEX('Roll-Up Model'!$C$40:$M$40,$A8+1)*(Assumptions!$B$16*(1-INDEX('Roll-Up Model'!$C$32:$M$32,$A8+1))+F$5*INDEX('Roll-Up Model'!$C$32:$M$32,$A8+1))+INDEX(Synergies!$C$27:$M$27,$A8+1)*F$5*Assumptions!$B$75*Assumptions!$B$18)*(1-Assumptions!$B$74)-INDEX('Roll-Up Model'!$C$85:$M$85,$A8+1))-Assumptions!$B$73*MAX(0,((INDEX('Roll-Up Model'!$C$40:$M$40,$A8+1)*(Assumptions!$B$16*(1-INDEX('Roll-Up Model'!$C$32:$M$32,$A8+1))+F$5*INDEX('Roll-Up Model'!$C$32:$M$32,$A8+1))+INDEX(Synergies!$C$27:$M$27,$A8+1)*F$5*Assumptions!$B$75*Assumptions!$B$18)*(1-Assumptions!$B$74)-INDEX('Roll-Up Model'!$C$85:$M$85,$A8+1))-INDEX('Roll-Up Model'!$C$97:$M$97,$A8+1)))*INDEX('Roll-Up Model'!$C$101:$M$101,$A8+1))+INDEX('Roll-Up Model'!$C$103:$M$103,$A8+1))/INDEX('Roll-Up Model'!$C$94:$M$94,$A8+1)</f>
        <v>15.126791326425</v>
      </c>
      <c r="G8" s="45" t="n">
        <f aca="false">(MAX(0,(((INDEX('Roll-Up Model'!$C$40:$M$40,$A8+1)*(Assumptions!$B$16*(1-INDEX('Roll-Up Model'!$C$32:$M$32,$A8+1))+G$5*INDEX('Roll-Up Model'!$C$32:$M$32,$A8+1))+INDEX(Synergies!$C$27:$M$27,$A8+1)*G$5*Assumptions!$B$75*Assumptions!$B$18)*(1-Assumptions!$B$74)-INDEX('Roll-Up Model'!$C$85:$M$85,$A8+1))-Assumptions!$B$73*MAX(0,((INDEX('Roll-Up Model'!$C$40:$M$40,$A8+1)*(Assumptions!$B$16*(1-INDEX('Roll-Up Model'!$C$32:$M$32,$A8+1))+G$5*INDEX('Roll-Up Model'!$C$32:$M$32,$A8+1))+INDEX(Synergies!$C$27:$M$27,$A8+1)*G$5*Assumptions!$B$75*Assumptions!$B$18)*(1-Assumptions!$B$74)-INDEX('Roll-Up Model'!$C$85:$M$85,$A8+1))-INDEX('Roll-Up Model'!$C$97:$M$97,$A8+1)))*INDEX('Roll-Up Model'!$C$101:$M$101,$A8+1))+INDEX('Roll-Up Model'!$C$103:$M$103,$A8+1))/INDEX('Roll-Up Model'!$C$94:$M$94,$A8+1)</f>
        <v>16.1631626394478</v>
      </c>
    </row>
    <row r="9" customFormat="false" ht="15" hidden="false" customHeight="true" outlineLevel="0" collapsed="false">
      <c r="A9" s="52" t="n">
        <v>8</v>
      </c>
      <c r="B9" s="45" t="n">
        <f aca="false">(MAX(0,(((INDEX('Roll-Up Model'!$C$40:$M$40,$A9+1)*(Assumptions!$B$16*(1-INDEX('Roll-Up Model'!$C$32:$M$32,$A9+1))+B$5*INDEX('Roll-Up Model'!$C$32:$M$32,$A9+1))+INDEX(Synergies!$C$27:$M$27,$A9+1)*B$5*Assumptions!$B$75*Assumptions!$B$18)*(1-Assumptions!$B$74)-INDEX('Roll-Up Model'!$C$85:$M$85,$A9+1))-Assumptions!$B$73*MAX(0,((INDEX('Roll-Up Model'!$C$40:$M$40,$A9+1)*(Assumptions!$B$16*(1-INDEX('Roll-Up Model'!$C$32:$M$32,$A9+1))+B$5*INDEX('Roll-Up Model'!$C$32:$M$32,$A9+1))+INDEX(Synergies!$C$27:$M$27,$A9+1)*B$5*Assumptions!$B$75*Assumptions!$B$18)*(1-Assumptions!$B$74)-INDEX('Roll-Up Model'!$C$85:$M$85,$A9+1))-INDEX('Roll-Up Model'!$C$97:$M$97,$A9+1)))*INDEX('Roll-Up Model'!$C$101:$M$101,$A9+1))+INDEX('Roll-Up Model'!$C$103:$M$103,$A9+1))/INDEX('Roll-Up Model'!$C$94:$M$94,$A9+1)</f>
        <v>14.3312802185214</v>
      </c>
      <c r="C9" s="45" t="n">
        <f aca="false">(MAX(0,(((INDEX('Roll-Up Model'!$C$40:$M$40,$A9+1)*(Assumptions!$B$16*(1-INDEX('Roll-Up Model'!$C$32:$M$32,$A9+1))+C$5*INDEX('Roll-Up Model'!$C$32:$M$32,$A9+1))+INDEX(Synergies!$C$27:$M$27,$A9+1)*C$5*Assumptions!$B$75*Assumptions!$B$18)*(1-Assumptions!$B$74)-INDEX('Roll-Up Model'!$C$85:$M$85,$A9+1))-Assumptions!$B$73*MAX(0,((INDEX('Roll-Up Model'!$C$40:$M$40,$A9+1)*(Assumptions!$B$16*(1-INDEX('Roll-Up Model'!$C$32:$M$32,$A9+1))+C$5*INDEX('Roll-Up Model'!$C$32:$M$32,$A9+1))+INDEX(Synergies!$C$27:$M$27,$A9+1)*C$5*Assumptions!$B$75*Assumptions!$B$18)*(1-Assumptions!$B$74)-INDEX('Roll-Up Model'!$C$85:$M$85,$A9+1))-INDEX('Roll-Up Model'!$C$97:$M$97,$A9+1)))*INDEX('Roll-Up Model'!$C$101:$M$101,$A9+1))+INDEX('Roll-Up Model'!$C$103:$M$103,$A9+1))/INDEX('Roll-Up Model'!$C$94:$M$94,$A9+1)</f>
        <v>15.5365220370923</v>
      </c>
      <c r="D9" s="45" t="n">
        <f aca="false">(MAX(0,(((INDEX('Roll-Up Model'!$C$40:$M$40,$A9+1)*(Assumptions!$B$16*(1-INDEX('Roll-Up Model'!$C$32:$M$32,$A9+1))+D$5*INDEX('Roll-Up Model'!$C$32:$M$32,$A9+1))+INDEX(Synergies!$C$27:$M$27,$A9+1)*D$5*Assumptions!$B$75*Assumptions!$B$18)*(1-Assumptions!$B$74)-INDEX('Roll-Up Model'!$C$85:$M$85,$A9+1))-Assumptions!$B$73*MAX(0,((INDEX('Roll-Up Model'!$C$40:$M$40,$A9+1)*(Assumptions!$B$16*(1-INDEX('Roll-Up Model'!$C$32:$M$32,$A9+1))+D$5*INDEX('Roll-Up Model'!$C$32:$M$32,$A9+1))+INDEX(Synergies!$C$27:$M$27,$A9+1)*D$5*Assumptions!$B$75*Assumptions!$B$18)*(1-Assumptions!$B$74)-INDEX('Roll-Up Model'!$C$85:$M$85,$A9+1))-INDEX('Roll-Up Model'!$C$97:$M$97,$A9+1)))*INDEX('Roll-Up Model'!$C$101:$M$101,$A9+1))+INDEX('Roll-Up Model'!$C$103:$M$103,$A9+1))/INDEX('Roll-Up Model'!$C$94:$M$94,$A9+1)</f>
        <v>16.1391429463777</v>
      </c>
      <c r="E9" s="45" t="n">
        <f aca="false">(MAX(0,(((INDEX('Roll-Up Model'!$C$40:$M$40,$A9+1)*(Assumptions!$B$16*(1-INDEX('Roll-Up Model'!$C$32:$M$32,$A9+1))+E$5*INDEX('Roll-Up Model'!$C$32:$M$32,$A9+1))+INDEX(Synergies!$C$27:$M$27,$A9+1)*E$5*Assumptions!$B$75*Assumptions!$B$18)*(1-Assumptions!$B$74)-INDEX('Roll-Up Model'!$C$85:$M$85,$A9+1))-Assumptions!$B$73*MAX(0,((INDEX('Roll-Up Model'!$C$40:$M$40,$A9+1)*(Assumptions!$B$16*(1-INDEX('Roll-Up Model'!$C$32:$M$32,$A9+1))+E$5*INDEX('Roll-Up Model'!$C$32:$M$32,$A9+1))+INDEX(Synergies!$C$27:$M$27,$A9+1)*E$5*Assumptions!$B$75*Assumptions!$B$18)*(1-Assumptions!$B$74)-INDEX('Roll-Up Model'!$C$85:$M$85,$A9+1))-INDEX('Roll-Up Model'!$C$97:$M$97,$A9+1)))*INDEX('Roll-Up Model'!$C$101:$M$101,$A9+1))+INDEX('Roll-Up Model'!$C$103:$M$103,$A9+1))/INDEX('Roll-Up Model'!$C$94:$M$94,$A9+1)</f>
        <v>16.7417638556631</v>
      </c>
      <c r="F9" s="45" t="n">
        <f aca="false">(MAX(0,(((INDEX('Roll-Up Model'!$C$40:$M$40,$A9+1)*(Assumptions!$B$16*(1-INDEX('Roll-Up Model'!$C$32:$M$32,$A9+1))+F$5*INDEX('Roll-Up Model'!$C$32:$M$32,$A9+1))+INDEX(Synergies!$C$27:$M$27,$A9+1)*F$5*Assumptions!$B$75*Assumptions!$B$18)*(1-Assumptions!$B$74)-INDEX('Roll-Up Model'!$C$85:$M$85,$A9+1))-Assumptions!$B$73*MAX(0,((INDEX('Roll-Up Model'!$C$40:$M$40,$A9+1)*(Assumptions!$B$16*(1-INDEX('Roll-Up Model'!$C$32:$M$32,$A9+1))+F$5*INDEX('Roll-Up Model'!$C$32:$M$32,$A9+1))+INDEX(Synergies!$C$27:$M$27,$A9+1)*F$5*Assumptions!$B$75*Assumptions!$B$18)*(1-Assumptions!$B$74)-INDEX('Roll-Up Model'!$C$85:$M$85,$A9+1))-INDEX('Roll-Up Model'!$C$97:$M$97,$A9+1)))*INDEX('Roll-Up Model'!$C$101:$M$101,$A9+1))+INDEX('Roll-Up Model'!$C$103:$M$103,$A9+1))/INDEX('Roll-Up Model'!$C$94:$M$94,$A9+1)</f>
        <v>17.9470056742339</v>
      </c>
      <c r="G9" s="45" t="n">
        <f aca="false">(MAX(0,(((INDEX('Roll-Up Model'!$C$40:$M$40,$A9+1)*(Assumptions!$B$16*(1-INDEX('Roll-Up Model'!$C$32:$M$32,$A9+1))+G$5*INDEX('Roll-Up Model'!$C$32:$M$32,$A9+1))+INDEX(Synergies!$C$27:$M$27,$A9+1)*G$5*Assumptions!$B$75*Assumptions!$B$18)*(1-Assumptions!$B$74)-INDEX('Roll-Up Model'!$C$85:$M$85,$A9+1))-Assumptions!$B$73*MAX(0,((INDEX('Roll-Up Model'!$C$40:$M$40,$A9+1)*(Assumptions!$B$16*(1-INDEX('Roll-Up Model'!$C$32:$M$32,$A9+1))+G$5*INDEX('Roll-Up Model'!$C$32:$M$32,$A9+1))+INDEX(Synergies!$C$27:$M$27,$A9+1)*G$5*Assumptions!$B$75*Assumptions!$B$18)*(1-Assumptions!$B$74)-INDEX('Roll-Up Model'!$C$85:$M$85,$A9+1))-INDEX('Roll-Up Model'!$C$97:$M$97,$A9+1)))*INDEX('Roll-Up Model'!$C$101:$M$101,$A9+1))+INDEX('Roll-Up Model'!$C$103:$M$103,$A9+1))/INDEX('Roll-Up Model'!$C$94:$M$94,$A9+1)</f>
        <v>19.1522474928048</v>
      </c>
    </row>
    <row r="10" customFormat="false" ht="15" hidden="false" customHeight="true" outlineLevel="0" collapsed="false">
      <c r="A10" s="52" t="n">
        <v>9</v>
      </c>
      <c r="B10" s="45" t="n">
        <f aca="false">(MAX(0,(((INDEX('Roll-Up Model'!$C$40:$M$40,$A10+1)*(Assumptions!$B$16*(1-INDEX('Roll-Up Model'!$C$32:$M$32,$A10+1))+B$5*INDEX('Roll-Up Model'!$C$32:$M$32,$A10+1))+INDEX(Synergies!$C$27:$M$27,$A10+1)*B$5*Assumptions!$B$75*Assumptions!$B$18)*(1-Assumptions!$B$74)-INDEX('Roll-Up Model'!$C$85:$M$85,$A10+1))-Assumptions!$B$73*MAX(0,((INDEX('Roll-Up Model'!$C$40:$M$40,$A10+1)*(Assumptions!$B$16*(1-INDEX('Roll-Up Model'!$C$32:$M$32,$A10+1))+B$5*INDEX('Roll-Up Model'!$C$32:$M$32,$A10+1))+INDEX(Synergies!$C$27:$M$27,$A10+1)*B$5*Assumptions!$B$75*Assumptions!$B$18)*(1-Assumptions!$B$74)-INDEX('Roll-Up Model'!$C$85:$M$85,$A10+1))-INDEX('Roll-Up Model'!$C$97:$M$97,$A10+1)))*INDEX('Roll-Up Model'!$C$101:$M$101,$A10+1))+INDEX('Roll-Up Model'!$C$103:$M$103,$A10+1))/INDEX('Roll-Up Model'!$C$94:$M$94,$A10+1)</f>
        <v>16.7188386899615</v>
      </c>
      <c r="C10" s="45" t="n">
        <f aca="false">(MAX(0,(((INDEX('Roll-Up Model'!$C$40:$M$40,$A10+1)*(Assumptions!$B$16*(1-INDEX('Roll-Up Model'!$C$32:$M$32,$A10+1))+C$5*INDEX('Roll-Up Model'!$C$32:$M$32,$A10+1))+INDEX(Synergies!$C$27:$M$27,$A10+1)*C$5*Assumptions!$B$75*Assumptions!$B$18)*(1-Assumptions!$B$74)-INDEX('Roll-Up Model'!$C$85:$M$85,$A10+1))-Assumptions!$B$73*MAX(0,((INDEX('Roll-Up Model'!$C$40:$M$40,$A10+1)*(Assumptions!$B$16*(1-INDEX('Roll-Up Model'!$C$32:$M$32,$A10+1))+C$5*INDEX('Roll-Up Model'!$C$32:$M$32,$A10+1))+INDEX(Synergies!$C$27:$M$27,$A10+1)*C$5*Assumptions!$B$75*Assumptions!$B$18)*(1-Assumptions!$B$74)-INDEX('Roll-Up Model'!$C$85:$M$85,$A10+1))-INDEX('Roll-Up Model'!$C$97:$M$97,$A10+1)))*INDEX('Roll-Up Model'!$C$101:$M$101,$A10+1))+INDEX('Roll-Up Model'!$C$103:$M$103,$A10+1))/INDEX('Roll-Up Model'!$C$94:$M$94,$A10+1)</f>
        <v>18.0803744193414</v>
      </c>
      <c r="D10" s="45" t="n">
        <f aca="false">(MAX(0,(((INDEX('Roll-Up Model'!$C$40:$M$40,$A10+1)*(Assumptions!$B$16*(1-INDEX('Roll-Up Model'!$C$32:$M$32,$A10+1))+D$5*INDEX('Roll-Up Model'!$C$32:$M$32,$A10+1))+INDEX(Synergies!$C$27:$M$27,$A10+1)*D$5*Assumptions!$B$75*Assumptions!$B$18)*(1-Assumptions!$B$74)-INDEX('Roll-Up Model'!$C$85:$M$85,$A10+1))-Assumptions!$B$73*MAX(0,((INDEX('Roll-Up Model'!$C$40:$M$40,$A10+1)*(Assumptions!$B$16*(1-INDEX('Roll-Up Model'!$C$32:$M$32,$A10+1))+D$5*INDEX('Roll-Up Model'!$C$32:$M$32,$A10+1))+INDEX(Synergies!$C$27:$M$27,$A10+1)*D$5*Assumptions!$B$75*Assumptions!$B$18)*(1-Assumptions!$B$74)-INDEX('Roll-Up Model'!$C$85:$M$85,$A10+1))-INDEX('Roll-Up Model'!$C$97:$M$97,$A10+1)))*INDEX('Roll-Up Model'!$C$101:$M$101,$A10+1))+INDEX('Roll-Up Model'!$C$103:$M$103,$A10+1))/INDEX('Roll-Up Model'!$C$94:$M$94,$A10+1)</f>
        <v>18.7611422840314</v>
      </c>
      <c r="E10" s="45" t="n">
        <f aca="false">(MAX(0,(((INDEX('Roll-Up Model'!$C$40:$M$40,$A10+1)*(Assumptions!$B$16*(1-INDEX('Roll-Up Model'!$C$32:$M$32,$A10+1))+E$5*INDEX('Roll-Up Model'!$C$32:$M$32,$A10+1))+INDEX(Synergies!$C$27:$M$27,$A10+1)*E$5*Assumptions!$B$75*Assumptions!$B$18)*(1-Assumptions!$B$74)-INDEX('Roll-Up Model'!$C$85:$M$85,$A10+1))-Assumptions!$B$73*MAX(0,((INDEX('Roll-Up Model'!$C$40:$M$40,$A10+1)*(Assumptions!$B$16*(1-INDEX('Roll-Up Model'!$C$32:$M$32,$A10+1))+E$5*INDEX('Roll-Up Model'!$C$32:$M$32,$A10+1))+INDEX(Synergies!$C$27:$M$27,$A10+1)*E$5*Assumptions!$B$75*Assumptions!$B$18)*(1-Assumptions!$B$74)-INDEX('Roll-Up Model'!$C$85:$M$85,$A10+1))-INDEX('Roll-Up Model'!$C$97:$M$97,$A10+1)))*INDEX('Roll-Up Model'!$C$101:$M$101,$A10+1))+INDEX('Roll-Up Model'!$C$103:$M$103,$A10+1))/INDEX('Roll-Up Model'!$C$94:$M$94,$A10+1)</f>
        <v>19.4419101487214</v>
      </c>
      <c r="F10" s="45" t="n">
        <f aca="false">(MAX(0,(((INDEX('Roll-Up Model'!$C$40:$M$40,$A10+1)*(Assumptions!$B$16*(1-INDEX('Roll-Up Model'!$C$32:$M$32,$A10+1))+F$5*INDEX('Roll-Up Model'!$C$32:$M$32,$A10+1))+INDEX(Synergies!$C$27:$M$27,$A10+1)*F$5*Assumptions!$B$75*Assumptions!$B$18)*(1-Assumptions!$B$74)-INDEX('Roll-Up Model'!$C$85:$M$85,$A10+1))-Assumptions!$B$73*MAX(0,((INDEX('Roll-Up Model'!$C$40:$M$40,$A10+1)*(Assumptions!$B$16*(1-INDEX('Roll-Up Model'!$C$32:$M$32,$A10+1))+F$5*INDEX('Roll-Up Model'!$C$32:$M$32,$A10+1))+INDEX(Synergies!$C$27:$M$27,$A10+1)*F$5*Assumptions!$B$75*Assumptions!$B$18)*(1-Assumptions!$B$74)-INDEX('Roll-Up Model'!$C$85:$M$85,$A10+1))-INDEX('Roll-Up Model'!$C$97:$M$97,$A10+1)))*INDEX('Roll-Up Model'!$C$101:$M$101,$A10+1))+INDEX('Roll-Up Model'!$C$103:$M$103,$A10+1))/INDEX('Roll-Up Model'!$C$94:$M$94,$A10+1)</f>
        <v>20.8034458781013</v>
      </c>
      <c r="G10" s="45" t="n">
        <f aca="false">(MAX(0,(((INDEX('Roll-Up Model'!$C$40:$M$40,$A10+1)*(Assumptions!$B$16*(1-INDEX('Roll-Up Model'!$C$32:$M$32,$A10+1))+G$5*INDEX('Roll-Up Model'!$C$32:$M$32,$A10+1))+INDEX(Synergies!$C$27:$M$27,$A10+1)*G$5*Assumptions!$B$75*Assumptions!$B$18)*(1-Assumptions!$B$74)-INDEX('Roll-Up Model'!$C$85:$M$85,$A10+1))-Assumptions!$B$73*MAX(0,((INDEX('Roll-Up Model'!$C$40:$M$40,$A10+1)*(Assumptions!$B$16*(1-INDEX('Roll-Up Model'!$C$32:$M$32,$A10+1))+G$5*INDEX('Roll-Up Model'!$C$32:$M$32,$A10+1))+INDEX(Synergies!$C$27:$M$27,$A10+1)*G$5*Assumptions!$B$75*Assumptions!$B$18)*(1-Assumptions!$B$74)-INDEX('Roll-Up Model'!$C$85:$M$85,$A10+1))-INDEX('Roll-Up Model'!$C$97:$M$97,$A10+1)))*INDEX('Roll-Up Model'!$C$101:$M$101,$A10+1))+INDEX('Roll-Up Model'!$C$103:$M$103,$A10+1))/INDEX('Roll-Up Model'!$C$94:$M$94,$A10+1)</f>
        <v>22.1649816074812</v>
      </c>
    </row>
    <row r="11" customFormat="false" ht="15" hidden="false" customHeight="true" outlineLevel="0" collapsed="false">
      <c r="A11" s="52" t="n">
        <v>10</v>
      </c>
      <c r="B11" s="45" t="n">
        <f aca="false">(MAX(0,(((INDEX('Roll-Up Model'!$C$40:$M$40,$A11+1)*(Assumptions!$B$16*(1-INDEX('Roll-Up Model'!$C$32:$M$32,$A11+1))+B$5*INDEX('Roll-Up Model'!$C$32:$M$32,$A11+1))+INDEX(Synergies!$C$27:$M$27,$A11+1)*B$5*Assumptions!$B$75*Assumptions!$B$18)*(1-Assumptions!$B$74)-INDEX('Roll-Up Model'!$C$85:$M$85,$A11+1))-Assumptions!$B$73*MAX(0,((INDEX('Roll-Up Model'!$C$40:$M$40,$A11+1)*(Assumptions!$B$16*(1-INDEX('Roll-Up Model'!$C$32:$M$32,$A11+1))+B$5*INDEX('Roll-Up Model'!$C$32:$M$32,$A11+1))+INDEX(Synergies!$C$27:$M$27,$A11+1)*B$5*Assumptions!$B$75*Assumptions!$B$18)*(1-Assumptions!$B$74)-INDEX('Roll-Up Model'!$C$85:$M$85,$A11+1))-INDEX('Roll-Up Model'!$C$97:$M$97,$A11+1)))*INDEX('Roll-Up Model'!$C$101:$M$101,$A11+1))+INDEX('Roll-Up Model'!$C$103:$M$103,$A11+1))/INDEX('Roll-Up Model'!$C$94:$M$94,$A11+1)</f>
        <v>18.8911816380785</v>
      </c>
      <c r="C11" s="45" t="n">
        <f aca="false">(MAX(0,(((INDEX('Roll-Up Model'!$C$40:$M$40,$A11+1)*(Assumptions!$B$16*(1-INDEX('Roll-Up Model'!$C$32:$M$32,$A11+1))+C$5*INDEX('Roll-Up Model'!$C$32:$M$32,$A11+1))+INDEX(Synergies!$C$27:$M$27,$A11+1)*C$5*Assumptions!$B$75*Assumptions!$B$18)*(1-Assumptions!$B$74)-INDEX('Roll-Up Model'!$C$85:$M$85,$A11+1))-Assumptions!$B$73*MAX(0,((INDEX('Roll-Up Model'!$C$40:$M$40,$A11+1)*(Assumptions!$B$16*(1-INDEX('Roll-Up Model'!$C$32:$M$32,$A11+1))+C$5*INDEX('Roll-Up Model'!$C$32:$M$32,$A11+1))+INDEX(Synergies!$C$27:$M$27,$A11+1)*C$5*Assumptions!$B$75*Assumptions!$B$18)*(1-Assumptions!$B$74)-INDEX('Roll-Up Model'!$C$85:$M$85,$A11+1))-INDEX('Roll-Up Model'!$C$97:$M$97,$A11+1)))*INDEX('Roll-Up Model'!$C$101:$M$101,$A11+1))+INDEX('Roll-Up Model'!$C$103:$M$103,$A11+1))/INDEX('Roll-Up Model'!$C$94:$M$94,$A11+1)</f>
        <v>20.3779831920978</v>
      </c>
      <c r="D11" s="45" t="n">
        <f aca="false">(MAX(0,(((INDEX('Roll-Up Model'!$C$40:$M$40,$A11+1)*(Assumptions!$B$16*(1-INDEX('Roll-Up Model'!$C$32:$M$32,$A11+1))+D$5*INDEX('Roll-Up Model'!$C$32:$M$32,$A11+1))+INDEX(Synergies!$C$27:$M$27,$A11+1)*D$5*Assumptions!$B$75*Assumptions!$B$18)*(1-Assumptions!$B$74)-INDEX('Roll-Up Model'!$C$85:$M$85,$A11+1))-Assumptions!$B$73*MAX(0,((INDEX('Roll-Up Model'!$C$40:$M$40,$A11+1)*(Assumptions!$B$16*(1-INDEX('Roll-Up Model'!$C$32:$M$32,$A11+1))+D$5*INDEX('Roll-Up Model'!$C$32:$M$32,$A11+1))+INDEX(Synergies!$C$27:$M$27,$A11+1)*D$5*Assumptions!$B$75*Assumptions!$B$18)*(1-Assumptions!$B$74)-INDEX('Roll-Up Model'!$C$85:$M$85,$A11+1))-INDEX('Roll-Up Model'!$C$97:$M$97,$A11+1)))*INDEX('Roll-Up Model'!$C$101:$M$101,$A11+1))+INDEX('Roll-Up Model'!$C$103:$M$103,$A11+1))/INDEX('Roll-Up Model'!$C$94:$M$94,$A11+1)</f>
        <v>21.1213839691075</v>
      </c>
      <c r="E11" s="45" t="n">
        <f aca="false">(MAX(0,(((INDEX('Roll-Up Model'!$C$40:$M$40,$A11+1)*(Assumptions!$B$16*(1-INDEX('Roll-Up Model'!$C$32:$M$32,$A11+1))+E$5*INDEX('Roll-Up Model'!$C$32:$M$32,$A11+1))+INDEX(Synergies!$C$27:$M$27,$A11+1)*E$5*Assumptions!$B$75*Assumptions!$B$18)*(1-Assumptions!$B$74)-INDEX('Roll-Up Model'!$C$85:$M$85,$A11+1))-Assumptions!$B$73*MAX(0,((INDEX('Roll-Up Model'!$C$40:$M$40,$A11+1)*(Assumptions!$B$16*(1-INDEX('Roll-Up Model'!$C$32:$M$32,$A11+1))+E$5*INDEX('Roll-Up Model'!$C$32:$M$32,$A11+1))+INDEX(Synergies!$C$27:$M$27,$A11+1)*E$5*Assumptions!$B$75*Assumptions!$B$18)*(1-Assumptions!$B$74)-INDEX('Roll-Up Model'!$C$85:$M$85,$A11+1))-INDEX('Roll-Up Model'!$C$97:$M$97,$A11+1)))*INDEX('Roll-Up Model'!$C$101:$M$101,$A11+1))+INDEX('Roll-Up Model'!$C$103:$M$103,$A11+1))/INDEX('Roll-Up Model'!$C$94:$M$94,$A11+1)</f>
        <v>21.8647847461171</v>
      </c>
      <c r="F11" s="45" t="n">
        <f aca="false">(MAX(0,(((INDEX('Roll-Up Model'!$C$40:$M$40,$A11+1)*(Assumptions!$B$16*(1-INDEX('Roll-Up Model'!$C$32:$M$32,$A11+1))+F$5*INDEX('Roll-Up Model'!$C$32:$M$32,$A11+1))+INDEX(Synergies!$C$27:$M$27,$A11+1)*F$5*Assumptions!$B$75*Assumptions!$B$18)*(1-Assumptions!$B$74)-INDEX('Roll-Up Model'!$C$85:$M$85,$A11+1))-Assumptions!$B$73*MAX(0,((INDEX('Roll-Up Model'!$C$40:$M$40,$A11+1)*(Assumptions!$B$16*(1-INDEX('Roll-Up Model'!$C$32:$M$32,$A11+1))+F$5*INDEX('Roll-Up Model'!$C$32:$M$32,$A11+1))+INDEX(Synergies!$C$27:$M$27,$A11+1)*F$5*Assumptions!$B$75*Assumptions!$B$18)*(1-Assumptions!$B$74)-INDEX('Roll-Up Model'!$C$85:$M$85,$A11+1))-INDEX('Roll-Up Model'!$C$97:$M$97,$A11+1)))*INDEX('Roll-Up Model'!$C$101:$M$101,$A11+1))+INDEX('Roll-Up Model'!$C$103:$M$103,$A11+1))/INDEX('Roll-Up Model'!$C$94:$M$94,$A11+1)</f>
        <v>23.3515863001365</v>
      </c>
      <c r="G11" s="45" t="n">
        <f aca="false">(MAX(0,(((INDEX('Roll-Up Model'!$C$40:$M$40,$A11+1)*(Assumptions!$B$16*(1-INDEX('Roll-Up Model'!$C$32:$M$32,$A11+1))+G$5*INDEX('Roll-Up Model'!$C$32:$M$32,$A11+1))+INDEX(Synergies!$C$27:$M$27,$A11+1)*G$5*Assumptions!$B$75*Assumptions!$B$18)*(1-Assumptions!$B$74)-INDEX('Roll-Up Model'!$C$85:$M$85,$A11+1))-Assumptions!$B$73*MAX(0,((INDEX('Roll-Up Model'!$C$40:$M$40,$A11+1)*(Assumptions!$B$16*(1-INDEX('Roll-Up Model'!$C$32:$M$32,$A11+1))+G$5*INDEX('Roll-Up Model'!$C$32:$M$32,$A11+1))+INDEX(Synergies!$C$27:$M$27,$A11+1)*G$5*Assumptions!$B$75*Assumptions!$B$18)*(1-Assumptions!$B$74)-INDEX('Roll-Up Model'!$C$85:$M$85,$A11+1))-INDEX('Roll-Up Model'!$C$97:$M$97,$A11+1)))*INDEX('Roll-Up Model'!$C$101:$M$101,$A11+1))+INDEX('Roll-Up Model'!$C$103:$M$103,$A11+1))/INDEX('Roll-Up Model'!$C$94:$M$94,$A11+1)</f>
        <v>24.8383878541558</v>
      </c>
    </row>
    <row r="13" customFormat="false" ht="15" hidden="false" customHeight="true" outlineLevel="0" collapsed="false">
      <c r="A13" s="7" t="s">
        <v>528</v>
      </c>
      <c r="B13" s="8"/>
      <c r="C13" s="8"/>
      <c r="D13" s="8"/>
      <c r="E13" s="8"/>
      <c r="F13" s="8"/>
      <c r="G13" s="8"/>
    </row>
    <row r="14" customFormat="false" ht="15" hidden="false" customHeight="true" outlineLevel="0" collapsed="false">
      <c r="A14" s="32" t="s">
        <v>527</v>
      </c>
      <c r="B14" s="51" t="n">
        <f aca="false">B5</f>
        <v>12</v>
      </c>
      <c r="C14" s="51" t="n">
        <f aca="false">C5</f>
        <v>14</v>
      </c>
      <c r="D14" s="51" t="n">
        <f aca="false">D5</f>
        <v>15</v>
      </c>
      <c r="E14" s="51" t="n">
        <f aca="false">E5</f>
        <v>16</v>
      </c>
      <c r="F14" s="51" t="n">
        <f aca="false">F5</f>
        <v>18</v>
      </c>
      <c r="G14" s="51" t="n">
        <f aca="false">G5</f>
        <v>20</v>
      </c>
    </row>
    <row r="15" customFormat="false" ht="15" hidden="false" customHeight="true" outlineLevel="0" collapsed="false">
      <c r="A15" s="36" t="n">
        <f aca="false">A6</f>
        <v>5</v>
      </c>
      <c r="B15" s="28" t="n">
        <f aca="false">IRR(I40:S40,0.25)</f>
        <v>0.858167297013915</v>
      </c>
      <c r="C15" s="28" t="n">
        <f aca="false">IRR(I41:S41,0.25)</f>
        <v>0.894010048002376</v>
      </c>
      <c r="D15" s="28" t="n">
        <f aca="false">IRR(I42:S42,0.25)</f>
        <v>0.911067800509404</v>
      </c>
      <c r="E15" s="28" t="n">
        <f aca="false">IRR(I43:S43,0.25)</f>
        <v>0.927602470267688</v>
      </c>
      <c r="F15" s="28" t="n">
        <f aca="false">IRR(I44:S44,0.25)</f>
        <v>0.959236976088186</v>
      </c>
      <c r="G15" s="28" t="n">
        <f aca="false">IRR(I45:S45,0.25)</f>
        <v>0.989151030384024</v>
      </c>
    </row>
    <row r="16" customFormat="false" ht="15" hidden="false" customHeight="true" outlineLevel="0" collapsed="false">
      <c r="A16" s="36" t="n">
        <f aca="false">A7</f>
        <v>6</v>
      </c>
      <c r="B16" s="28" t="n">
        <f aca="false">IRR(I46:S46,0.25)</f>
        <v>0.734248910183832</v>
      </c>
      <c r="C16" s="28" t="n">
        <f aca="false">IRR(I47:S47,0.25)</f>
        <v>0.762326357680864</v>
      </c>
      <c r="D16" s="28" t="n">
        <f aca="false">IRR(I48:S48,0.25)</f>
        <v>0.775654443613364</v>
      </c>
      <c r="E16" s="28" t="n">
        <f aca="false">IRR(I49:S49,0.25)</f>
        <v>0.788553321091546</v>
      </c>
      <c r="F16" s="28" t="n">
        <f aca="false">IRR(I50:S50,0.25)</f>
        <v>0.813176728234737</v>
      </c>
      <c r="G16" s="28" t="n">
        <f aca="false">IRR(I51:S51,0.25)</f>
        <v>0.836396162397275</v>
      </c>
    </row>
    <row r="17" customFormat="false" ht="15" hidden="false" customHeight="true" outlineLevel="0" collapsed="false">
      <c r="A17" s="36" t="n">
        <f aca="false">A8</f>
        <v>7</v>
      </c>
      <c r="B17" s="28" t="n">
        <f aca="false">IRR(I52:S52,0.25)</f>
        <v>0.643118294463705</v>
      </c>
      <c r="C17" s="28" t="n">
        <f aca="false">IRR(I53:S53,0.25)</f>
        <v>0.665923911132981</v>
      </c>
      <c r="D17" s="28" t="n">
        <f aca="false">IRR(I54:S54,0.25)</f>
        <v>0.676727473916418</v>
      </c>
      <c r="E17" s="28" t="n">
        <f aca="false">IRR(I55:S55,0.25)</f>
        <v>0.687170063466041</v>
      </c>
      <c r="F17" s="28" t="n">
        <f aca="false">IRR(I56:S56,0.25)</f>
        <v>0.707069895649071</v>
      </c>
      <c r="G17" s="28" t="n">
        <f aca="false">IRR(I57:S57,0.25)</f>
        <v>0.725794845841616</v>
      </c>
    </row>
    <row r="18" customFormat="false" ht="15" hidden="false" customHeight="true" outlineLevel="0" collapsed="false">
      <c r="A18" s="36" t="n">
        <f aca="false">A9</f>
        <v>8</v>
      </c>
      <c r="B18" s="28" t="n">
        <f aca="false">IRR(I58:S58,0.25)</f>
        <v>0.577065578505756</v>
      </c>
      <c r="C18" s="28" t="n">
        <f aca="false">IRR(I59:S59,0.25)</f>
        <v>0.59521912829568</v>
      </c>
      <c r="D18" s="28" t="n">
        <f aca="false">IRR(I60:S60,0.25)</f>
        <v>0.603826208170049</v>
      </c>
      <c r="E18" s="28" t="n">
        <f aca="false">IRR(I61:S61,0.25)</f>
        <v>0.612149732086546</v>
      </c>
      <c r="F18" s="28" t="n">
        <f aca="false">IRR(I62:S62,0.25)</f>
        <v>0.628021293834725</v>
      </c>
      <c r="G18" s="28" t="n">
        <f aca="false">IRR(I63:S63,0.25)</f>
        <v>0.642966252923862</v>
      </c>
    </row>
    <row r="19" customFormat="false" ht="15" hidden="false" customHeight="true" outlineLevel="0" collapsed="false">
      <c r="A19" s="36" t="n">
        <f aca="false">A10</f>
        <v>9</v>
      </c>
      <c r="B19" s="28" t="n">
        <f aca="false">IRR(I64:S64,0.25)</f>
        <v>0.527059779910302</v>
      </c>
      <c r="C19" s="28" t="n">
        <f aca="false">IRR(I65:S65,0.25)</f>
        <v>0.541701591231201</v>
      </c>
      <c r="D19" s="28" t="n">
        <f aca="false">IRR(I66:S66,0.25)</f>
        <v>0.54865387376678</v>
      </c>
      <c r="E19" s="28" t="n">
        <f aca="false">IRR(I67:S67,0.25)</f>
        <v>0.555382947415346</v>
      </c>
      <c r="F19" s="28" t="n">
        <f aca="false">IRR(I68:S68,0.25)</f>
        <v>0.56822904757108</v>
      </c>
      <c r="G19" s="28" t="n">
        <f aca="false">IRR(I69:S69,0.25)</f>
        <v>0.580341673406417</v>
      </c>
    </row>
    <row r="20" customFormat="false" ht="15" hidden="false" customHeight="true" outlineLevel="0" collapsed="false">
      <c r="A20" s="36" t="n">
        <f aca="false">A11</f>
        <v>10</v>
      </c>
      <c r="B20" s="28" t="n">
        <f aca="false">IRR(I70:S70,0.25)</f>
        <v>0.486142692052709</v>
      </c>
      <c r="C20" s="28" t="n">
        <f aca="false">IRR(I71:S71,0.25)</f>
        <v>0.498071950314943</v>
      </c>
      <c r="D20" s="28" t="n">
        <f aca="false">IRR(I72:S72,0.25)</f>
        <v>0.503746448238416</v>
      </c>
      <c r="E20" s="28" t="n">
        <f aca="false">IRR(I73:S73,0.25)</f>
        <v>0.50924466938123</v>
      </c>
      <c r="F20" s="28" t="n">
        <f aca="false">IRR(I74:S74,0.25)</f>
        <v>0.51975631385033</v>
      </c>
      <c r="G20" s="28" t="n">
        <f aca="false">IRR(I75:S75,0.25)</f>
        <v>0.529685018736045</v>
      </c>
    </row>
    <row r="22" customFormat="false" ht="15" hidden="false" customHeight="true" outlineLevel="0" collapsed="false">
      <c r="A22" s="7" t="s">
        <v>529</v>
      </c>
      <c r="B22" s="8"/>
      <c r="C22" s="8"/>
      <c r="D22" s="8"/>
      <c r="E22" s="8"/>
      <c r="F22" s="8"/>
      <c r="G22" s="8"/>
    </row>
    <row r="23" customFormat="false" ht="15" hidden="false" customHeight="true" outlineLevel="0" collapsed="false">
      <c r="A23" s="32" t="s">
        <v>530</v>
      </c>
      <c r="B23" s="51" t="n">
        <v>8</v>
      </c>
      <c r="C23" s="51" t="n">
        <v>9</v>
      </c>
      <c r="D23" s="51" t="n">
        <v>10</v>
      </c>
      <c r="E23" s="51" t="n">
        <v>11</v>
      </c>
      <c r="F23" s="51" t="n">
        <v>12</v>
      </c>
      <c r="G23" s="51" t="n">
        <v>13</v>
      </c>
    </row>
    <row r="24" customFormat="false" ht="15" hidden="false" customHeight="true" outlineLevel="0" collapsed="false">
      <c r="A24" s="53" t="n">
        <v>0.15</v>
      </c>
      <c r="B24" s="45" t="n">
        <f aca="false">(MAX(0,(((INDEX('Roll-Up Model'!$C$40:$M$40,Assumptions!$B$90+1)*(B$23*(1-$A24)+Assumptions!$B$17*$A24)+INDEX(Synergies!$C$28:$M$28,Assumptions!$B$90+1))*(1-Assumptions!$B$74)-INDEX('Roll-Up Model'!$C$85:$M$85,Assumptions!$B$90+1))-Assumptions!$B$73*MAX(0,((INDEX('Roll-Up Model'!$C$40:$M$40,Assumptions!$B$90+1)*(B$23*(1-$A24)+Assumptions!$B$17*$A24)+INDEX(Synergies!$C$28:$M$28,Assumptions!$B$90+1))*(1-Assumptions!$B$74)-INDEX('Roll-Up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10.4728860100865</v>
      </c>
      <c r="C24" s="45" t="n">
        <f aca="false">(MAX(0,(((INDEX('Roll-Up Model'!$C$40:$M$40,Assumptions!$B$90+1)*(C$23*(1-$A24)+Assumptions!$B$17*$A24)+INDEX(Synergies!$C$28:$M$28,Assumptions!$B$90+1))*(1-Assumptions!$B$74)-INDEX('Roll-Up Model'!$C$85:$M$85,Assumptions!$B$90+1))-Assumptions!$B$73*MAX(0,((INDEX('Roll-Up Model'!$C$40:$M$40,Assumptions!$B$90+1)*(C$23*(1-$A24)+Assumptions!$B$17*$A24)+INDEX(Synergies!$C$28:$M$28,Assumptions!$B$90+1))*(1-Assumptions!$B$74)-INDEX('Roll-Up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11.3061902481184</v>
      </c>
      <c r="D24" s="45" t="n">
        <f aca="false">(MAX(0,(((INDEX('Roll-Up Model'!$C$40:$M$40,Assumptions!$B$90+1)*(D$23*(1-$A24)+Assumptions!$B$17*$A24)+INDEX(Synergies!$C$28:$M$28,Assumptions!$B$90+1))*(1-Assumptions!$B$74)-INDEX('Roll-Up Model'!$C$85:$M$85,Assumptions!$B$90+1))-Assumptions!$B$73*MAX(0,((INDEX('Roll-Up Model'!$C$40:$M$40,Assumptions!$B$90+1)*(D$23*(1-$A24)+Assumptions!$B$17*$A24)+INDEX(Synergies!$C$28:$M$28,Assumptions!$B$90+1))*(1-Assumptions!$B$74)-INDEX('Roll-Up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12.1394944861502</v>
      </c>
      <c r="E24" s="45" t="n">
        <f aca="false">(MAX(0,(((INDEX('Roll-Up Model'!$C$40:$M$40,Assumptions!$B$90+1)*(E$23*(1-$A24)+Assumptions!$B$17*$A24)+INDEX(Synergies!$C$28:$M$28,Assumptions!$B$90+1))*(1-Assumptions!$B$74)-INDEX('Roll-Up Model'!$C$85:$M$85,Assumptions!$B$90+1))-Assumptions!$B$73*MAX(0,((INDEX('Roll-Up Model'!$C$40:$M$40,Assumptions!$B$90+1)*(E$23*(1-$A24)+Assumptions!$B$17*$A24)+INDEX(Synergies!$C$28:$M$28,Assumptions!$B$90+1))*(1-Assumptions!$B$74)-INDEX('Roll-Up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12.972798724182</v>
      </c>
      <c r="F24" s="45" t="n">
        <f aca="false">(MAX(0,(((INDEX('Roll-Up Model'!$C$40:$M$40,Assumptions!$B$90+1)*(F$23*(1-$A24)+Assumptions!$B$17*$A24)+INDEX(Synergies!$C$28:$M$28,Assumptions!$B$90+1))*(1-Assumptions!$B$74)-INDEX('Roll-Up Model'!$C$85:$M$85,Assumptions!$B$90+1))-Assumptions!$B$73*MAX(0,((INDEX('Roll-Up Model'!$C$40:$M$40,Assumptions!$B$90+1)*(F$23*(1-$A24)+Assumptions!$B$17*$A24)+INDEX(Synergies!$C$28:$M$28,Assumptions!$B$90+1))*(1-Assumptions!$B$74)-INDEX('Roll-Up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13.8061029622138</v>
      </c>
      <c r="G24" s="45" t="n">
        <f aca="false">(MAX(0,(((INDEX('Roll-Up Model'!$C$40:$M$40,Assumptions!$B$90+1)*(G$23*(1-$A24)+Assumptions!$B$17*$A24)+INDEX(Synergies!$C$28:$M$28,Assumptions!$B$90+1))*(1-Assumptions!$B$74)-INDEX('Roll-Up Model'!$C$85:$M$85,Assumptions!$B$90+1))-Assumptions!$B$73*MAX(0,((INDEX('Roll-Up Model'!$C$40:$M$40,Assumptions!$B$90+1)*(G$23*(1-$A24)+Assumptions!$B$17*$A24)+INDEX(Synergies!$C$28:$M$28,Assumptions!$B$90+1))*(1-Assumptions!$B$74)-INDEX('Roll-Up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14.6394072002456</v>
      </c>
    </row>
    <row r="25" customFormat="false" ht="15" hidden="false" customHeight="true" outlineLevel="0" collapsed="false">
      <c r="A25" s="53" t="n">
        <v>0.25</v>
      </c>
      <c r="B25" s="45" t="n">
        <f aca="false">(MAX(0,(((INDEX('Roll-Up Model'!$C$40:$M$40,Assumptions!$B$90+1)*(B$23*(1-$A25)+Assumptions!$B$17*$A25)+INDEX(Synergies!$C$28:$M$28,Assumptions!$B$90+1))*(1-Assumptions!$B$74)-INDEX('Roll-Up Model'!$C$85:$M$85,Assumptions!$B$90+1))-Assumptions!$B$73*MAX(0,((INDEX('Roll-Up Model'!$C$40:$M$40,Assumptions!$B$90+1)*(B$23*(1-$A25)+Assumptions!$B$17*$A25)+INDEX(Synergies!$C$28:$M$28,Assumptions!$B$90+1))*(1-Assumptions!$B$74)-INDEX('Roll-Up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11.1591365590539</v>
      </c>
      <c r="C25" s="45" t="n">
        <f aca="false">(MAX(0,(((INDEX('Roll-Up Model'!$C$40:$M$40,Assumptions!$B$90+1)*(C$23*(1-$A25)+Assumptions!$B$17*$A25)+INDEX(Synergies!$C$28:$M$28,Assumptions!$B$90+1))*(1-Assumptions!$B$74)-INDEX('Roll-Up Model'!$C$85:$M$85,Assumptions!$B$90+1))-Assumptions!$B$73*MAX(0,((INDEX('Roll-Up Model'!$C$40:$M$40,Assumptions!$B$90+1)*(C$23*(1-$A25)+Assumptions!$B$17*$A25)+INDEX(Synergies!$C$28:$M$28,Assumptions!$B$90+1))*(1-Assumptions!$B$74)-INDEX('Roll-Up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11.8944050043761</v>
      </c>
      <c r="D25" s="45" t="n">
        <f aca="false">(MAX(0,(((INDEX('Roll-Up Model'!$C$40:$M$40,Assumptions!$B$90+1)*(D$23*(1-$A25)+Assumptions!$B$17*$A25)+INDEX(Synergies!$C$28:$M$28,Assumptions!$B$90+1))*(1-Assumptions!$B$74)-INDEX('Roll-Up Model'!$C$85:$M$85,Assumptions!$B$90+1))-Assumptions!$B$73*MAX(0,((INDEX('Roll-Up Model'!$C$40:$M$40,Assumptions!$B$90+1)*(D$23*(1-$A25)+Assumptions!$B$17*$A25)+INDEX(Synergies!$C$28:$M$28,Assumptions!$B$90+1))*(1-Assumptions!$B$74)-INDEX('Roll-Up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12.6296734496983</v>
      </c>
      <c r="E25" s="45" t="n">
        <f aca="false">(MAX(0,(((INDEX('Roll-Up Model'!$C$40:$M$40,Assumptions!$B$90+1)*(E$23*(1-$A25)+Assumptions!$B$17*$A25)+INDEX(Synergies!$C$28:$M$28,Assumptions!$B$90+1))*(1-Assumptions!$B$74)-INDEX('Roll-Up Model'!$C$85:$M$85,Assumptions!$B$90+1))-Assumptions!$B$73*MAX(0,((INDEX('Roll-Up Model'!$C$40:$M$40,Assumptions!$B$90+1)*(E$23*(1-$A25)+Assumptions!$B$17*$A25)+INDEX(Synergies!$C$28:$M$28,Assumptions!$B$90+1))*(1-Assumptions!$B$74)-INDEX('Roll-Up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13.3649418950205</v>
      </c>
      <c r="F25" s="45" t="n">
        <f aca="false">(MAX(0,(((INDEX('Roll-Up Model'!$C$40:$M$40,Assumptions!$B$90+1)*(F$23*(1-$A25)+Assumptions!$B$17*$A25)+INDEX(Synergies!$C$28:$M$28,Assumptions!$B$90+1))*(1-Assumptions!$B$74)-INDEX('Roll-Up Model'!$C$85:$M$85,Assumptions!$B$90+1))-Assumptions!$B$73*MAX(0,((INDEX('Roll-Up Model'!$C$40:$M$40,Assumptions!$B$90+1)*(F$23*(1-$A25)+Assumptions!$B$17*$A25)+INDEX(Synergies!$C$28:$M$28,Assumptions!$B$90+1))*(1-Assumptions!$B$74)-INDEX('Roll-Up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14.1002103403427</v>
      </c>
      <c r="G25" s="45" t="n">
        <f aca="false">(MAX(0,(((INDEX('Roll-Up Model'!$C$40:$M$40,Assumptions!$B$90+1)*(G$23*(1-$A25)+Assumptions!$B$17*$A25)+INDEX(Synergies!$C$28:$M$28,Assumptions!$B$90+1))*(1-Assumptions!$B$74)-INDEX('Roll-Up Model'!$C$85:$M$85,Assumptions!$B$90+1))-Assumptions!$B$73*MAX(0,((INDEX('Roll-Up Model'!$C$40:$M$40,Assumptions!$B$90+1)*(G$23*(1-$A25)+Assumptions!$B$17*$A25)+INDEX(Synergies!$C$28:$M$28,Assumptions!$B$90+1))*(1-Assumptions!$B$74)-INDEX('Roll-Up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14.8354787856649</v>
      </c>
    </row>
    <row r="26" customFormat="false" ht="15" hidden="false" customHeight="true" outlineLevel="0" collapsed="false">
      <c r="A26" s="53" t="n">
        <v>0.35</v>
      </c>
      <c r="B26" s="45" t="n">
        <f aca="false">(MAX(0,(((INDEX('Roll-Up Model'!$C$40:$M$40,Assumptions!$B$90+1)*(B$23*(1-$A26)+Assumptions!$B$17*$A26)+INDEX(Synergies!$C$28:$M$28,Assumptions!$B$90+1))*(1-Assumptions!$B$74)-INDEX('Roll-Up Model'!$C$85:$M$85,Assumptions!$B$90+1))-Assumptions!$B$73*MAX(0,((INDEX('Roll-Up Model'!$C$40:$M$40,Assumptions!$B$90+1)*(B$23*(1-$A26)+Assumptions!$B$17*$A26)+INDEX(Synergies!$C$28:$M$28,Assumptions!$B$90+1))*(1-Assumptions!$B$74)-INDEX('Roll-Up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11.8453871080213</v>
      </c>
      <c r="C26" s="45" t="n">
        <f aca="false">(MAX(0,(((INDEX('Roll-Up Model'!$C$40:$M$40,Assumptions!$B$90+1)*(C$23*(1-$A26)+Assumptions!$B$17*$A26)+INDEX(Synergies!$C$28:$M$28,Assumptions!$B$90+1))*(1-Assumptions!$B$74)-INDEX('Roll-Up Model'!$C$85:$M$85,Assumptions!$B$90+1))-Assumptions!$B$73*MAX(0,((INDEX('Roll-Up Model'!$C$40:$M$40,Assumptions!$B$90+1)*(C$23*(1-$A26)+Assumptions!$B$17*$A26)+INDEX(Synergies!$C$28:$M$28,Assumptions!$B$90+1))*(1-Assumptions!$B$74)-INDEX('Roll-Up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12.4826197606339</v>
      </c>
      <c r="D26" s="45" t="n">
        <f aca="false">(MAX(0,(((INDEX('Roll-Up Model'!$C$40:$M$40,Assumptions!$B$90+1)*(D$23*(1-$A26)+Assumptions!$B$17*$A26)+INDEX(Synergies!$C$28:$M$28,Assumptions!$B$90+1))*(1-Assumptions!$B$74)-INDEX('Roll-Up Model'!$C$85:$M$85,Assumptions!$B$90+1))-Assumptions!$B$73*MAX(0,((INDEX('Roll-Up Model'!$C$40:$M$40,Assumptions!$B$90+1)*(D$23*(1-$A26)+Assumptions!$B$17*$A26)+INDEX(Synergies!$C$28:$M$28,Assumptions!$B$90+1))*(1-Assumptions!$B$74)-INDEX('Roll-Up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13.1198524132464</v>
      </c>
      <c r="E26" s="45" t="n">
        <f aca="false">(MAX(0,(((INDEX('Roll-Up Model'!$C$40:$M$40,Assumptions!$B$90+1)*(E$23*(1-$A26)+Assumptions!$B$17*$A26)+INDEX(Synergies!$C$28:$M$28,Assumptions!$B$90+1))*(1-Assumptions!$B$74)-INDEX('Roll-Up Model'!$C$85:$M$85,Assumptions!$B$90+1))-Assumptions!$B$73*MAX(0,((INDEX('Roll-Up Model'!$C$40:$M$40,Assumptions!$B$90+1)*(E$23*(1-$A26)+Assumptions!$B$17*$A26)+INDEX(Synergies!$C$28:$M$28,Assumptions!$B$90+1))*(1-Assumptions!$B$74)-INDEX('Roll-Up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13.757085065859</v>
      </c>
      <c r="F26" s="45" t="n">
        <f aca="false">(MAX(0,(((INDEX('Roll-Up Model'!$C$40:$M$40,Assumptions!$B$90+1)*(F$23*(1-$A26)+Assumptions!$B$17*$A26)+INDEX(Synergies!$C$28:$M$28,Assumptions!$B$90+1))*(1-Assumptions!$B$74)-INDEX('Roll-Up Model'!$C$85:$M$85,Assumptions!$B$90+1))-Assumptions!$B$73*MAX(0,((INDEX('Roll-Up Model'!$C$40:$M$40,Assumptions!$B$90+1)*(F$23*(1-$A26)+Assumptions!$B$17*$A26)+INDEX(Synergies!$C$28:$M$28,Assumptions!$B$90+1))*(1-Assumptions!$B$74)-INDEX('Roll-Up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14.3943177184715</v>
      </c>
      <c r="G26" s="45" t="n">
        <f aca="false">(MAX(0,(((INDEX('Roll-Up Model'!$C$40:$M$40,Assumptions!$B$90+1)*(G$23*(1-$A26)+Assumptions!$B$17*$A26)+INDEX(Synergies!$C$28:$M$28,Assumptions!$B$90+1))*(1-Assumptions!$B$74)-INDEX('Roll-Up Model'!$C$85:$M$85,Assumptions!$B$90+1))-Assumptions!$B$73*MAX(0,((INDEX('Roll-Up Model'!$C$40:$M$40,Assumptions!$B$90+1)*(G$23*(1-$A26)+Assumptions!$B$17*$A26)+INDEX(Synergies!$C$28:$M$28,Assumptions!$B$90+1))*(1-Assumptions!$B$74)-INDEX('Roll-Up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15.0315503710841</v>
      </c>
    </row>
    <row r="27" customFormat="false" ht="15" hidden="false" customHeight="true" outlineLevel="0" collapsed="false">
      <c r="A27" s="53" t="n">
        <v>0.45</v>
      </c>
      <c r="B27" s="45" t="n">
        <f aca="false">(MAX(0,(((INDEX('Roll-Up Model'!$C$40:$M$40,Assumptions!$B$90+1)*(B$23*(1-$A27)+Assumptions!$B$17*$A27)+INDEX(Synergies!$C$28:$M$28,Assumptions!$B$90+1))*(1-Assumptions!$B$74)-INDEX('Roll-Up Model'!$C$85:$M$85,Assumptions!$B$90+1))-Assumptions!$B$73*MAX(0,((INDEX('Roll-Up Model'!$C$40:$M$40,Assumptions!$B$90+1)*(B$23*(1-$A27)+Assumptions!$B$17*$A27)+INDEX(Synergies!$C$28:$M$28,Assumptions!$B$90+1))*(1-Assumptions!$B$74)-INDEX('Roll-Up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12.5316376569887</v>
      </c>
      <c r="C27" s="45" t="n">
        <f aca="false">(MAX(0,(((INDEX('Roll-Up Model'!$C$40:$M$40,Assumptions!$B$90+1)*(C$23*(1-$A27)+Assumptions!$B$17*$A27)+INDEX(Synergies!$C$28:$M$28,Assumptions!$B$90+1))*(1-Assumptions!$B$74)-INDEX('Roll-Up Model'!$C$85:$M$85,Assumptions!$B$90+1))-Assumptions!$B$73*MAX(0,((INDEX('Roll-Up Model'!$C$40:$M$40,Assumptions!$B$90+1)*(C$23*(1-$A27)+Assumptions!$B$17*$A27)+INDEX(Synergies!$C$28:$M$28,Assumptions!$B$90+1))*(1-Assumptions!$B$74)-INDEX('Roll-Up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13.0708345168916</v>
      </c>
      <c r="D27" s="45" t="n">
        <f aca="false">(MAX(0,(((INDEX('Roll-Up Model'!$C$40:$M$40,Assumptions!$B$90+1)*(D$23*(1-$A27)+Assumptions!$B$17*$A27)+INDEX(Synergies!$C$28:$M$28,Assumptions!$B$90+1))*(1-Assumptions!$B$74)-INDEX('Roll-Up Model'!$C$85:$M$85,Assumptions!$B$90+1))-Assumptions!$B$73*MAX(0,((INDEX('Roll-Up Model'!$C$40:$M$40,Assumptions!$B$90+1)*(D$23*(1-$A27)+Assumptions!$B$17*$A27)+INDEX(Synergies!$C$28:$M$28,Assumptions!$B$90+1))*(1-Assumptions!$B$74)-INDEX('Roll-Up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13.6100313767945</v>
      </c>
      <c r="E27" s="45" t="n">
        <f aca="false">(MAX(0,(((INDEX('Roll-Up Model'!$C$40:$M$40,Assumptions!$B$90+1)*(E$23*(1-$A27)+Assumptions!$B$17*$A27)+INDEX(Synergies!$C$28:$M$28,Assumptions!$B$90+1))*(1-Assumptions!$B$74)-INDEX('Roll-Up Model'!$C$85:$M$85,Assumptions!$B$90+1))-Assumptions!$B$73*MAX(0,((INDEX('Roll-Up Model'!$C$40:$M$40,Assumptions!$B$90+1)*(E$23*(1-$A27)+Assumptions!$B$17*$A27)+INDEX(Synergies!$C$28:$M$28,Assumptions!$B$90+1))*(1-Assumptions!$B$74)-INDEX('Roll-Up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14.1492282366975</v>
      </c>
      <c r="F27" s="45" t="n">
        <f aca="false">(MAX(0,(((INDEX('Roll-Up Model'!$C$40:$M$40,Assumptions!$B$90+1)*(F$23*(1-$A27)+Assumptions!$B$17*$A27)+INDEX(Synergies!$C$28:$M$28,Assumptions!$B$90+1))*(1-Assumptions!$B$74)-INDEX('Roll-Up Model'!$C$85:$M$85,Assumptions!$B$90+1))-Assumptions!$B$73*MAX(0,((INDEX('Roll-Up Model'!$C$40:$M$40,Assumptions!$B$90+1)*(F$23*(1-$A27)+Assumptions!$B$17*$A27)+INDEX(Synergies!$C$28:$M$28,Assumptions!$B$90+1))*(1-Assumptions!$B$74)-INDEX('Roll-Up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14.6884250966004</v>
      </c>
      <c r="G27" s="45" t="n">
        <f aca="false">(MAX(0,(((INDEX('Roll-Up Model'!$C$40:$M$40,Assumptions!$B$90+1)*(G$23*(1-$A27)+Assumptions!$B$17*$A27)+INDEX(Synergies!$C$28:$M$28,Assumptions!$B$90+1))*(1-Assumptions!$B$74)-INDEX('Roll-Up Model'!$C$85:$M$85,Assumptions!$B$90+1))-Assumptions!$B$73*MAX(0,((INDEX('Roll-Up Model'!$C$40:$M$40,Assumptions!$B$90+1)*(G$23*(1-$A27)+Assumptions!$B$17*$A27)+INDEX(Synergies!$C$28:$M$28,Assumptions!$B$90+1))*(1-Assumptions!$B$74)-INDEX('Roll-Up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15.2276219565034</v>
      </c>
    </row>
    <row r="28" customFormat="false" ht="15" hidden="false" customHeight="true" outlineLevel="0" collapsed="false">
      <c r="A28" s="53" t="n">
        <v>0.55</v>
      </c>
      <c r="B28" s="45" t="n">
        <f aca="false">(MAX(0,(((INDEX('Roll-Up Model'!$C$40:$M$40,Assumptions!$B$90+1)*(B$23*(1-$A28)+Assumptions!$B$17*$A28)+INDEX(Synergies!$C$28:$M$28,Assumptions!$B$90+1))*(1-Assumptions!$B$74)-INDEX('Roll-Up Model'!$C$85:$M$85,Assumptions!$B$90+1))-Assumptions!$B$73*MAX(0,((INDEX('Roll-Up Model'!$C$40:$M$40,Assumptions!$B$90+1)*(B$23*(1-$A28)+Assumptions!$B$17*$A28)+INDEX(Synergies!$C$28:$M$28,Assumptions!$B$90+1))*(1-Assumptions!$B$74)-INDEX('Roll-Up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13.217888205956</v>
      </c>
      <c r="C28" s="45" t="n">
        <f aca="false">(MAX(0,(((INDEX('Roll-Up Model'!$C$40:$M$40,Assumptions!$B$90+1)*(C$23*(1-$A28)+Assumptions!$B$17*$A28)+INDEX(Synergies!$C$28:$M$28,Assumptions!$B$90+1))*(1-Assumptions!$B$74)-INDEX('Roll-Up Model'!$C$85:$M$85,Assumptions!$B$90+1))-Assumptions!$B$73*MAX(0,((INDEX('Roll-Up Model'!$C$40:$M$40,Assumptions!$B$90+1)*(C$23*(1-$A28)+Assumptions!$B$17*$A28)+INDEX(Synergies!$C$28:$M$28,Assumptions!$B$90+1))*(1-Assumptions!$B$74)-INDEX('Roll-Up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13.6590492731494</v>
      </c>
      <c r="D28" s="45" t="n">
        <f aca="false">(MAX(0,(((INDEX('Roll-Up Model'!$C$40:$M$40,Assumptions!$B$90+1)*(D$23*(1-$A28)+Assumptions!$B$17*$A28)+INDEX(Synergies!$C$28:$M$28,Assumptions!$B$90+1))*(1-Assumptions!$B$74)-INDEX('Roll-Up Model'!$C$85:$M$85,Assumptions!$B$90+1))-Assumptions!$B$73*MAX(0,((INDEX('Roll-Up Model'!$C$40:$M$40,Assumptions!$B$90+1)*(D$23*(1-$A28)+Assumptions!$B$17*$A28)+INDEX(Synergies!$C$28:$M$28,Assumptions!$B$90+1))*(1-Assumptions!$B$74)-INDEX('Roll-Up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14.1002103403427</v>
      </c>
      <c r="E28" s="45" t="n">
        <f aca="false">(MAX(0,(((INDEX('Roll-Up Model'!$C$40:$M$40,Assumptions!$B$90+1)*(E$23*(1-$A28)+Assumptions!$B$17*$A28)+INDEX(Synergies!$C$28:$M$28,Assumptions!$B$90+1))*(1-Assumptions!$B$74)-INDEX('Roll-Up Model'!$C$85:$M$85,Assumptions!$B$90+1))-Assumptions!$B$73*MAX(0,((INDEX('Roll-Up Model'!$C$40:$M$40,Assumptions!$B$90+1)*(E$23*(1-$A28)+Assumptions!$B$17*$A28)+INDEX(Synergies!$C$28:$M$28,Assumptions!$B$90+1))*(1-Assumptions!$B$74)-INDEX('Roll-Up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14.541371407536</v>
      </c>
      <c r="F28" s="45" t="n">
        <f aca="false">(MAX(0,(((INDEX('Roll-Up Model'!$C$40:$M$40,Assumptions!$B$90+1)*(F$23*(1-$A28)+Assumptions!$B$17*$A28)+INDEX(Synergies!$C$28:$M$28,Assumptions!$B$90+1))*(1-Assumptions!$B$74)-INDEX('Roll-Up Model'!$C$85:$M$85,Assumptions!$B$90+1))-Assumptions!$B$73*MAX(0,((INDEX('Roll-Up Model'!$C$40:$M$40,Assumptions!$B$90+1)*(F$23*(1-$A28)+Assumptions!$B$17*$A28)+INDEX(Synergies!$C$28:$M$28,Assumptions!$B$90+1))*(1-Assumptions!$B$74)-INDEX('Roll-Up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14.9825324747293</v>
      </c>
      <c r="G28" s="45" t="n">
        <f aca="false">(MAX(0,(((INDEX('Roll-Up Model'!$C$40:$M$40,Assumptions!$B$90+1)*(G$23*(1-$A28)+Assumptions!$B$17*$A28)+INDEX(Synergies!$C$28:$M$28,Assumptions!$B$90+1))*(1-Assumptions!$B$74)-INDEX('Roll-Up Model'!$C$85:$M$85,Assumptions!$B$90+1))-Assumptions!$B$73*MAX(0,((INDEX('Roll-Up Model'!$C$40:$M$40,Assumptions!$B$90+1)*(G$23*(1-$A28)+Assumptions!$B$17*$A28)+INDEX(Synergies!$C$28:$M$28,Assumptions!$B$90+1))*(1-Assumptions!$B$74)-INDEX('Roll-Up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15.4236935419226</v>
      </c>
    </row>
    <row r="29" customFormat="false" ht="15" hidden="false" customHeight="true" outlineLevel="0" collapsed="false">
      <c r="A29" s="53" t="n">
        <v>0.65</v>
      </c>
      <c r="B29" s="45" t="n">
        <f aca="false">(MAX(0,(((INDEX('Roll-Up Model'!$C$40:$M$40,Assumptions!$B$90+1)*(B$23*(1-$A29)+Assumptions!$B$17*$A29)+INDEX(Synergies!$C$28:$M$28,Assumptions!$B$90+1))*(1-Assumptions!$B$74)-INDEX('Roll-Up Model'!$C$85:$M$85,Assumptions!$B$90+1))-Assumptions!$B$73*MAX(0,((INDEX('Roll-Up Model'!$C$40:$M$40,Assumptions!$B$90+1)*(B$23*(1-$A29)+Assumptions!$B$17*$A29)+INDEX(Synergies!$C$28:$M$28,Assumptions!$B$90+1))*(1-Assumptions!$B$74)-INDEX('Roll-Up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13.9041387549234</v>
      </c>
      <c r="C29" s="45" t="n">
        <f aca="false">(MAX(0,(((INDEX('Roll-Up Model'!$C$40:$M$40,Assumptions!$B$90+1)*(C$23*(1-$A29)+Assumptions!$B$17*$A29)+INDEX(Synergies!$C$28:$M$28,Assumptions!$B$90+1))*(1-Assumptions!$B$74)-INDEX('Roll-Up Model'!$C$85:$M$85,Assumptions!$B$90+1))-Assumptions!$B$73*MAX(0,((INDEX('Roll-Up Model'!$C$40:$M$40,Assumptions!$B$90+1)*(C$23*(1-$A29)+Assumptions!$B$17*$A29)+INDEX(Synergies!$C$28:$M$28,Assumptions!$B$90+1))*(1-Assumptions!$B$74)-INDEX('Roll-Up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14.2472640294071</v>
      </c>
      <c r="D29" s="45" t="n">
        <f aca="false">(MAX(0,(((INDEX('Roll-Up Model'!$C$40:$M$40,Assumptions!$B$90+1)*(D$23*(1-$A29)+Assumptions!$B$17*$A29)+INDEX(Synergies!$C$28:$M$28,Assumptions!$B$90+1))*(1-Assumptions!$B$74)-INDEX('Roll-Up Model'!$C$85:$M$85,Assumptions!$B$90+1))-Assumptions!$B$73*MAX(0,((INDEX('Roll-Up Model'!$C$40:$M$40,Assumptions!$B$90+1)*(D$23*(1-$A29)+Assumptions!$B$17*$A29)+INDEX(Synergies!$C$28:$M$28,Assumptions!$B$90+1))*(1-Assumptions!$B$74)-INDEX('Roll-Up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14.5903893038908</v>
      </c>
      <c r="E29" s="45" t="n">
        <f aca="false">(MAX(0,(((INDEX('Roll-Up Model'!$C$40:$M$40,Assumptions!$B$90+1)*(E$23*(1-$A29)+Assumptions!$B$17*$A29)+INDEX(Synergies!$C$28:$M$28,Assumptions!$B$90+1))*(1-Assumptions!$B$74)-INDEX('Roll-Up Model'!$C$85:$M$85,Assumptions!$B$90+1))-Assumptions!$B$73*MAX(0,((INDEX('Roll-Up Model'!$C$40:$M$40,Assumptions!$B$90+1)*(E$23*(1-$A29)+Assumptions!$B$17*$A29)+INDEX(Synergies!$C$28:$M$28,Assumptions!$B$90+1))*(1-Assumptions!$B$74)-INDEX('Roll-Up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14.9335145783745</v>
      </c>
      <c r="F29" s="45" t="n">
        <f aca="false">(MAX(0,(((INDEX('Roll-Up Model'!$C$40:$M$40,Assumptions!$B$90+1)*(F$23*(1-$A29)+Assumptions!$B$17*$A29)+INDEX(Synergies!$C$28:$M$28,Assumptions!$B$90+1))*(1-Assumptions!$B$74)-INDEX('Roll-Up Model'!$C$85:$M$85,Assumptions!$B$90+1))-Assumptions!$B$73*MAX(0,((INDEX('Roll-Up Model'!$C$40:$M$40,Assumptions!$B$90+1)*(F$23*(1-$A29)+Assumptions!$B$17*$A29)+INDEX(Synergies!$C$28:$M$28,Assumptions!$B$90+1))*(1-Assumptions!$B$74)-INDEX('Roll-Up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15.2766398528582</v>
      </c>
      <c r="G29" s="45" t="n">
        <f aca="false">(MAX(0,(((INDEX('Roll-Up Model'!$C$40:$M$40,Assumptions!$B$90+1)*(G$23*(1-$A29)+Assumptions!$B$17*$A29)+INDEX(Synergies!$C$28:$M$28,Assumptions!$B$90+1))*(1-Assumptions!$B$74)-INDEX('Roll-Up Model'!$C$85:$M$85,Assumptions!$B$90+1))-Assumptions!$B$73*MAX(0,((INDEX('Roll-Up Model'!$C$40:$M$40,Assumptions!$B$90+1)*(G$23*(1-$A29)+Assumptions!$B$17*$A29)+INDEX(Synergies!$C$28:$M$28,Assumptions!$B$90+1))*(1-Assumptions!$B$74)-INDEX('Roll-Up Model'!$C$85:$M$85,Assumptions!$B$90+1))-INDEX('Roll-Up Model'!$C$97:$M$97,Assumptions!$B$90+1)))*INDEX('Roll-Up Model'!$C$101:$M$101,Assumptions!$B$90+1))+INDEX('Roll-Up Model'!$C$103:$M$103,Assumptions!$B$90+1))/INDEX('Roll-Up Model'!$C$94:$M$94,Assumptions!$B$90+1)</f>
        <v>15.6197651273419</v>
      </c>
    </row>
    <row r="31" customFormat="false" ht="15" hidden="false" customHeight="true" outlineLevel="0" collapsed="false">
      <c r="A31" s="3" t="s">
        <v>531</v>
      </c>
    </row>
    <row r="39" customFormat="false" ht="15" hidden="false" customHeight="true" outlineLevel="0" collapsed="false">
      <c r="A39" s="3" t="s">
        <v>532</v>
      </c>
    </row>
    <row r="40" customFormat="false" ht="15" hidden="false" customHeight="true" outlineLevel="0" collapsed="false">
      <c r="A40" s="19" t="n">
        <f aca="false">A6</f>
        <v>5</v>
      </c>
      <c r="B40" s="45" t="n">
        <f aca="false">B$5</f>
        <v>12</v>
      </c>
      <c r="I40" s="25" t="n">
        <f aca="false">IF(0&lt;=$A40,-'Roll-Up Model'!C63+0,0)+IF(0=$A40,MAX(0,(((INDEX('Roll-Up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-2.9705</v>
      </c>
      <c r="J40" s="25" t="n">
        <f aca="false">IF(1&lt;=$A40,-'Roll-Up Model'!D63+'Roll-Up Model'!D102,0)+IF(1=$A40,MAX(0,(((INDEX('Roll-Up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-1.592193828125</v>
      </c>
      <c r="K40" s="25" t="n">
        <f aca="false">IF(2&lt;=$A40,-'Roll-Up Model'!E63+'Roll-Up Model'!E102,0)+IF(2=$A40,MAX(0,(((INDEX('Roll-Up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-2.38796039254032</v>
      </c>
      <c r="L40" s="25" t="n">
        <f aca="false">IF(3&lt;=$A40,-'Roll-Up Model'!F63+'Roll-Up Model'!F102,0)+IF(3=$A40,MAX(0,(((INDEX('Roll-Up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-2.01509332379157</v>
      </c>
      <c r="M40" s="25" t="n">
        <f aca="false">IF(4&lt;=$A40,-'Roll-Up Model'!G63+'Roll-Up Model'!G102,0)+IF(4=$A40,MAX(0,(((INDEX('Roll-Up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-1.75689696</v>
      </c>
      <c r="N40" s="25" t="n">
        <f aca="false">IF(5&lt;=$A40,-'Roll-Up Model'!H63+'Roll-Up Model'!H102,0)+IF(5=$A40,MAX(0,(((INDEX('Roll-Up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110.329002172132</v>
      </c>
      <c r="O40" s="25" t="n">
        <f aca="false">IF(6&lt;=$A40,-'Roll-Up Model'!I63+'Roll-Up Model'!I102,0)+IF(6=$A40,MAX(0,(((INDEX('Roll-Up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0</v>
      </c>
      <c r="P40" s="25" t="n">
        <f aca="false">IF(7&lt;=$A40,-'Roll-Up Model'!J63+'Roll-Up Model'!J102,0)+IF(7=$A40,MAX(0,(((INDEX('Roll-Up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0</v>
      </c>
      <c r="Q40" s="25" t="n">
        <f aca="false">IF(8&lt;=$A40,-'Roll-Up Model'!K63+'Roll-Up Model'!K102,0)+IF(8=$A40,MAX(0,(((INDEX('Roll-Up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0</v>
      </c>
      <c r="R40" s="25" t="n">
        <f aca="false">IF(9&lt;=$A40,-'Roll-Up Model'!L63+'Roll-Up Model'!L102,0)+IF(9=$A40,MAX(0,(((INDEX('Roll-Up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0</v>
      </c>
      <c r="S40" s="25" t="n">
        <f aca="false">IF(10&lt;=$A40,-'Roll-Up Model'!M63+'Roll-Up Model'!M102,0)+IF(10=$A40,MAX(0,(((INDEX('Roll-Up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Model'!$C$85:$M$85,$A40+1))-Assumptions!$B$73*MAX(0,((INDEX('Roll-Up Model'!$C$40:$M$40,$A40+1)*(Assumptions!$B$16*(1-INDEX('Roll-Up Model'!$C$32:$M$32,$A40+1))+$B40*INDEX('Roll-Up Model'!$C$32:$M$32,$A40+1))+INDEX(Synergies!$C$27:$M$27,$A40+1)*$B40*Assumptions!$B$75*Assumptions!$B$18)*(1-Assumptions!$B$74)-INDEX('Roll-Up Model'!$C$85:$M$85,$A40+1))-INDEX('Roll-Up Model'!$C$97:$M$97,$A40+1)))*INDEX('Roll-Up Model'!$C$101:$M$101,$A40+1)),0)</f>
        <v>0</v>
      </c>
    </row>
    <row r="41" customFormat="false" ht="15" hidden="false" customHeight="true" outlineLevel="0" collapsed="false">
      <c r="A41" s="19" t="n">
        <f aca="false">A6</f>
        <v>5</v>
      </c>
      <c r="B41" s="45" t="n">
        <f aca="false">C$5</f>
        <v>14</v>
      </c>
      <c r="I41" s="25" t="n">
        <f aca="false">IF(0&lt;=$A41,-'Roll-Up Model'!C63+0,0)+IF(0=$A41,MAX(0,(((INDEX('Roll-Up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-2.9705</v>
      </c>
      <c r="J41" s="25" t="n">
        <f aca="false">IF(1&lt;=$A41,-'Roll-Up Model'!D63+'Roll-Up Model'!D102,0)+IF(1=$A41,MAX(0,(((INDEX('Roll-Up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-1.592193828125</v>
      </c>
      <c r="K41" s="25" t="n">
        <f aca="false">IF(2&lt;=$A41,-'Roll-Up Model'!E63+'Roll-Up Model'!E102,0)+IF(2=$A41,MAX(0,(((INDEX('Roll-Up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-2.38796039254032</v>
      </c>
      <c r="L41" s="25" t="n">
        <f aca="false">IF(3&lt;=$A41,-'Roll-Up Model'!F63+'Roll-Up Model'!F102,0)+IF(3=$A41,MAX(0,(((INDEX('Roll-Up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-2.01509332379157</v>
      </c>
      <c r="M41" s="25" t="n">
        <f aca="false">IF(4&lt;=$A41,-'Roll-Up Model'!G63+'Roll-Up Model'!G102,0)+IF(4=$A41,MAX(0,(((INDEX('Roll-Up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-1.75689696</v>
      </c>
      <c r="N41" s="25" t="n">
        <f aca="false">IF(5&lt;=$A41,-'Roll-Up Model'!H63+'Roll-Up Model'!H102,0)+IF(5=$A41,MAX(0,(((INDEX('Roll-Up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119.67047061181</v>
      </c>
      <c r="O41" s="25" t="n">
        <f aca="false">IF(6&lt;=$A41,-'Roll-Up Model'!I63+'Roll-Up Model'!I102,0)+IF(6=$A41,MAX(0,(((INDEX('Roll-Up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0</v>
      </c>
      <c r="P41" s="25" t="n">
        <f aca="false">IF(7&lt;=$A41,-'Roll-Up Model'!J63+'Roll-Up Model'!J102,0)+IF(7=$A41,MAX(0,(((INDEX('Roll-Up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0</v>
      </c>
      <c r="Q41" s="25" t="n">
        <f aca="false">IF(8&lt;=$A41,-'Roll-Up Model'!K63+'Roll-Up Model'!K102,0)+IF(8=$A41,MAX(0,(((INDEX('Roll-Up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0</v>
      </c>
      <c r="R41" s="25" t="n">
        <f aca="false">IF(9&lt;=$A41,-'Roll-Up Model'!L63+'Roll-Up Model'!L102,0)+IF(9=$A41,MAX(0,(((INDEX('Roll-Up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0</v>
      </c>
      <c r="S41" s="25" t="n">
        <f aca="false">IF(10&lt;=$A41,-'Roll-Up Model'!M63+'Roll-Up Model'!M102,0)+IF(10=$A41,MAX(0,(((INDEX('Roll-Up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Model'!$C$85:$M$85,$A41+1))-Assumptions!$B$73*MAX(0,((INDEX('Roll-Up Model'!$C$40:$M$40,$A41+1)*(Assumptions!$B$16*(1-INDEX('Roll-Up Model'!$C$32:$M$32,$A41+1))+$B41*INDEX('Roll-Up Model'!$C$32:$M$32,$A41+1))+INDEX(Synergies!$C$27:$M$27,$A41+1)*$B41*Assumptions!$B$75*Assumptions!$B$18)*(1-Assumptions!$B$74)-INDEX('Roll-Up Model'!$C$85:$M$85,$A41+1))-INDEX('Roll-Up Model'!$C$97:$M$97,$A41+1)))*INDEX('Roll-Up Model'!$C$101:$M$101,$A41+1)),0)</f>
        <v>0</v>
      </c>
    </row>
    <row r="42" customFormat="false" ht="15" hidden="false" customHeight="true" outlineLevel="0" collapsed="false">
      <c r="A42" s="19" t="n">
        <f aca="false">A6</f>
        <v>5</v>
      </c>
      <c r="B42" s="45" t="n">
        <f aca="false">D$5</f>
        <v>15</v>
      </c>
      <c r="I42" s="25" t="n">
        <f aca="false">IF(0&lt;=$A42,-'Roll-Up Model'!C63+0,0)+IF(0=$A42,MAX(0,(((INDEX('Roll-Up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-2.9705</v>
      </c>
      <c r="J42" s="25" t="n">
        <f aca="false">IF(1&lt;=$A42,-'Roll-Up Model'!D63+'Roll-Up Model'!D102,0)+IF(1=$A42,MAX(0,(((INDEX('Roll-Up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-1.592193828125</v>
      </c>
      <c r="K42" s="25" t="n">
        <f aca="false">IF(2&lt;=$A42,-'Roll-Up Model'!E63+'Roll-Up Model'!E102,0)+IF(2=$A42,MAX(0,(((INDEX('Roll-Up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-2.38796039254032</v>
      </c>
      <c r="L42" s="25" t="n">
        <f aca="false">IF(3&lt;=$A42,-'Roll-Up Model'!F63+'Roll-Up Model'!F102,0)+IF(3=$A42,MAX(0,(((INDEX('Roll-Up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-2.01509332379157</v>
      </c>
      <c r="M42" s="25" t="n">
        <f aca="false">IF(4&lt;=$A42,-'Roll-Up Model'!G63+'Roll-Up Model'!G102,0)+IF(4=$A42,MAX(0,(((INDEX('Roll-Up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-1.75689696</v>
      </c>
      <c r="N42" s="25" t="n">
        <f aca="false">IF(5&lt;=$A42,-'Roll-Up Model'!H63+'Roll-Up Model'!H102,0)+IF(5=$A42,MAX(0,(((INDEX('Roll-Up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124.341204831649</v>
      </c>
      <c r="O42" s="25" t="n">
        <f aca="false">IF(6&lt;=$A42,-'Roll-Up Model'!I63+'Roll-Up Model'!I102,0)+IF(6=$A42,MAX(0,(((INDEX('Roll-Up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0</v>
      </c>
      <c r="P42" s="25" t="n">
        <f aca="false">IF(7&lt;=$A42,-'Roll-Up Model'!J63+'Roll-Up Model'!J102,0)+IF(7=$A42,MAX(0,(((INDEX('Roll-Up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0</v>
      </c>
      <c r="Q42" s="25" t="n">
        <f aca="false">IF(8&lt;=$A42,-'Roll-Up Model'!K63+'Roll-Up Model'!K102,0)+IF(8=$A42,MAX(0,(((INDEX('Roll-Up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0</v>
      </c>
      <c r="R42" s="25" t="n">
        <f aca="false">IF(9&lt;=$A42,-'Roll-Up Model'!L63+'Roll-Up Model'!L102,0)+IF(9=$A42,MAX(0,(((INDEX('Roll-Up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0</v>
      </c>
      <c r="S42" s="25" t="n">
        <f aca="false">IF(10&lt;=$A42,-'Roll-Up Model'!M63+'Roll-Up Model'!M102,0)+IF(10=$A42,MAX(0,(((INDEX('Roll-Up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Model'!$C$85:$M$85,$A42+1))-Assumptions!$B$73*MAX(0,((INDEX('Roll-Up Model'!$C$40:$M$40,$A42+1)*(Assumptions!$B$16*(1-INDEX('Roll-Up Model'!$C$32:$M$32,$A42+1))+$B42*INDEX('Roll-Up Model'!$C$32:$M$32,$A42+1))+INDEX(Synergies!$C$27:$M$27,$A42+1)*$B42*Assumptions!$B$75*Assumptions!$B$18)*(1-Assumptions!$B$74)-INDEX('Roll-Up Model'!$C$85:$M$85,$A42+1))-INDEX('Roll-Up Model'!$C$97:$M$97,$A42+1)))*INDEX('Roll-Up Model'!$C$101:$M$101,$A42+1)),0)</f>
        <v>0</v>
      </c>
    </row>
    <row r="43" customFormat="false" ht="15" hidden="false" customHeight="true" outlineLevel="0" collapsed="false">
      <c r="A43" s="19" t="n">
        <f aca="false">A6</f>
        <v>5</v>
      </c>
      <c r="B43" s="45" t="n">
        <f aca="false">E$5</f>
        <v>16</v>
      </c>
      <c r="I43" s="25" t="n">
        <f aca="false">IF(0&lt;=$A43,-'Roll-Up Model'!C63+0,0)+IF(0=$A43,MAX(0,(((INDEX('Roll-Up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-2.9705</v>
      </c>
      <c r="J43" s="25" t="n">
        <f aca="false">IF(1&lt;=$A43,-'Roll-Up Model'!D63+'Roll-Up Model'!D102,0)+IF(1=$A43,MAX(0,(((INDEX('Roll-Up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-1.592193828125</v>
      </c>
      <c r="K43" s="25" t="n">
        <f aca="false">IF(2&lt;=$A43,-'Roll-Up Model'!E63+'Roll-Up Model'!E102,0)+IF(2=$A43,MAX(0,(((INDEX('Roll-Up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-2.38796039254032</v>
      </c>
      <c r="L43" s="25" t="n">
        <f aca="false">IF(3&lt;=$A43,-'Roll-Up Model'!F63+'Roll-Up Model'!F102,0)+IF(3=$A43,MAX(0,(((INDEX('Roll-Up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-2.01509332379157</v>
      </c>
      <c r="M43" s="25" t="n">
        <f aca="false">IF(4&lt;=$A43,-'Roll-Up Model'!G63+'Roll-Up Model'!G102,0)+IF(4=$A43,MAX(0,(((INDEX('Roll-Up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-1.75689696</v>
      </c>
      <c r="N43" s="25" t="n">
        <f aca="false">IF(5&lt;=$A43,-'Roll-Up Model'!H63+'Roll-Up Model'!H102,0)+IF(5=$A43,MAX(0,(((INDEX('Roll-Up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129.011939051487</v>
      </c>
      <c r="O43" s="25" t="n">
        <f aca="false">IF(6&lt;=$A43,-'Roll-Up Model'!I63+'Roll-Up Model'!I102,0)+IF(6=$A43,MAX(0,(((INDEX('Roll-Up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0</v>
      </c>
      <c r="P43" s="25" t="n">
        <f aca="false">IF(7&lt;=$A43,-'Roll-Up Model'!J63+'Roll-Up Model'!J102,0)+IF(7=$A43,MAX(0,(((INDEX('Roll-Up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0</v>
      </c>
      <c r="Q43" s="25" t="n">
        <f aca="false">IF(8&lt;=$A43,-'Roll-Up Model'!K63+'Roll-Up Model'!K102,0)+IF(8=$A43,MAX(0,(((INDEX('Roll-Up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0</v>
      </c>
      <c r="R43" s="25" t="n">
        <f aca="false">IF(9&lt;=$A43,-'Roll-Up Model'!L63+'Roll-Up Model'!L102,0)+IF(9=$A43,MAX(0,(((INDEX('Roll-Up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0</v>
      </c>
      <c r="S43" s="25" t="n">
        <f aca="false">IF(10&lt;=$A43,-'Roll-Up Model'!M63+'Roll-Up Model'!M102,0)+IF(10=$A43,MAX(0,(((INDEX('Roll-Up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Model'!$C$85:$M$85,$A43+1))-Assumptions!$B$73*MAX(0,((INDEX('Roll-Up Model'!$C$40:$M$40,$A43+1)*(Assumptions!$B$16*(1-INDEX('Roll-Up Model'!$C$32:$M$32,$A43+1))+$B43*INDEX('Roll-Up Model'!$C$32:$M$32,$A43+1))+INDEX(Synergies!$C$27:$M$27,$A43+1)*$B43*Assumptions!$B$75*Assumptions!$B$18)*(1-Assumptions!$B$74)-INDEX('Roll-Up Model'!$C$85:$M$85,$A43+1))-INDEX('Roll-Up Model'!$C$97:$M$97,$A43+1)))*INDEX('Roll-Up Model'!$C$101:$M$101,$A43+1)),0)</f>
        <v>0</v>
      </c>
    </row>
    <row r="44" customFormat="false" ht="15" hidden="false" customHeight="true" outlineLevel="0" collapsed="false">
      <c r="A44" s="19" t="n">
        <f aca="false">A6</f>
        <v>5</v>
      </c>
      <c r="B44" s="45" t="n">
        <f aca="false">F$5</f>
        <v>18</v>
      </c>
      <c r="I44" s="25" t="n">
        <f aca="false">IF(0&lt;=$A44,-'Roll-Up Model'!C63+0,0)+IF(0=$A44,MAX(0,(((INDEX('Roll-Up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-2.9705</v>
      </c>
      <c r="J44" s="25" t="n">
        <f aca="false">IF(1&lt;=$A44,-'Roll-Up Model'!D63+'Roll-Up Model'!D102,0)+IF(1=$A44,MAX(0,(((INDEX('Roll-Up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-1.592193828125</v>
      </c>
      <c r="K44" s="25" t="n">
        <f aca="false">IF(2&lt;=$A44,-'Roll-Up Model'!E63+'Roll-Up Model'!E102,0)+IF(2=$A44,MAX(0,(((INDEX('Roll-Up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-2.38796039254032</v>
      </c>
      <c r="L44" s="25" t="n">
        <f aca="false">IF(3&lt;=$A44,-'Roll-Up Model'!F63+'Roll-Up Model'!F102,0)+IF(3=$A44,MAX(0,(((INDEX('Roll-Up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-2.01509332379157</v>
      </c>
      <c r="M44" s="25" t="n">
        <f aca="false">IF(4&lt;=$A44,-'Roll-Up Model'!G63+'Roll-Up Model'!G102,0)+IF(4=$A44,MAX(0,(((INDEX('Roll-Up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-1.75689696</v>
      </c>
      <c r="N44" s="25" t="n">
        <f aca="false">IF(5&lt;=$A44,-'Roll-Up Model'!H63+'Roll-Up Model'!H102,0)+IF(5=$A44,MAX(0,(((INDEX('Roll-Up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138.353407491165</v>
      </c>
      <c r="O44" s="25" t="n">
        <f aca="false">IF(6&lt;=$A44,-'Roll-Up Model'!I63+'Roll-Up Model'!I102,0)+IF(6=$A44,MAX(0,(((INDEX('Roll-Up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0</v>
      </c>
      <c r="P44" s="25" t="n">
        <f aca="false">IF(7&lt;=$A44,-'Roll-Up Model'!J63+'Roll-Up Model'!J102,0)+IF(7=$A44,MAX(0,(((INDEX('Roll-Up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0</v>
      </c>
      <c r="Q44" s="25" t="n">
        <f aca="false">IF(8&lt;=$A44,-'Roll-Up Model'!K63+'Roll-Up Model'!K102,0)+IF(8=$A44,MAX(0,(((INDEX('Roll-Up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0</v>
      </c>
      <c r="R44" s="25" t="n">
        <f aca="false">IF(9&lt;=$A44,-'Roll-Up Model'!L63+'Roll-Up Model'!L102,0)+IF(9=$A44,MAX(0,(((INDEX('Roll-Up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0</v>
      </c>
      <c r="S44" s="25" t="n">
        <f aca="false">IF(10&lt;=$A44,-'Roll-Up Model'!M63+'Roll-Up Model'!M102,0)+IF(10=$A44,MAX(0,(((INDEX('Roll-Up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Model'!$C$85:$M$85,$A44+1))-Assumptions!$B$73*MAX(0,((INDEX('Roll-Up Model'!$C$40:$M$40,$A44+1)*(Assumptions!$B$16*(1-INDEX('Roll-Up Model'!$C$32:$M$32,$A44+1))+$B44*INDEX('Roll-Up Model'!$C$32:$M$32,$A44+1))+INDEX(Synergies!$C$27:$M$27,$A44+1)*$B44*Assumptions!$B$75*Assumptions!$B$18)*(1-Assumptions!$B$74)-INDEX('Roll-Up Model'!$C$85:$M$85,$A44+1))-INDEX('Roll-Up Model'!$C$97:$M$97,$A44+1)))*INDEX('Roll-Up Model'!$C$101:$M$101,$A44+1)),0)</f>
        <v>0</v>
      </c>
    </row>
    <row r="45" customFormat="false" ht="15" hidden="false" customHeight="true" outlineLevel="0" collapsed="false">
      <c r="A45" s="19" t="n">
        <f aca="false">A6</f>
        <v>5</v>
      </c>
      <c r="B45" s="45" t="n">
        <f aca="false">G$5</f>
        <v>20</v>
      </c>
      <c r="I45" s="25" t="n">
        <f aca="false">IF(0&lt;=$A45,-'Roll-Up Model'!C63+0,0)+IF(0=$A45,MAX(0,(((INDEX('Roll-Up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-2.9705</v>
      </c>
      <c r="J45" s="25" t="n">
        <f aca="false">IF(1&lt;=$A45,-'Roll-Up Model'!D63+'Roll-Up Model'!D102,0)+IF(1=$A45,MAX(0,(((INDEX('Roll-Up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-1.592193828125</v>
      </c>
      <c r="K45" s="25" t="n">
        <f aca="false">IF(2&lt;=$A45,-'Roll-Up Model'!E63+'Roll-Up Model'!E102,0)+IF(2=$A45,MAX(0,(((INDEX('Roll-Up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-2.38796039254032</v>
      </c>
      <c r="L45" s="25" t="n">
        <f aca="false">IF(3&lt;=$A45,-'Roll-Up Model'!F63+'Roll-Up Model'!F102,0)+IF(3=$A45,MAX(0,(((INDEX('Roll-Up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-2.01509332379157</v>
      </c>
      <c r="M45" s="25" t="n">
        <f aca="false">IF(4&lt;=$A45,-'Roll-Up Model'!G63+'Roll-Up Model'!G102,0)+IF(4=$A45,MAX(0,(((INDEX('Roll-Up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-1.75689696</v>
      </c>
      <c r="N45" s="25" t="n">
        <f aca="false">IF(5&lt;=$A45,-'Roll-Up Model'!H63+'Roll-Up Model'!H102,0)+IF(5=$A45,MAX(0,(((INDEX('Roll-Up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147.694875930843</v>
      </c>
      <c r="O45" s="25" t="n">
        <f aca="false">IF(6&lt;=$A45,-'Roll-Up Model'!I63+'Roll-Up Model'!I102,0)+IF(6=$A45,MAX(0,(((INDEX('Roll-Up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0</v>
      </c>
      <c r="P45" s="25" t="n">
        <f aca="false">IF(7&lt;=$A45,-'Roll-Up Model'!J63+'Roll-Up Model'!J102,0)+IF(7=$A45,MAX(0,(((INDEX('Roll-Up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0</v>
      </c>
      <c r="Q45" s="25" t="n">
        <f aca="false">IF(8&lt;=$A45,-'Roll-Up Model'!K63+'Roll-Up Model'!K102,0)+IF(8=$A45,MAX(0,(((INDEX('Roll-Up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0</v>
      </c>
      <c r="R45" s="25" t="n">
        <f aca="false">IF(9&lt;=$A45,-'Roll-Up Model'!L63+'Roll-Up Model'!L102,0)+IF(9=$A45,MAX(0,(((INDEX('Roll-Up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0</v>
      </c>
      <c r="S45" s="25" t="n">
        <f aca="false">IF(10&lt;=$A45,-'Roll-Up Model'!M63+'Roll-Up Model'!M102,0)+IF(10=$A45,MAX(0,(((INDEX('Roll-Up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Model'!$C$85:$M$85,$A45+1))-Assumptions!$B$73*MAX(0,((INDEX('Roll-Up Model'!$C$40:$M$40,$A45+1)*(Assumptions!$B$16*(1-INDEX('Roll-Up Model'!$C$32:$M$32,$A45+1))+$B45*INDEX('Roll-Up Model'!$C$32:$M$32,$A45+1))+INDEX(Synergies!$C$27:$M$27,$A45+1)*$B45*Assumptions!$B$75*Assumptions!$B$18)*(1-Assumptions!$B$74)-INDEX('Roll-Up Model'!$C$85:$M$85,$A45+1))-INDEX('Roll-Up Model'!$C$97:$M$97,$A45+1)))*INDEX('Roll-Up Model'!$C$101:$M$101,$A45+1)),0)</f>
        <v>0</v>
      </c>
    </row>
    <row r="46" customFormat="false" ht="15" hidden="false" customHeight="true" outlineLevel="0" collapsed="false">
      <c r="A46" s="19" t="n">
        <f aca="false">A7</f>
        <v>6</v>
      </c>
      <c r="B46" s="45" t="n">
        <f aca="false">B$5</f>
        <v>12</v>
      </c>
      <c r="I46" s="25" t="n">
        <f aca="false">IF(0&lt;=$A46,-'Roll-Up Model'!C63+0,0)+IF(0=$A46,MAX(0,(((INDEX('Roll-Up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-2.9705</v>
      </c>
      <c r="J46" s="25" t="n">
        <f aca="false">IF(1&lt;=$A46,-'Roll-Up Model'!D63+'Roll-Up Model'!D102,0)+IF(1=$A46,MAX(0,(((INDEX('Roll-Up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-1.592193828125</v>
      </c>
      <c r="K46" s="25" t="n">
        <f aca="false">IF(2&lt;=$A46,-'Roll-Up Model'!E63+'Roll-Up Model'!E102,0)+IF(2=$A46,MAX(0,(((INDEX('Roll-Up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-2.38796039254032</v>
      </c>
      <c r="L46" s="25" t="n">
        <f aca="false">IF(3&lt;=$A46,-'Roll-Up Model'!F63+'Roll-Up Model'!F102,0)+IF(3=$A46,MAX(0,(((INDEX('Roll-Up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-2.01509332379157</v>
      </c>
      <c r="M46" s="25" t="n">
        <f aca="false">IF(4&lt;=$A46,-'Roll-Up Model'!G63+'Roll-Up Model'!G102,0)+IF(4=$A46,MAX(0,(((INDEX('Roll-Up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-1.75689696</v>
      </c>
      <c r="N46" s="25" t="n">
        <f aca="false">IF(5&lt;=$A46,-'Roll-Up Model'!H63+'Roll-Up Model'!H102,0)+IF(5=$A46,MAX(0,(((INDEX('Roll-Up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0.0123349572227498</v>
      </c>
      <c r="O46" s="25" t="n">
        <f aca="false">IF(6&lt;=$A46,-'Roll-Up Model'!I63+'Roll-Up Model'!I102,0)+IF(6=$A46,MAX(0,(((INDEX('Roll-Up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143.168165231152</v>
      </c>
      <c r="P46" s="25" t="n">
        <f aca="false">IF(7&lt;=$A46,-'Roll-Up Model'!J63+'Roll-Up Model'!J102,0)+IF(7=$A46,MAX(0,(((INDEX('Roll-Up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0</v>
      </c>
      <c r="Q46" s="25" t="n">
        <f aca="false">IF(8&lt;=$A46,-'Roll-Up Model'!K63+'Roll-Up Model'!K102,0)+IF(8=$A46,MAX(0,(((INDEX('Roll-Up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0</v>
      </c>
      <c r="R46" s="25" t="n">
        <f aca="false">IF(9&lt;=$A46,-'Roll-Up Model'!L63+'Roll-Up Model'!L102,0)+IF(9=$A46,MAX(0,(((INDEX('Roll-Up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0</v>
      </c>
      <c r="S46" s="25" t="n">
        <f aca="false">IF(10&lt;=$A46,-'Roll-Up Model'!M63+'Roll-Up Model'!M102,0)+IF(10=$A46,MAX(0,(((INDEX('Roll-Up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Model'!$C$85:$M$85,$A46+1))-Assumptions!$B$73*MAX(0,((INDEX('Roll-Up Model'!$C$40:$M$40,$A46+1)*(Assumptions!$B$16*(1-INDEX('Roll-Up Model'!$C$32:$M$32,$A46+1))+$B46*INDEX('Roll-Up Model'!$C$32:$M$32,$A46+1))+INDEX(Synergies!$C$27:$M$27,$A46+1)*$B46*Assumptions!$B$75*Assumptions!$B$18)*(1-Assumptions!$B$74)-INDEX('Roll-Up Model'!$C$85:$M$85,$A46+1))-INDEX('Roll-Up Model'!$C$97:$M$97,$A46+1)))*INDEX('Roll-Up Model'!$C$101:$M$101,$A46+1)),0)</f>
        <v>0</v>
      </c>
    </row>
    <row r="47" customFormat="false" ht="15" hidden="false" customHeight="true" outlineLevel="0" collapsed="false">
      <c r="A47" s="19" t="n">
        <f aca="false">A7</f>
        <v>6</v>
      </c>
      <c r="B47" s="45" t="n">
        <f aca="false">C$5</f>
        <v>14</v>
      </c>
      <c r="I47" s="25" t="n">
        <f aca="false">IF(0&lt;=$A47,-'Roll-Up Model'!C63+0,0)+IF(0=$A47,MAX(0,(((INDEX('Roll-Up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-2.9705</v>
      </c>
      <c r="J47" s="25" t="n">
        <f aca="false">IF(1&lt;=$A47,-'Roll-Up Model'!D63+'Roll-Up Model'!D102,0)+IF(1=$A47,MAX(0,(((INDEX('Roll-Up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-1.592193828125</v>
      </c>
      <c r="K47" s="25" t="n">
        <f aca="false">IF(2&lt;=$A47,-'Roll-Up Model'!E63+'Roll-Up Model'!E102,0)+IF(2=$A47,MAX(0,(((INDEX('Roll-Up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-2.38796039254032</v>
      </c>
      <c r="L47" s="25" t="n">
        <f aca="false">IF(3&lt;=$A47,-'Roll-Up Model'!F63+'Roll-Up Model'!F102,0)+IF(3=$A47,MAX(0,(((INDEX('Roll-Up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-2.01509332379157</v>
      </c>
      <c r="M47" s="25" t="n">
        <f aca="false">IF(4&lt;=$A47,-'Roll-Up Model'!G63+'Roll-Up Model'!G102,0)+IF(4=$A47,MAX(0,(((INDEX('Roll-Up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-1.75689696</v>
      </c>
      <c r="N47" s="25" t="n">
        <f aca="false">IF(5&lt;=$A47,-'Roll-Up Model'!H63+'Roll-Up Model'!H102,0)+IF(5=$A47,MAX(0,(((INDEX('Roll-Up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0.0123349572227498</v>
      </c>
      <c r="O47" s="25" t="n">
        <f aca="false">IF(6&lt;=$A47,-'Roll-Up Model'!I63+'Roll-Up Model'!I102,0)+IF(6=$A47,MAX(0,(((INDEX('Roll-Up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155.555970809562</v>
      </c>
      <c r="P47" s="25" t="n">
        <f aca="false">IF(7&lt;=$A47,-'Roll-Up Model'!J63+'Roll-Up Model'!J102,0)+IF(7=$A47,MAX(0,(((INDEX('Roll-Up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0</v>
      </c>
      <c r="Q47" s="25" t="n">
        <f aca="false">IF(8&lt;=$A47,-'Roll-Up Model'!K63+'Roll-Up Model'!K102,0)+IF(8=$A47,MAX(0,(((INDEX('Roll-Up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0</v>
      </c>
      <c r="R47" s="25" t="n">
        <f aca="false">IF(9&lt;=$A47,-'Roll-Up Model'!L63+'Roll-Up Model'!L102,0)+IF(9=$A47,MAX(0,(((INDEX('Roll-Up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0</v>
      </c>
      <c r="S47" s="25" t="n">
        <f aca="false">IF(10&lt;=$A47,-'Roll-Up Model'!M63+'Roll-Up Model'!M102,0)+IF(10=$A47,MAX(0,(((INDEX('Roll-Up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Model'!$C$85:$M$85,$A47+1))-Assumptions!$B$73*MAX(0,((INDEX('Roll-Up Model'!$C$40:$M$40,$A47+1)*(Assumptions!$B$16*(1-INDEX('Roll-Up Model'!$C$32:$M$32,$A47+1))+$B47*INDEX('Roll-Up Model'!$C$32:$M$32,$A47+1))+INDEX(Synergies!$C$27:$M$27,$A47+1)*$B47*Assumptions!$B$75*Assumptions!$B$18)*(1-Assumptions!$B$74)-INDEX('Roll-Up Model'!$C$85:$M$85,$A47+1))-INDEX('Roll-Up Model'!$C$97:$M$97,$A47+1)))*INDEX('Roll-Up Model'!$C$101:$M$101,$A47+1)),0)</f>
        <v>0</v>
      </c>
    </row>
    <row r="48" customFormat="false" ht="15" hidden="false" customHeight="true" outlineLevel="0" collapsed="false">
      <c r="A48" s="19" t="n">
        <f aca="false">A7</f>
        <v>6</v>
      </c>
      <c r="B48" s="45" t="n">
        <f aca="false">D$5</f>
        <v>15</v>
      </c>
      <c r="I48" s="25" t="n">
        <f aca="false">IF(0&lt;=$A48,-'Roll-Up Model'!C63+0,0)+IF(0=$A48,MAX(0,(((INDEX('Roll-Up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-2.9705</v>
      </c>
      <c r="J48" s="25" t="n">
        <f aca="false">IF(1&lt;=$A48,-'Roll-Up Model'!D63+'Roll-Up Model'!D102,0)+IF(1=$A48,MAX(0,(((INDEX('Roll-Up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-1.592193828125</v>
      </c>
      <c r="K48" s="25" t="n">
        <f aca="false">IF(2&lt;=$A48,-'Roll-Up Model'!E63+'Roll-Up Model'!E102,0)+IF(2=$A48,MAX(0,(((INDEX('Roll-Up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-2.38796039254032</v>
      </c>
      <c r="L48" s="25" t="n">
        <f aca="false">IF(3&lt;=$A48,-'Roll-Up Model'!F63+'Roll-Up Model'!F102,0)+IF(3=$A48,MAX(0,(((INDEX('Roll-Up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-2.01509332379157</v>
      </c>
      <c r="M48" s="25" t="n">
        <f aca="false">IF(4&lt;=$A48,-'Roll-Up Model'!G63+'Roll-Up Model'!G102,0)+IF(4=$A48,MAX(0,(((INDEX('Roll-Up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-1.75689696</v>
      </c>
      <c r="N48" s="25" t="n">
        <f aca="false">IF(5&lt;=$A48,-'Roll-Up Model'!H63+'Roll-Up Model'!H102,0)+IF(5=$A48,MAX(0,(((INDEX('Roll-Up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0.0123349572227498</v>
      </c>
      <c r="O48" s="25" t="n">
        <f aca="false">IF(6&lt;=$A48,-'Roll-Up Model'!I63+'Roll-Up Model'!I102,0)+IF(6=$A48,MAX(0,(((INDEX('Roll-Up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161.749873598766</v>
      </c>
      <c r="P48" s="25" t="n">
        <f aca="false">IF(7&lt;=$A48,-'Roll-Up Model'!J63+'Roll-Up Model'!J102,0)+IF(7=$A48,MAX(0,(((INDEX('Roll-Up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0</v>
      </c>
      <c r="Q48" s="25" t="n">
        <f aca="false">IF(8&lt;=$A48,-'Roll-Up Model'!K63+'Roll-Up Model'!K102,0)+IF(8=$A48,MAX(0,(((INDEX('Roll-Up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0</v>
      </c>
      <c r="R48" s="25" t="n">
        <f aca="false">IF(9&lt;=$A48,-'Roll-Up Model'!L63+'Roll-Up Model'!L102,0)+IF(9=$A48,MAX(0,(((INDEX('Roll-Up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0</v>
      </c>
      <c r="S48" s="25" t="n">
        <f aca="false">IF(10&lt;=$A48,-'Roll-Up Model'!M63+'Roll-Up Model'!M102,0)+IF(10=$A48,MAX(0,(((INDEX('Roll-Up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Model'!$C$85:$M$85,$A48+1))-Assumptions!$B$73*MAX(0,((INDEX('Roll-Up Model'!$C$40:$M$40,$A48+1)*(Assumptions!$B$16*(1-INDEX('Roll-Up Model'!$C$32:$M$32,$A48+1))+$B48*INDEX('Roll-Up Model'!$C$32:$M$32,$A48+1))+INDEX(Synergies!$C$27:$M$27,$A48+1)*$B48*Assumptions!$B$75*Assumptions!$B$18)*(1-Assumptions!$B$74)-INDEX('Roll-Up Model'!$C$85:$M$85,$A48+1))-INDEX('Roll-Up Model'!$C$97:$M$97,$A48+1)))*INDEX('Roll-Up Model'!$C$101:$M$101,$A48+1)),0)</f>
        <v>0</v>
      </c>
    </row>
    <row r="49" customFormat="false" ht="15" hidden="false" customHeight="true" outlineLevel="0" collapsed="false">
      <c r="A49" s="19" t="n">
        <f aca="false">A7</f>
        <v>6</v>
      </c>
      <c r="B49" s="45" t="n">
        <f aca="false">E$5</f>
        <v>16</v>
      </c>
      <c r="I49" s="25" t="n">
        <f aca="false">IF(0&lt;=$A49,-'Roll-Up Model'!C63+0,0)+IF(0=$A49,MAX(0,(((INDEX('Roll-Up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-2.9705</v>
      </c>
      <c r="J49" s="25" t="n">
        <f aca="false">IF(1&lt;=$A49,-'Roll-Up Model'!D63+'Roll-Up Model'!D102,0)+IF(1=$A49,MAX(0,(((INDEX('Roll-Up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-1.592193828125</v>
      </c>
      <c r="K49" s="25" t="n">
        <f aca="false">IF(2&lt;=$A49,-'Roll-Up Model'!E63+'Roll-Up Model'!E102,0)+IF(2=$A49,MAX(0,(((INDEX('Roll-Up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-2.38796039254032</v>
      </c>
      <c r="L49" s="25" t="n">
        <f aca="false">IF(3&lt;=$A49,-'Roll-Up Model'!F63+'Roll-Up Model'!F102,0)+IF(3=$A49,MAX(0,(((INDEX('Roll-Up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-2.01509332379157</v>
      </c>
      <c r="M49" s="25" t="n">
        <f aca="false">IF(4&lt;=$A49,-'Roll-Up Model'!G63+'Roll-Up Model'!G102,0)+IF(4=$A49,MAX(0,(((INDEX('Roll-Up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-1.75689696</v>
      </c>
      <c r="N49" s="25" t="n">
        <f aca="false">IF(5&lt;=$A49,-'Roll-Up Model'!H63+'Roll-Up Model'!H102,0)+IF(5=$A49,MAX(0,(((INDEX('Roll-Up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0.0123349572227498</v>
      </c>
      <c r="O49" s="25" t="n">
        <f aca="false">IF(6&lt;=$A49,-'Roll-Up Model'!I63+'Roll-Up Model'!I102,0)+IF(6=$A49,MAX(0,(((INDEX('Roll-Up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167.943776387971</v>
      </c>
      <c r="P49" s="25" t="n">
        <f aca="false">IF(7&lt;=$A49,-'Roll-Up Model'!J63+'Roll-Up Model'!J102,0)+IF(7=$A49,MAX(0,(((INDEX('Roll-Up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0</v>
      </c>
      <c r="Q49" s="25" t="n">
        <f aca="false">IF(8&lt;=$A49,-'Roll-Up Model'!K63+'Roll-Up Model'!K102,0)+IF(8=$A49,MAX(0,(((INDEX('Roll-Up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0</v>
      </c>
      <c r="R49" s="25" t="n">
        <f aca="false">IF(9&lt;=$A49,-'Roll-Up Model'!L63+'Roll-Up Model'!L102,0)+IF(9=$A49,MAX(0,(((INDEX('Roll-Up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0</v>
      </c>
      <c r="S49" s="25" t="n">
        <f aca="false">IF(10&lt;=$A49,-'Roll-Up Model'!M63+'Roll-Up Model'!M102,0)+IF(10=$A49,MAX(0,(((INDEX('Roll-Up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Model'!$C$85:$M$85,$A49+1))-Assumptions!$B$73*MAX(0,((INDEX('Roll-Up Model'!$C$40:$M$40,$A49+1)*(Assumptions!$B$16*(1-INDEX('Roll-Up Model'!$C$32:$M$32,$A49+1))+$B49*INDEX('Roll-Up Model'!$C$32:$M$32,$A49+1))+INDEX(Synergies!$C$27:$M$27,$A49+1)*$B49*Assumptions!$B$75*Assumptions!$B$18)*(1-Assumptions!$B$74)-INDEX('Roll-Up Model'!$C$85:$M$85,$A49+1))-INDEX('Roll-Up Model'!$C$97:$M$97,$A49+1)))*INDEX('Roll-Up Model'!$C$101:$M$101,$A49+1)),0)</f>
        <v>0</v>
      </c>
    </row>
    <row r="50" customFormat="false" ht="15" hidden="false" customHeight="true" outlineLevel="0" collapsed="false">
      <c r="A50" s="19" t="n">
        <f aca="false">A7</f>
        <v>6</v>
      </c>
      <c r="B50" s="45" t="n">
        <f aca="false">F$5</f>
        <v>18</v>
      </c>
      <c r="I50" s="25" t="n">
        <f aca="false">IF(0&lt;=$A50,-'Roll-Up Model'!C63+0,0)+IF(0=$A50,MAX(0,(((INDEX('Roll-Up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-2.9705</v>
      </c>
      <c r="J50" s="25" t="n">
        <f aca="false">IF(1&lt;=$A50,-'Roll-Up Model'!D63+'Roll-Up Model'!D102,0)+IF(1=$A50,MAX(0,(((INDEX('Roll-Up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-1.592193828125</v>
      </c>
      <c r="K50" s="25" t="n">
        <f aca="false">IF(2&lt;=$A50,-'Roll-Up Model'!E63+'Roll-Up Model'!E102,0)+IF(2=$A50,MAX(0,(((INDEX('Roll-Up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-2.38796039254032</v>
      </c>
      <c r="L50" s="25" t="n">
        <f aca="false">IF(3&lt;=$A50,-'Roll-Up Model'!F63+'Roll-Up Model'!F102,0)+IF(3=$A50,MAX(0,(((INDEX('Roll-Up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-2.01509332379157</v>
      </c>
      <c r="M50" s="25" t="n">
        <f aca="false">IF(4&lt;=$A50,-'Roll-Up Model'!G63+'Roll-Up Model'!G102,0)+IF(4=$A50,MAX(0,(((INDEX('Roll-Up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-1.75689696</v>
      </c>
      <c r="N50" s="25" t="n">
        <f aca="false">IF(5&lt;=$A50,-'Roll-Up Model'!H63+'Roll-Up Model'!H102,0)+IF(5=$A50,MAX(0,(((INDEX('Roll-Up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0.0123349572227498</v>
      </c>
      <c r="O50" s="25" t="n">
        <f aca="false">IF(6&lt;=$A50,-'Roll-Up Model'!I63+'Roll-Up Model'!I102,0)+IF(6=$A50,MAX(0,(((INDEX('Roll-Up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180.33158196638</v>
      </c>
      <c r="P50" s="25" t="n">
        <f aca="false">IF(7&lt;=$A50,-'Roll-Up Model'!J63+'Roll-Up Model'!J102,0)+IF(7=$A50,MAX(0,(((INDEX('Roll-Up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0</v>
      </c>
      <c r="Q50" s="25" t="n">
        <f aca="false">IF(8&lt;=$A50,-'Roll-Up Model'!K63+'Roll-Up Model'!K102,0)+IF(8=$A50,MAX(0,(((INDEX('Roll-Up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0</v>
      </c>
      <c r="R50" s="25" t="n">
        <f aca="false">IF(9&lt;=$A50,-'Roll-Up Model'!L63+'Roll-Up Model'!L102,0)+IF(9=$A50,MAX(0,(((INDEX('Roll-Up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0</v>
      </c>
      <c r="S50" s="25" t="n">
        <f aca="false">IF(10&lt;=$A50,-'Roll-Up Model'!M63+'Roll-Up Model'!M102,0)+IF(10=$A50,MAX(0,(((INDEX('Roll-Up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Model'!$C$85:$M$85,$A50+1))-Assumptions!$B$73*MAX(0,((INDEX('Roll-Up Model'!$C$40:$M$40,$A50+1)*(Assumptions!$B$16*(1-INDEX('Roll-Up Model'!$C$32:$M$32,$A50+1))+$B50*INDEX('Roll-Up Model'!$C$32:$M$32,$A50+1))+INDEX(Synergies!$C$27:$M$27,$A50+1)*$B50*Assumptions!$B$75*Assumptions!$B$18)*(1-Assumptions!$B$74)-INDEX('Roll-Up Model'!$C$85:$M$85,$A50+1))-INDEX('Roll-Up Model'!$C$97:$M$97,$A50+1)))*INDEX('Roll-Up Model'!$C$101:$M$101,$A50+1)),0)</f>
        <v>0</v>
      </c>
    </row>
    <row r="51" customFormat="false" ht="15" hidden="false" customHeight="true" outlineLevel="0" collapsed="false">
      <c r="A51" s="19" t="n">
        <f aca="false">A7</f>
        <v>6</v>
      </c>
      <c r="B51" s="45" t="n">
        <f aca="false">G$5</f>
        <v>20</v>
      </c>
      <c r="I51" s="25" t="n">
        <f aca="false">IF(0&lt;=$A51,-'Roll-Up Model'!C63+0,0)+IF(0=$A51,MAX(0,(((INDEX('Roll-Up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-2.9705</v>
      </c>
      <c r="J51" s="25" t="n">
        <f aca="false">IF(1&lt;=$A51,-'Roll-Up Model'!D63+'Roll-Up Model'!D102,0)+IF(1=$A51,MAX(0,(((INDEX('Roll-Up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-1.592193828125</v>
      </c>
      <c r="K51" s="25" t="n">
        <f aca="false">IF(2&lt;=$A51,-'Roll-Up Model'!E63+'Roll-Up Model'!E102,0)+IF(2=$A51,MAX(0,(((INDEX('Roll-Up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-2.38796039254032</v>
      </c>
      <c r="L51" s="25" t="n">
        <f aca="false">IF(3&lt;=$A51,-'Roll-Up Model'!F63+'Roll-Up Model'!F102,0)+IF(3=$A51,MAX(0,(((INDEX('Roll-Up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-2.01509332379157</v>
      </c>
      <c r="M51" s="25" t="n">
        <f aca="false">IF(4&lt;=$A51,-'Roll-Up Model'!G63+'Roll-Up Model'!G102,0)+IF(4=$A51,MAX(0,(((INDEX('Roll-Up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-1.75689696</v>
      </c>
      <c r="N51" s="25" t="n">
        <f aca="false">IF(5&lt;=$A51,-'Roll-Up Model'!H63+'Roll-Up Model'!H102,0)+IF(5=$A51,MAX(0,(((INDEX('Roll-Up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0.0123349572227498</v>
      </c>
      <c r="O51" s="25" t="n">
        <f aca="false">IF(6&lt;=$A51,-'Roll-Up Model'!I63+'Roll-Up Model'!I102,0)+IF(6=$A51,MAX(0,(((INDEX('Roll-Up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192.719387544789</v>
      </c>
      <c r="P51" s="25" t="n">
        <f aca="false">IF(7&lt;=$A51,-'Roll-Up Model'!J63+'Roll-Up Model'!J102,0)+IF(7=$A51,MAX(0,(((INDEX('Roll-Up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0</v>
      </c>
      <c r="Q51" s="25" t="n">
        <f aca="false">IF(8&lt;=$A51,-'Roll-Up Model'!K63+'Roll-Up Model'!K102,0)+IF(8=$A51,MAX(0,(((INDEX('Roll-Up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0</v>
      </c>
      <c r="R51" s="25" t="n">
        <f aca="false">IF(9&lt;=$A51,-'Roll-Up Model'!L63+'Roll-Up Model'!L102,0)+IF(9=$A51,MAX(0,(((INDEX('Roll-Up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0</v>
      </c>
      <c r="S51" s="25" t="n">
        <f aca="false">IF(10&lt;=$A51,-'Roll-Up Model'!M63+'Roll-Up Model'!M102,0)+IF(10=$A51,MAX(0,(((INDEX('Roll-Up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Model'!$C$85:$M$85,$A51+1))-Assumptions!$B$73*MAX(0,((INDEX('Roll-Up Model'!$C$40:$M$40,$A51+1)*(Assumptions!$B$16*(1-INDEX('Roll-Up Model'!$C$32:$M$32,$A51+1))+$B51*INDEX('Roll-Up Model'!$C$32:$M$32,$A51+1))+INDEX(Synergies!$C$27:$M$27,$A51+1)*$B51*Assumptions!$B$75*Assumptions!$B$18)*(1-Assumptions!$B$74)-INDEX('Roll-Up Model'!$C$85:$M$85,$A51+1))-INDEX('Roll-Up Model'!$C$97:$M$97,$A51+1)))*INDEX('Roll-Up Model'!$C$101:$M$101,$A51+1)),0)</f>
        <v>0</v>
      </c>
    </row>
    <row r="52" customFormat="false" ht="15" hidden="false" customHeight="true" outlineLevel="0" collapsed="false">
      <c r="A52" s="19" t="n">
        <f aca="false">A8</f>
        <v>7</v>
      </c>
      <c r="B52" s="45" t="n">
        <f aca="false">B$5</f>
        <v>12</v>
      </c>
      <c r="I52" s="25" t="n">
        <f aca="false">IF(0&lt;=$A52,-'Roll-Up Model'!C63+0,0)+IF(0=$A52,MAX(0,(((INDEX('Roll-Up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-2.9705</v>
      </c>
      <c r="J52" s="25" t="n">
        <f aca="false">IF(1&lt;=$A52,-'Roll-Up Model'!D63+'Roll-Up Model'!D102,0)+IF(1=$A52,MAX(0,(((INDEX('Roll-Up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-1.592193828125</v>
      </c>
      <c r="K52" s="25" t="n">
        <f aca="false">IF(2&lt;=$A52,-'Roll-Up Model'!E63+'Roll-Up Model'!E102,0)+IF(2=$A52,MAX(0,(((INDEX('Roll-Up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-2.38796039254032</v>
      </c>
      <c r="L52" s="25" t="n">
        <f aca="false">IF(3&lt;=$A52,-'Roll-Up Model'!F63+'Roll-Up Model'!F102,0)+IF(3=$A52,MAX(0,(((INDEX('Roll-Up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-2.01509332379157</v>
      </c>
      <c r="M52" s="25" t="n">
        <f aca="false">IF(4&lt;=$A52,-'Roll-Up Model'!G63+'Roll-Up Model'!G102,0)+IF(4=$A52,MAX(0,(((INDEX('Roll-Up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-1.75689696</v>
      </c>
      <c r="N52" s="25" t="n">
        <f aca="false">IF(5&lt;=$A52,-'Roll-Up Model'!H63+'Roll-Up Model'!H102,0)+IF(5=$A52,MAX(0,(((INDEX('Roll-Up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0.0123349572227498</v>
      </c>
      <c r="O52" s="25" t="n">
        <f aca="false">IF(6&lt;=$A52,-'Roll-Up Model'!I63+'Roll-Up Model'!I102,0)+IF(6=$A52,MAX(0,(((INDEX('Roll-Up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3.82557750436995</v>
      </c>
      <c r="P52" s="25" t="n">
        <f aca="false">IF(7&lt;=$A52,-'Roll-Up Model'!J63+'Roll-Up Model'!J102,0)+IF(7=$A52,MAX(0,(((INDEX('Roll-Up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172.149892853212</v>
      </c>
      <c r="Q52" s="25" t="n">
        <f aca="false">IF(8&lt;=$A52,-'Roll-Up Model'!K63+'Roll-Up Model'!K102,0)+IF(8=$A52,MAX(0,(((INDEX('Roll-Up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0</v>
      </c>
      <c r="R52" s="25" t="n">
        <f aca="false">IF(9&lt;=$A52,-'Roll-Up Model'!L63+'Roll-Up Model'!L102,0)+IF(9=$A52,MAX(0,(((INDEX('Roll-Up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0</v>
      </c>
      <c r="S52" s="25" t="n">
        <f aca="false">IF(10&lt;=$A52,-'Roll-Up Model'!M63+'Roll-Up Model'!M102,0)+IF(10=$A52,MAX(0,(((INDEX('Roll-Up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Model'!$C$85:$M$85,$A52+1))-Assumptions!$B$73*MAX(0,((INDEX('Roll-Up Model'!$C$40:$M$40,$A52+1)*(Assumptions!$B$16*(1-INDEX('Roll-Up Model'!$C$32:$M$32,$A52+1))+$B52*INDEX('Roll-Up Model'!$C$32:$M$32,$A52+1))+INDEX(Synergies!$C$27:$M$27,$A52+1)*$B52*Assumptions!$B$75*Assumptions!$B$18)*(1-Assumptions!$B$74)-INDEX('Roll-Up Model'!$C$85:$M$85,$A52+1))-INDEX('Roll-Up Model'!$C$97:$M$97,$A52+1)))*INDEX('Roll-Up Model'!$C$101:$M$101,$A52+1)),0)</f>
        <v>0</v>
      </c>
    </row>
    <row r="53" customFormat="false" ht="15" hidden="false" customHeight="true" outlineLevel="0" collapsed="false">
      <c r="A53" s="19" t="n">
        <f aca="false">A8</f>
        <v>7</v>
      </c>
      <c r="B53" s="45" t="n">
        <f aca="false">C$5</f>
        <v>14</v>
      </c>
      <c r="I53" s="25" t="n">
        <f aca="false">IF(0&lt;=$A53,-'Roll-Up Model'!C63+0,0)+IF(0=$A53,MAX(0,(((INDEX('Roll-Up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-2.9705</v>
      </c>
      <c r="J53" s="25" t="n">
        <f aca="false">IF(1&lt;=$A53,-'Roll-Up Model'!D63+'Roll-Up Model'!D102,0)+IF(1=$A53,MAX(0,(((INDEX('Roll-Up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-1.592193828125</v>
      </c>
      <c r="K53" s="25" t="n">
        <f aca="false">IF(2&lt;=$A53,-'Roll-Up Model'!E63+'Roll-Up Model'!E102,0)+IF(2=$A53,MAX(0,(((INDEX('Roll-Up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-2.38796039254032</v>
      </c>
      <c r="L53" s="25" t="n">
        <f aca="false">IF(3&lt;=$A53,-'Roll-Up Model'!F63+'Roll-Up Model'!F102,0)+IF(3=$A53,MAX(0,(((INDEX('Roll-Up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-2.01509332379157</v>
      </c>
      <c r="M53" s="25" t="n">
        <f aca="false">IF(4&lt;=$A53,-'Roll-Up Model'!G63+'Roll-Up Model'!G102,0)+IF(4=$A53,MAX(0,(((INDEX('Roll-Up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-1.75689696</v>
      </c>
      <c r="N53" s="25" t="n">
        <f aca="false">IF(5&lt;=$A53,-'Roll-Up Model'!H63+'Roll-Up Model'!H102,0)+IF(5=$A53,MAX(0,(((INDEX('Roll-Up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0.0123349572227498</v>
      </c>
      <c r="O53" s="25" t="n">
        <f aca="false">IF(6&lt;=$A53,-'Roll-Up Model'!I63+'Roll-Up Model'!I102,0)+IF(6=$A53,MAX(0,(((INDEX('Roll-Up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3.82557750436995</v>
      </c>
      <c r="P53" s="25" t="n">
        <f aca="false">IF(7&lt;=$A53,-'Roll-Up Model'!J63+'Roll-Up Model'!J102,0)+IF(7=$A53,MAX(0,(((INDEX('Roll-Up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187.695462548554</v>
      </c>
      <c r="Q53" s="25" t="n">
        <f aca="false">IF(8&lt;=$A53,-'Roll-Up Model'!K63+'Roll-Up Model'!K102,0)+IF(8=$A53,MAX(0,(((INDEX('Roll-Up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0</v>
      </c>
      <c r="R53" s="25" t="n">
        <f aca="false">IF(9&lt;=$A53,-'Roll-Up Model'!L63+'Roll-Up Model'!L102,0)+IF(9=$A53,MAX(0,(((INDEX('Roll-Up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0</v>
      </c>
      <c r="S53" s="25" t="n">
        <f aca="false">IF(10&lt;=$A53,-'Roll-Up Model'!M63+'Roll-Up Model'!M102,0)+IF(10=$A53,MAX(0,(((INDEX('Roll-Up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Model'!$C$85:$M$85,$A53+1))-Assumptions!$B$73*MAX(0,((INDEX('Roll-Up Model'!$C$40:$M$40,$A53+1)*(Assumptions!$B$16*(1-INDEX('Roll-Up Model'!$C$32:$M$32,$A53+1))+$B53*INDEX('Roll-Up Model'!$C$32:$M$32,$A53+1))+INDEX(Synergies!$C$27:$M$27,$A53+1)*$B53*Assumptions!$B$75*Assumptions!$B$18)*(1-Assumptions!$B$74)-INDEX('Roll-Up Model'!$C$85:$M$85,$A53+1))-INDEX('Roll-Up Model'!$C$97:$M$97,$A53+1)))*INDEX('Roll-Up Model'!$C$101:$M$101,$A53+1)),0)</f>
        <v>0</v>
      </c>
    </row>
    <row r="54" customFormat="false" ht="15" hidden="false" customHeight="true" outlineLevel="0" collapsed="false">
      <c r="A54" s="19" t="n">
        <f aca="false">A8</f>
        <v>7</v>
      </c>
      <c r="B54" s="45" t="n">
        <f aca="false">D$5</f>
        <v>15</v>
      </c>
      <c r="I54" s="25" t="n">
        <f aca="false">IF(0&lt;=$A54,-'Roll-Up Model'!C63+0,0)+IF(0=$A54,MAX(0,(((INDEX('Roll-Up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-2.9705</v>
      </c>
      <c r="J54" s="25" t="n">
        <f aca="false">IF(1&lt;=$A54,-'Roll-Up Model'!D63+'Roll-Up Model'!D102,0)+IF(1=$A54,MAX(0,(((INDEX('Roll-Up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-1.592193828125</v>
      </c>
      <c r="K54" s="25" t="n">
        <f aca="false">IF(2&lt;=$A54,-'Roll-Up Model'!E63+'Roll-Up Model'!E102,0)+IF(2=$A54,MAX(0,(((INDEX('Roll-Up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-2.38796039254032</v>
      </c>
      <c r="L54" s="25" t="n">
        <f aca="false">IF(3&lt;=$A54,-'Roll-Up Model'!F63+'Roll-Up Model'!F102,0)+IF(3=$A54,MAX(0,(((INDEX('Roll-Up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-2.01509332379157</v>
      </c>
      <c r="M54" s="25" t="n">
        <f aca="false">IF(4&lt;=$A54,-'Roll-Up Model'!G63+'Roll-Up Model'!G102,0)+IF(4=$A54,MAX(0,(((INDEX('Roll-Up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-1.75689696</v>
      </c>
      <c r="N54" s="25" t="n">
        <f aca="false">IF(5&lt;=$A54,-'Roll-Up Model'!H63+'Roll-Up Model'!H102,0)+IF(5=$A54,MAX(0,(((INDEX('Roll-Up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0.0123349572227498</v>
      </c>
      <c r="O54" s="25" t="n">
        <f aca="false">IF(6&lt;=$A54,-'Roll-Up Model'!I63+'Roll-Up Model'!I102,0)+IF(6=$A54,MAX(0,(((INDEX('Roll-Up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3.82557750436995</v>
      </c>
      <c r="P54" s="25" t="n">
        <f aca="false">IF(7&lt;=$A54,-'Roll-Up Model'!J63+'Roll-Up Model'!J102,0)+IF(7=$A54,MAX(0,(((INDEX('Roll-Up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195.468247396225</v>
      </c>
      <c r="Q54" s="25" t="n">
        <f aca="false">IF(8&lt;=$A54,-'Roll-Up Model'!K63+'Roll-Up Model'!K102,0)+IF(8=$A54,MAX(0,(((INDEX('Roll-Up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0</v>
      </c>
      <c r="R54" s="25" t="n">
        <f aca="false">IF(9&lt;=$A54,-'Roll-Up Model'!L63+'Roll-Up Model'!L102,0)+IF(9=$A54,MAX(0,(((INDEX('Roll-Up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0</v>
      </c>
      <c r="S54" s="25" t="n">
        <f aca="false">IF(10&lt;=$A54,-'Roll-Up Model'!M63+'Roll-Up Model'!M102,0)+IF(10=$A54,MAX(0,(((INDEX('Roll-Up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Model'!$C$85:$M$85,$A54+1))-Assumptions!$B$73*MAX(0,((INDEX('Roll-Up Model'!$C$40:$M$40,$A54+1)*(Assumptions!$B$16*(1-INDEX('Roll-Up Model'!$C$32:$M$32,$A54+1))+$B54*INDEX('Roll-Up Model'!$C$32:$M$32,$A54+1))+INDEX(Synergies!$C$27:$M$27,$A54+1)*$B54*Assumptions!$B$75*Assumptions!$B$18)*(1-Assumptions!$B$74)-INDEX('Roll-Up Model'!$C$85:$M$85,$A54+1))-INDEX('Roll-Up Model'!$C$97:$M$97,$A54+1)))*INDEX('Roll-Up Model'!$C$101:$M$101,$A54+1)),0)</f>
        <v>0</v>
      </c>
    </row>
    <row r="55" customFormat="false" ht="15" hidden="false" customHeight="true" outlineLevel="0" collapsed="false">
      <c r="A55" s="19" t="n">
        <f aca="false">A8</f>
        <v>7</v>
      </c>
      <c r="B55" s="45" t="n">
        <f aca="false">E$5</f>
        <v>16</v>
      </c>
      <c r="I55" s="25" t="n">
        <f aca="false">IF(0&lt;=$A55,-'Roll-Up Model'!C63+0,0)+IF(0=$A55,MAX(0,(((INDEX('Roll-Up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-2.9705</v>
      </c>
      <c r="J55" s="25" t="n">
        <f aca="false">IF(1&lt;=$A55,-'Roll-Up Model'!D63+'Roll-Up Model'!D102,0)+IF(1=$A55,MAX(0,(((INDEX('Roll-Up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-1.592193828125</v>
      </c>
      <c r="K55" s="25" t="n">
        <f aca="false">IF(2&lt;=$A55,-'Roll-Up Model'!E63+'Roll-Up Model'!E102,0)+IF(2=$A55,MAX(0,(((INDEX('Roll-Up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-2.38796039254032</v>
      </c>
      <c r="L55" s="25" t="n">
        <f aca="false">IF(3&lt;=$A55,-'Roll-Up Model'!F63+'Roll-Up Model'!F102,0)+IF(3=$A55,MAX(0,(((INDEX('Roll-Up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-2.01509332379157</v>
      </c>
      <c r="M55" s="25" t="n">
        <f aca="false">IF(4&lt;=$A55,-'Roll-Up Model'!G63+'Roll-Up Model'!G102,0)+IF(4=$A55,MAX(0,(((INDEX('Roll-Up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-1.75689696</v>
      </c>
      <c r="N55" s="25" t="n">
        <f aca="false">IF(5&lt;=$A55,-'Roll-Up Model'!H63+'Roll-Up Model'!H102,0)+IF(5=$A55,MAX(0,(((INDEX('Roll-Up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0.0123349572227498</v>
      </c>
      <c r="O55" s="25" t="n">
        <f aca="false">IF(6&lt;=$A55,-'Roll-Up Model'!I63+'Roll-Up Model'!I102,0)+IF(6=$A55,MAX(0,(((INDEX('Roll-Up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3.82557750436995</v>
      </c>
      <c r="P55" s="25" t="n">
        <f aca="false">IF(7&lt;=$A55,-'Roll-Up Model'!J63+'Roll-Up Model'!J102,0)+IF(7=$A55,MAX(0,(((INDEX('Roll-Up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203.241032243897</v>
      </c>
      <c r="Q55" s="25" t="n">
        <f aca="false">IF(8&lt;=$A55,-'Roll-Up Model'!K63+'Roll-Up Model'!K102,0)+IF(8=$A55,MAX(0,(((INDEX('Roll-Up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0</v>
      </c>
      <c r="R55" s="25" t="n">
        <f aca="false">IF(9&lt;=$A55,-'Roll-Up Model'!L63+'Roll-Up Model'!L102,0)+IF(9=$A55,MAX(0,(((INDEX('Roll-Up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0</v>
      </c>
      <c r="S55" s="25" t="n">
        <f aca="false">IF(10&lt;=$A55,-'Roll-Up Model'!M63+'Roll-Up Model'!M102,0)+IF(10=$A55,MAX(0,(((INDEX('Roll-Up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Model'!$C$85:$M$85,$A55+1))-Assumptions!$B$73*MAX(0,((INDEX('Roll-Up Model'!$C$40:$M$40,$A55+1)*(Assumptions!$B$16*(1-INDEX('Roll-Up Model'!$C$32:$M$32,$A55+1))+$B55*INDEX('Roll-Up Model'!$C$32:$M$32,$A55+1))+INDEX(Synergies!$C$27:$M$27,$A55+1)*$B55*Assumptions!$B$75*Assumptions!$B$18)*(1-Assumptions!$B$74)-INDEX('Roll-Up Model'!$C$85:$M$85,$A55+1))-INDEX('Roll-Up Model'!$C$97:$M$97,$A55+1)))*INDEX('Roll-Up Model'!$C$101:$M$101,$A55+1)),0)</f>
        <v>0</v>
      </c>
    </row>
    <row r="56" customFormat="false" ht="15" hidden="false" customHeight="true" outlineLevel="0" collapsed="false">
      <c r="A56" s="19" t="n">
        <f aca="false">A8</f>
        <v>7</v>
      </c>
      <c r="B56" s="45" t="n">
        <f aca="false">F$5</f>
        <v>18</v>
      </c>
      <c r="I56" s="25" t="n">
        <f aca="false">IF(0&lt;=$A56,-'Roll-Up Model'!C63+0,0)+IF(0=$A56,MAX(0,(((INDEX('Roll-Up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-2.9705</v>
      </c>
      <c r="J56" s="25" t="n">
        <f aca="false">IF(1&lt;=$A56,-'Roll-Up Model'!D63+'Roll-Up Model'!D102,0)+IF(1=$A56,MAX(0,(((INDEX('Roll-Up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-1.592193828125</v>
      </c>
      <c r="K56" s="25" t="n">
        <f aca="false">IF(2&lt;=$A56,-'Roll-Up Model'!E63+'Roll-Up Model'!E102,0)+IF(2=$A56,MAX(0,(((INDEX('Roll-Up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-2.38796039254032</v>
      </c>
      <c r="L56" s="25" t="n">
        <f aca="false">IF(3&lt;=$A56,-'Roll-Up Model'!F63+'Roll-Up Model'!F102,0)+IF(3=$A56,MAX(0,(((INDEX('Roll-Up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-2.01509332379157</v>
      </c>
      <c r="M56" s="25" t="n">
        <f aca="false">IF(4&lt;=$A56,-'Roll-Up Model'!G63+'Roll-Up Model'!G102,0)+IF(4=$A56,MAX(0,(((INDEX('Roll-Up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-1.75689696</v>
      </c>
      <c r="N56" s="25" t="n">
        <f aca="false">IF(5&lt;=$A56,-'Roll-Up Model'!H63+'Roll-Up Model'!H102,0)+IF(5=$A56,MAX(0,(((INDEX('Roll-Up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0.0123349572227498</v>
      </c>
      <c r="O56" s="25" t="n">
        <f aca="false">IF(6&lt;=$A56,-'Roll-Up Model'!I63+'Roll-Up Model'!I102,0)+IF(6=$A56,MAX(0,(((INDEX('Roll-Up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3.82557750436995</v>
      </c>
      <c r="P56" s="25" t="n">
        <f aca="false">IF(7&lt;=$A56,-'Roll-Up Model'!J63+'Roll-Up Model'!J102,0)+IF(7=$A56,MAX(0,(((INDEX('Roll-Up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218.786601939239</v>
      </c>
      <c r="Q56" s="25" t="n">
        <f aca="false">IF(8&lt;=$A56,-'Roll-Up Model'!K63+'Roll-Up Model'!K102,0)+IF(8=$A56,MAX(0,(((INDEX('Roll-Up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0</v>
      </c>
      <c r="R56" s="25" t="n">
        <f aca="false">IF(9&lt;=$A56,-'Roll-Up Model'!L63+'Roll-Up Model'!L102,0)+IF(9=$A56,MAX(0,(((INDEX('Roll-Up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0</v>
      </c>
      <c r="S56" s="25" t="n">
        <f aca="false">IF(10&lt;=$A56,-'Roll-Up Model'!M63+'Roll-Up Model'!M102,0)+IF(10=$A56,MAX(0,(((INDEX('Roll-Up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Model'!$C$85:$M$85,$A56+1))-Assumptions!$B$73*MAX(0,((INDEX('Roll-Up Model'!$C$40:$M$40,$A56+1)*(Assumptions!$B$16*(1-INDEX('Roll-Up Model'!$C$32:$M$32,$A56+1))+$B56*INDEX('Roll-Up Model'!$C$32:$M$32,$A56+1))+INDEX(Synergies!$C$27:$M$27,$A56+1)*$B56*Assumptions!$B$75*Assumptions!$B$18)*(1-Assumptions!$B$74)-INDEX('Roll-Up Model'!$C$85:$M$85,$A56+1))-INDEX('Roll-Up Model'!$C$97:$M$97,$A56+1)))*INDEX('Roll-Up Model'!$C$101:$M$101,$A56+1)),0)</f>
        <v>0</v>
      </c>
    </row>
    <row r="57" customFormat="false" ht="15" hidden="false" customHeight="true" outlineLevel="0" collapsed="false">
      <c r="A57" s="19" t="n">
        <f aca="false">A8</f>
        <v>7</v>
      </c>
      <c r="B57" s="45" t="n">
        <f aca="false">G$5</f>
        <v>20</v>
      </c>
      <c r="I57" s="25" t="n">
        <f aca="false">IF(0&lt;=$A57,-'Roll-Up Model'!C63+0,0)+IF(0=$A57,MAX(0,(((INDEX('Roll-Up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-2.9705</v>
      </c>
      <c r="J57" s="25" t="n">
        <f aca="false">IF(1&lt;=$A57,-'Roll-Up Model'!D63+'Roll-Up Model'!D102,0)+IF(1=$A57,MAX(0,(((INDEX('Roll-Up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-1.592193828125</v>
      </c>
      <c r="K57" s="25" t="n">
        <f aca="false">IF(2&lt;=$A57,-'Roll-Up Model'!E63+'Roll-Up Model'!E102,0)+IF(2=$A57,MAX(0,(((INDEX('Roll-Up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-2.38796039254032</v>
      </c>
      <c r="L57" s="25" t="n">
        <f aca="false">IF(3&lt;=$A57,-'Roll-Up Model'!F63+'Roll-Up Model'!F102,0)+IF(3=$A57,MAX(0,(((INDEX('Roll-Up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-2.01509332379157</v>
      </c>
      <c r="M57" s="25" t="n">
        <f aca="false">IF(4&lt;=$A57,-'Roll-Up Model'!G63+'Roll-Up Model'!G102,0)+IF(4=$A57,MAX(0,(((INDEX('Roll-Up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-1.75689696</v>
      </c>
      <c r="N57" s="25" t="n">
        <f aca="false">IF(5&lt;=$A57,-'Roll-Up Model'!H63+'Roll-Up Model'!H102,0)+IF(5=$A57,MAX(0,(((INDEX('Roll-Up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0.0123349572227498</v>
      </c>
      <c r="O57" s="25" t="n">
        <f aca="false">IF(6&lt;=$A57,-'Roll-Up Model'!I63+'Roll-Up Model'!I102,0)+IF(6=$A57,MAX(0,(((INDEX('Roll-Up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3.82557750436995</v>
      </c>
      <c r="P57" s="25" t="n">
        <f aca="false">IF(7&lt;=$A57,-'Roll-Up Model'!J63+'Roll-Up Model'!J102,0)+IF(7=$A57,MAX(0,(((INDEX('Roll-Up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234.332171634582</v>
      </c>
      <c r="Q57" s="25" t="n">
        <f aca="false">IF(8&lt;=$A57,-'Roll-Up Model'!K63+'Roll-Up Model'!K102,0)+IF(8=$A57,MAX(0,(((INDEX('Roll-Up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0</v>
      </c>
      <c r="R57" s="25" t="n">
        <f aca="false">IF(9&lt;=$A57,-'Roll-Up Model'!L63+'Roll-Up Model'!L102,0)+IF(9=$A57,MAX(0,(((INDEX('Roll-Up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0</v>
      </c>
      <c r="S57" s="25" t="n">
        <f aca="false">IF(10&lt;=$A57,-'Roll-Up Model'!M63+'Roll-Up Model'!M102,0)+IF(10=$A57,MAX(0,(((INDEX('Roll-Up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Model'!$C$85:$M$85,$A57+1))-Assumptions!$B$73*MAX(0,((INDEX('Roll-Up Model'!$C$40:$M$40,$A57+1)*(Assumptions!$B$16*(1-INDEX('Roll-Up Model'!$C$32:$M$32,$A57+1))+$B57*INDEX('Roll-Up Model'!$C$32:$M$32,$A57+1))+INDEX(Synergies!$C$27:$M$27,$A57+1)*$B57*Assumptions!$B$75*Assumptions!$B$18)*(1-Assumptions!$B$74)-INDEX('Roll-Up Model'!$C$85:$M$85,$A57+1))-INDEX('Roll-Up Model'!$C$97:$M$97,$A57+1)))*INDEX('Roll-Up Model'!$C$101:$M$101,$A57+1)),0)</f>
        <v>0</v>
      </c>
    </row>
    <row r="58" customFormat="false" ht="15" hidden="false" customHeight="true" outlineLevel="0" collapsed="false">
      <c r="A58" s="19" t="n">
        <f aca="false">A9</f>
        <v>8</v>
      </c>
      <c r="B58" s="45" t="n">
        <f aca="false">B$5</f>
        <v>12</v>
      </c>
      <c r="I58" s="25" t="n">
        <f aca="false">IF(0&lt;=$A58,-'Roll-Up Model'!C63+0,0)+IF(0=$A58,MAX(0,(((INDEX('Roll-Up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-2.9705</v>
      </c>
      <c r="J58" s="25" t="n">
        <f aca="false">IF(1&lt;=$A58,-'Roll-Up Model'!D63+'Roll-Up Model'!D102,0)+IF(1=$A58,MAX(0,(((INDEX('Roll-Up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-1.592193828125</v>
      </c>
      <c r="K58" s="25" t="n">
        <f aca="false">IF(2&lt;=$A58,-'Roll-Up Model'!E63+'Roll-Up Model'!E102,0)+IF(2=$A58,MAX(0,(((INDEX('Roll-Up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-2.38796039254032</v>
      </c>
      <c r="L58" s="25" t="n">
        <f aca="false">IF(3&lt;=$A58,-'Roll-Up Model'!F63+'Roll-Up Model'!F102,0)+IF(3=$A58,MAX(0,(((INDEX('Roll-Up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-2.01509332379157</v>
      </c>
      <c r="M58" s="25" t="n">
        <f aca="false">IF(4&lt;=$A58,-'Roll-Up Model'!G63+'Roll-Up Model'!G102,0)+IF(4=$A58,MAX(0,(((INDEX('Roll-Up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-1.75689696</v>
      </c>
      <c r="N58" s="25" t="n">
        <f aca="false">IF(5&lt;=$A58,-'Roll-Up Model'!H63+'Roll-Up Model'!H102,0)+IF(5=$A58,MAX(0,(((INDEX('Roll-Up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0.0123349572227498</v>
      </c>
      <c r="O58" s="25" t="n">
        <f aca="false">IF(6&lt;=$A58,-'Roll-Up Model'!I63+'Roll-Up Model'!I102,0)+IF(6=$A58,MAX(0,(((INDEX('Roll-Up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3.82557750436995</v>
      </c>
      <c r="P58" s="25" t="n">
        <f aca="false">IF(7&lt;=$A58,-'Roll-Up Model'!J63+'Roll-Up Model'!J102,0)+IF(7=$A58,MAX(0,(((INDEX('Roll-Up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5.44974029150854</v>
      </c>
      <c r="Q58" s="25" t="n">
        <f aca="false">IF(8&lt;=$A58,-'Roll-Up Model'!K63+'Roll-Up Model'!K102,0)+IF(8=$A58,MAX(0,(((INDEX('Roll-Up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201.404195029177</v>
      </c>
      <c r="R58" s="25" t="n">
        <f aca="false">IF(9&lt;=$A58,-'Roll-Up Model'!L63+'Roll-Up Model'!L102,0)+IF(9=$A58,MAX(0,(((INDEX('Roll-Up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0</v>
      </c>
      <c r="S58" s="25" t="n">
        <f aca="false">IF(10&lt;=$A58,-'Roll-Up Model'!M63+'Roll-Up Model'!M102,0)+IF(10=$A58,MAX(0,(((INDEX('Roll-Up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Model'!$C$85:$M$85,$A58+1))-Assumptions!$B$73*MAX(0,((INDEX('Roll-Up Model'!$C$40:$M$40,$A58+1)*(Assumptions!$B$16*(1-INDEX('Roll-Up Model'!$C$32:$M$32,$A58+1))+$B58*INDEX('Roll-Up Model'!$C$32:$M$32,$A58+1))+INDEX(Synergies!$C$27:$M$27,$A58+1)*$B58*Assumptions!$B$75*Assumptions!$B$18)*(1-Assumptions!$B$74)-INDEX('Roll-Up Model'!$C$85:$M$85,$A58+1))-INDEX('Roll-Up Model'!$C$97:$M$97,$A58+1)))*INDEX('Roll-Up Model'!$C$101:$M$101,$A58+1)),0)</f>
        <v>0</v>
      </c>
    </row>
    <row r="59" customFormat="false" ht="15" hidden="false" customHeight="true" outlineLevel="0" collapsed="false">
      <c r="A59" s="19" t="n">
        <f aca="false">A9</f>
        <v>8</v>
      </c>
      <c r="B59" s="45" t="n">
        <f aca="false">C$5</f>
        <v>14</v>
      </c>
      <c r="I59" s="25" t="n">
        <f aca="false">IF(0&lt;=$A59,-'Roll-Up Model'!C63+0,0)+IF(0=$A59,MAX(0,(((INDEX('Roll-Up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-2.9705</v>
      </c>
      <c r="J59" s="25" t="n">
        <f aca="false">IF(1&lt;=$A59,-'Roll-Up Model'!D63+'Roll-Up Model'!D102,0)+IF(1=$A59,MAX(0,(((INDEX('Roll-Up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-1.592193828125</v>
      </c>
      <c r="K59" s="25" t="n">
        <f aca="false">IF(2&lt;=$A59,-'Roll-Up Model'!E63+'Roll-Up Model'!E102,0)+IF(2=$A59,MAX(0,(((INDEX('Roll-Up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-2.38796039254032</v>
      </c>
      <c r="L59" s="25" t="n">
        <f aca="false">IF(3&lt;=$A59,-'Roll-Up Model'!F63+'Roll-Up Model'!F102,0)+IF(3=$A59,MAX(0,(((INDEX('Roll-Up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-2.01509332379157</v>
      </c>
      <c r="M59" s="25" t="n">
        <f aca="false">IF(4&lt;=$A59,-'Roll-Up Model'!G63+'Roll-Up Model'!G102,0)+IF(4=$A59,MAX(0,(((INDEX('Roll-Up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-1.75689696</v>
      </c>
      <c r="N59" s="25" t="n">
        <f aca="false">IF(5&lt;=$A59,-'Roll-Up Model'!H63+'Roll-Up Model'!H102,0)+IF(5=$A59,MAX(0,(((INDEX('Roll-Up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0.0123349572227498</v>
      </c>
      <c r="O59" s="25" t="n">
        <f aca="false">IF(6&lt;=$A59,-'Roll-Up Model'!I63+'Roll-Up Model'!I102,0)+IF(6=$A59,MAX(0,(((INDEX('Roll-Up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3.82557750436995</v>
      </c>
      <c r="P59" s="25" t="n">
        <f aca="false">IF(7&lt;=$A59,-'Roll-Up Model'!J63+'Roll-Up Model'!J102,0)+IF(7=$A59,MAX(0,(((INDEX('Roll-Up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5.44974029150854</v>
      </c>
      <c r="Q59" s="25" t="n">
        <f aca="false">IF(8&lt;=$A59,-'Roll-Up Model'!K63+'Roll-Up Model'!K102,0)+IF(8=$A59,MAX(0,(((INDEX('Roll-Up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219.48282230774</v>
      </c>
      <c r="R59" s="25" t="n">
        <f aca="false">IF(9&lt;=$A59,-'Roll-Up Model'!L63+'Roll-Up Model'!L102,0)+IF(9=$A59,MAX(0,(((INDEX('Roll-Up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0</v>
      </c>
      <c r="S59" s="25" t="n">
        <f aca="false">IF(10&lt;=$A59,-'Roll-Up Model'!M63+'Roll-Up Model'!M102,0)+IF(10=$A59,MAX(0,(((INDEX('Roll-Up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Model'!$C$85:$M$85,$A59+1))-Assumptions!$B$73*MAX(0,((INDEX('Roll-Up Model'!$C$40:$M$40,$A59+1)*(Assumptions!$B$16*(1-INDEX('Roll-Up Model'!$C$32:$M$32,$A59+1))+$B59*INDEX('Roll-Up Model'!$C$32:$M$32,$A59+1))+INDEX(Synergies!$C$27:$M$27,$A59+1)*$B59*Assumptions!$B$75*Assumptions!$B$18)*(1-Assumptions!$B$74)-INDEX('Roll-Up Model'!$C$85:$M$85,$A59+1))-INDEX('Roll-Up Model'!$C$97:$M$97,$A59+1)))*INDEX('Roll-Up Model'!$C$101:$M$101,$A59+1)),0)</f>
        <v>0</v>
      </c>
    </row>
    <row r="60" customFormat="false" ht="15" hidden="false" customHeight="true" outlineLevel="0" collapsed="false">
      <c r="A60" s="19" t="n">
        <f aca="false">A9</f>
        <v>8</v>
      </c>
      <c r="B60" s="45" t="n">
        <f aca="false">D$5</f>
        <v>15</v>
      </c>
      <c r="I60" s="25" t="n">
        <f aca="false">IF(0&lt;=$A60,-'Roll-Up Model'!C63+0,0)+IF(0=$A60,MAX(0,(((INDEX('Roll-Up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-2.9705</v>
      </c>
      <c r="J60" s="25" t="n">
        <f aca="false">IF(1&lt;=$A60,-'Roll-Up Model'!D63+'Roll-Up Model'!D102,0)+IF(1=$A60,MAX(0,(((INDEX('Roll-Up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-1.592193828125</v>
      </c>
      <c r="K60" s="25" t="n">
        <f aca="false">IF(2&lt;=$A60,-'Roll-Up Model'!E63+'Roll-Up Model'!E102,0)+IF(2=$A60,MAX(0,(((INDEX('Roll-Up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-2.38796039254032</v>
      </c>
      <c r="L60" s="25" t="n">
        <f aca="false">IF(3&lt;=$A60,-'Roll-Up Model'!F63+'Roll-Up Model'!F102,0)+IF(3=$A60,MAX(0,(((INDEX('Roll-Up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-2.01509332379157</v>
      </c>
      <c r="M60" s="25" t="n">
        <f aca="false">IF(4&lt;=$A60,-'Roll-Up Model'!G63+'Roll-Up Model'!G102,0)+IF(4=$A60,MAX(0,(((INDEX('Roll-Up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-1.75689696</v>
      </c>
      <c r="N60" s="25" t="n">
        <f aca="false">IF(5&lt;=$A60,-'Roll-Up Model'!H63+'Roll-Up Model'!H102,0)+IF(5=$A60,MAX(0,(((INDEX('Roll-Up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0.0123349572227498</v>
      </c>
      <c r="O60" s="25" t="n">
        <f aca="false">IF(6&lt;=$A60,-'Roll-Up Model'!I63+'Roll-Up Model'!I102,0)+IF(6=$A60,MAX(0,(((INDEX('Roll-Up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3.82557750436995</v>
      </c>
      <c r="P60" s="25" t="n">
        <f aca="false">IF(7&lt;=$A60,-'Roll-Up Model'!J63+'Roll-Up Model'!J102,0)+IF(7=$A60,MAX(0,(((INDEX('Roll-Up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5.44974029150854</v>
      </c>
      <c r="Q60" s="25" t="n">
        <f aca="false">IF(8&lt;=$A60,-'Roll-Up Model'!K63+'Roll-Up Model'!K102,0)+IF(8=$A60,MAX(0,(((INDEX('Roll-Up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228.522135947021</v>
      </c>
      <c r="R60" s="25" t="n">
        <f aca="false">IF(9&lt;=$A60,-'Roll-Up Model'!L63+'Roll-Up Model'!L102,0)+IF(9=$A60,MAX(0,(((INDEX('Roll-Up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0</v>
      </c>
      <c r="S60" s="25" t="n">
        <f aca="false">IF(10&lt;=$A60,-'Roll-Up Model'!M63+'Roll-Up Model'!M102,0)+IF(10=$A60,MAX(0,(((INDEX('Roll-Up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Model'!$C$85:$M$85,$A60+1))-Assumptions!$B$73*MAX(0,((INDEX('Roll-Up Model'!$C$40:$M$40,$A60+1)*(Assumptions!$B$16*(1-INDEX('Roll-Up Model'!$C$32:$M$32,$A60+1))+$B60*INDEX('Roll-Up Model'!$C$32:$M$32,$A60+1))+INDEX(Synergies!$C$27:$M$27,$A60+1)*$B60*Assumptions!$B$75*Assumptions!$B$18)*(1-Assumptions!$B$74)-INDEX('Roll-Up Model'!$C$85:$M$85,$A60+1))-INDEX('Roll-Up Model'!$C$97:$M$97,$A60+1)))*INDEX('Roll-Up Model'!$C$101:$M$101,$A60+1)),0)</f>
        <v>0</v>
      </c>
    </row>
    <row r="61" customFormat="false" ht="15" hidden="false" customHeight="true" outlineLevel="0" collapsed="false">
      <c r="A61" s="19" t="n">
        <f aca="false">A9</f>
        <v>8</v>
      </c>
      <c r="B61" s="45" t="n">
        <f aca="false">E$5</f>
        <v>16</v>
      </c>
      <c r="I61" s="25" t="n">
        <f aca="false">IF(0&lt;=$A61,-'Roll-Up Model'!C63+0,0)+IF(0=$A61,MAX(0,(((INDEX('Roll-Up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-2.9705</v>
      </c>
      <c r="J61" s="25" t="n">
        <f aca="false">IF(1&lt;=$A61,-'Roll-Up Model'!D63+'Roll-Up Model'!D102,0)+IF(1=$A61,MAX(0,(((INDEX('Roll-Up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-1.592193828125</v>
      </c>
      <c r="K61" s="25" t="n">
        <f aca="false">IF(2&lt;=$A61,-'Roll-Up Model'!E63+'Roll-Up Model'!E102,0)+IF(2=$A61,MAX(0,(((INDEX('Roll-Up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-2.38796039254032</v>
      </c>
      <c r="L61" s="25" t="n">
        <f aca="false">IF(3&lt;=$A61,-'Roll-Up Model'!F63+'Roll-Up Model'!F102,0)+IF(3=$A61,MAX(0,(((INDEX('Roll-Up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-2.01509332379157</v>
      </c>
      <c r="M61" s="25" t="n">
        <f aca="false">IF(4&lt;=$A61,-'Roll-Up Model'!G63+'Roll-Up Model'!G102,0)+IF(4=$A61,MAX(0,(((INDEX('Roll-Up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-1.75689696</v>
      </c>
      <c r="N61" s="25" t="n">
        <f aca="false">IF(5&lt;=$A61,-'Roll-Up Model'!H63+'Roll-Up Model'!H102,0)+IF(5=$A61,MAX(0,(((INDEX('Roll-Up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0.0123349572227498</v>
      </c>
      <c r="O61" s="25" t="n">
        <f aca="false">IF(6&lt;=$A61,-'Roll-Up Model'!I63+'Roll-Up Model'!I102,0)+IF(6=$A61,MAX(0,(((INDEX('Roll-Up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3.82557750436995</v>
      </c>
      <c r="P61" s="25" t="n">
        <f aca="false">IF(7&lt;=$A61,-'Roll-Up Model'!J63+'Roll-Up Model'!J102,0)+IF(7=$A61,MAX(0,(((INDEX('Roll-Up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5.44974029150854</v>
      </c>
      <c r="Q61" s="25" t="n">
        <f aca="false">IF(8&lt;=$A61,-'Roll-Up Model'!K63+'Roll-Up Model'!K102,0)+IF(8=$A61,MAX(0,(((INDEX('Roll-Up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237.561449586302</v>
      </c>
      <c r="R61" s="25" t="n">
        <f aca="false">IF(9&lt;=$A61,-'Roll-Up Model'!L63+'Roll-Up Model'!L102,0)+IF(9=$A61,MAX(0,(((INDEX('Roll-Up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0</v>
      </c>
      <c r="S61" s="25" t="n">
        <f aca="false">IF(10&lt;=$A61,-'Roll-Up Model'!M63+'Roll-Up Model'!M102,0)+IF(10=$A61,MAX(0,(((INDEX('Roll-Up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Model'!$C$85:$M$85,$A61+1))-Assumptions!$B$73*MAX(0,((INDEX('Roll-Up Model'!$C$40:$M$40,$A61+1)*(Assumptions!$B$16*(1-INDEX('Roll-Up Model'!$C$32:$M$32,$A61+1))+$B61*INDEX('Roll-Up Model'!$C$32:$M$32,$A61+1))+INDEX(Synergies!$C$27:$M$27,$A61+1)*$B61*Assumptions!$B$75*Assumptions!$B$18)*(1-Assumptions!$B$74)-INDEX('Roll-Up Model'!$C$85:$M$85,$A61+1))-INDEX('Roll-Up Model'!$C$97:$M$97,$A61+1)))*INDEX('Roll-Up Model'!$C$101:$M$101,$A61+1)),0)</f>
        <v>0</v>
      </c>
    </row>
    <row r="62" customFormat="false" ht="15" hidden="false" customHeight="true" outlineLevel="0" collapsed="false">
      <c r="A62" s="19" t="n">
        <f aca="false">A9</f>
        <v>8</v>
      </c>
      <c r="B62" s="45" t="n">
        <f aca="false">F$5</f>
        <v>18</v>
      </c>
      <c r="I62" s="25" t="n">
        <f aca="false">IF(0&lt;=$A62,-'Roll-Up Model'!C63+0,0)+IF(0=$A62,MAX(0,(((INDEX('Roll-Up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-2.9705</v>
      </c>
      <c r="J62" s="25" t="n">
        <f aca="false">IF(1&lt;=$A62,-'Roll-Up Model'!D63+'Roll-Up Model'!D102,0)+IF(1=$A62,MAX(0,(((INDEX('Roll-Up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-1.592193828125</v>
      </c>
      <c r="K62" s="25" t="n">
        <f aca="false">IF(2&lt;=$A62,-'Roll-Up Model'!E63+'Roll-Up Model'!E102,0)+IF(2=$A62,MAX(0,(((INDEX('Roll-Up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-2.38796039254032</v>
      </c>
      <c r="L62" s="25" t="n">
        <f aca="false">IF(3&lt;=$A62,-'Roll-Up Model'!F63+'Roll-Up Model'!F102,0)+IF(3=$A62,MAX(0,(((INDEX('Roll-Up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-2.01509332379157</v>
      </c>
      <c r="M62" s="25" t="n">
        <f aca="false">IF(4&lt;=$A62,-'Roll-Up Model'!G63+'Roll-Up Model'!G102,0)+IF(4=$A62,MAX(0,(((INDEX('Roll-Up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-1.75689696</v>
      </c>
      <c r="N62" s="25" t="n">
        <f aca="false">IF(5&lt;=$A62,-'Roll-Up Model'!H63+'Roll-Up Model'!H102,0)+IF(5=$A62,MAX(0,(((INDEX('Roll-Up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0.0123349572227498</v>
      </c>
      <c r="O62" s="25" t="n">
        <f aca="false">IF(6&lt;=$A62,-'Roll-Up Model'!I63+'Roll-Up Model'!I102,0)+IF(6=$A62,MAX(0,(((INDEX('Roll-Up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3.82557750436995</v>
      </c>
      <c r="P62" s="25" t="n">
        <f aca="false">IF(7&lt;=$A62,-'Roll-Up Model'!J63+'Roll-Up Model'!J102,0)+IF(7=$A62,MAX(0,(((INDEX('Roll-Up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5.44974029150854</v>
      </c>
      <c r="Q62" s="25" t="n">
        <f aca="false">IF(8&lt;=$A62,-'Roll-Up Model'!K63+'Roll-Up Model'!K102,0)+IF(8=$A62,MAX(0,(((INDEX('Roll-Up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255.640076864865</v>
      </c>
      <c r="R62" s="25" t="n">
        <f aca="false">IF(9&lt;=$A62,-'Roll-Up Model'!L63+'Roll-Up Model'!L102,0)+IF(9=$A62,MAX(0,(((INDEX('Roll-Up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0</v>
      </c>
      <c r="S62" s="25" t="n">
        <f aca="false">IF(10&lt;=$A62,-'Roll-Up Model'!M63+'Roll-Up Model'!M102,0)+IF(10=$A62,MAX(0,(((INDEX('Roll-Up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Model'!$C$85:$M$85,$A62+1))-Assumptions!$B$73*MAX(0,((INDEX('Roll-Up Model'!$C$40:$M$40,$A62+1)*(Assumptions!$B$16*(1-INDEX('Roll-Up Model'!$C$32:$M$32,$A62+1))+$B62*INDEX('Roll-Up Model'!$C$32:$M$32,$A62+1))+INDEX(Synergies!$C$27:$M$27,$A62+1)*$B62*Assumptions!$B$75*Assumptions!$B$18)*(1-Assumptions!$B$74)-INDEX('Roll-Up Model'!$C$85:$M$85,$A62+1))-INDEX('Roll-Up Model'!$C$97:$M$97,$A62+1)))*INDEX('Roll-Up Model'!$C$101:$M$101,$A62+1)),0)</f>
        <v>0</v>
      </c>
    </row>
    <row r="63" customFormat="false" ht="15" hidden="false" customHeight="true" outlineLevel="0" collapsed="false">
      <c r="A63" s="19" t="n">
        <f aca="false">A9</f>
        <v>8</v>
      </c>
      <c r="B63" s="45" t="n">
        <f aca="false">G$5</f>
        <v>20</v>
      </c>
      <c r="I63" s="25" t="n">
        <f aca="false">IF(0&lt;=$A63,-'Roll-Up Model'!C63+0,0)+IF(0=$A63,MAX(0,(((INDEX('Roll-Up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-2.9705</v>
      </c>
      <c r="J63" s="25" t="n">
        <f aca="false">IF(1&lt;=$A63,-'Roll-Up Model'!D63+'Roll-Up Model'!D102,0)+IF(1=$A63,MAX(0,(((INDEX('Roll-Up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-1.592193828125</v>
      </c>
      <c r="K63" s="25" t="n">
        <f aca="false">IF(2&lt;=$A63,-'Roll-Up Model'!E63+'Roll-Up Model'!E102,0)+IF(2=$A63,MAX(0,(((INDEX('Roll-Up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-2.38796039254032</v>
      </c>
      <c r="L63" s="25" t="n">
        <f aca="false">IF(3&lt;=$A63,-'Roll-Up Model'!F63+'Roll-Up Model'!F102,0)+IF(3=$A63,MAX(0,(((INDEX('Roll-Up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-2.01509332379157</v>
      </c>
      <c r="M63" s="25" t="n">
        <f aca="false">IF(4&lt;=$A63,-'Roll-Up Model'!G63+'Roll-Up Model'!G102,0)+IF(4=$A63,MAX(0,(((INDEX('Roll-Up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-1.75689696</v>
      </c>
      <c r="N63" s="25" t="n">
        <f aca="false">IF(5&lt;=$A63,-'Roll-Up Model'!H63+'Roll-Up Model'!H102,0)+IF(5=$A63,MAX(0,(((INDEX('Roll-Up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0.0123349572227498</v>
      </c>
      <c r="O63" s="25" t="n">
        <f aca="false">IF(6&lt;=$A63,-'Roll-Up Model'!I63+'Roll-Up Model'!I102,0)+IF(6=$A63,MAX(0,(((INDEX('Roll-Up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3.82557750436995</v>
      </c>
      <c r="P63" s="25" t="n">
        <f aca="false">IF(7&lt;=$A63,-'Roll-Up Model'!J63+'Roll-Up Model'!J102,0)+IF(7=$A63,MAX(0,(((INDEX('Roll-Up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5.44974029150854</v>
      </c>
      <c r="Q63" s="25" t="n">
        <f aca="false">IF(8&lt;=$A63,-'Roll-Up Model'!K63+'Roll-Up Model'!K102,0)+IF(8=$A63,MAX(0,(((INDEX('Roll-Up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273.718704143427</v>
      </c>
      <c r="R63" s="25" t="n">
        <f aca="false">IF(9&lt;=$A63,-'Roll-Up Model'!L63+'Roll-Up Model'!L102,0)+IF(9=$A63,MAX(0,(((INDEX('Roll-Up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0</v>
      </c>
      <c r="S63" s="25" t="n">
        <f aca="false">IF(10&lt;=$A63,-'Roll-Up Model'!M63+'Roll-Up Model'!M102,0)+IF(10=$A63,MAX(0,(((INDEX('Roll-Up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Model'!$C$85:$M$85,$A63+1))-Assumptions!$B$73*MAX(0,((INDEX('Roll-Up Model'!$C$40:$M$40,$A63+1)*(Assumptions!$B$16*(1-INDEX('Roll-Up Model'!$C$32:$M$32,$A63+1))+$B63*INDEX('Roll-Up Model'!$C$32:$M$32,$A63+1))+INDEX(Synergies!$C$27:$M$27,$A63+1)*$B63*Assumptions!$B$75*Assumptions!$B$18)*(1-Assumptions!$B$74)-INDEX('Roll-Up Model'!$C$85:$M$85,$A63+1))-INDEX('Roll-Up Model'!$C$97:$M$97,$A63+1)))*INDEX('Roll-Up Model'!$C$101:$M$101,$A63+1)),0)</f>
        <v>0</v>
      </c>
    </row>
    <row r="64" customFormat="false" ht="15" hidden="false" customHeight="true" outlineLevel="0" collapsed="false">
      <c r="A64" s="19" t="n">
        <f aca="false">A10</f>
        <v>9</v>
      </c>
      <c r="B64" s="45" t="n">
        <f aca="false">B$5</f>
        <v>12</v>
      </c>
      <c r="I64" s="25" t="n">
        <f aca="false">IF(0&lt;=$A64,-'Roll-Up Model'!C63+0,0)+IF(0=$A64,MAX(0,(((INDEX('Roll-Up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-2.9705</v>
      </c>
      <c r="J64" s="25" t="n">
        <f aca="false">IF(1&lt;=$A64,-'Roll-Up Model'!D63+'Roll-Up Model'!D102,0)+IF(1=$A64,MAX(0,(((INDEX('Roll-Up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-1.592193828125</v>
      </c>
      <c r="K64" s="25" t="n">
        <f aca="false">IF(2&lt;=$A64,-'Roll-Up Model'!E63+'Roll-Up Model'!E102,0)+IF(2=$A64,MAX(0,(((INDEX('Roll-Up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-2.38796039254032</v>
      </c>
      <c r="L64" s="25" t="n">
        <f aca="false">IF(3&lt;=$A64,-'Roll-Up Model'!F63+'Roll-Up Model'!F102,0)+IF(3=$A64,MAX(0,(((INDEX('Roll-Up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-2.01509332379157</v>
      </c>
      <c r="M64" s="25" t="n">
        <f aca="false">IF(4&lt;=$A64,-'Roll-Up Model'!G63+'Roll-Up Model'!G102,0)+IF(4=$A64,MAX(0,(((INDEX('Roll-Up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-1.75689696</v>
      </c>
      <c r="N64" s="25" t="n">
        <f aca="false">IF(5&lt;=$A64,-'Roll-Up Model'!H63+'Roll-Up Model'!H102,0)+IF(5=$A64,MAX(0,(((INDEX('Roll-Up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0.0123349572227498</v>
      </c>
      <c r="O64" s="25" t="n">
        <f aca="false">IF(6&lt;=$A64,-'Roll-Up Model'!I63+'Roll-Up Model'!I102,0)+IF(6=$A64,MAX(0,(((INDEX('Roll-Up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3.82557750436995</v>
      </c>
      <c r="P64" s="25" t="n">
        <f aca="false">IF(7&lt;=$A64,-'Roll-Up Model'!J63+'Roll-Up Model'!J102,0)+IF(7=$A64,MAX(0,(((INDEX('Roll-Up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5.44974029150854</v>
      </c>
      <c r="Q64" s="25" t="n">
        <f aca="false">IF(8&lt;=$A64,-'Roll-Up Model'!K63+'Roll-Up Model'!K102,0)+IF(8=$A64,MAX(0,(((INDEX('Roll-Up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7.54975185568124</v>
      </c>
      <c r="R64" s="25" t="n">
        <f aca="false">IF(9&lt;=$A64,-'Roll-Up Model'!L63+'Roll-Up Model'!L102,0)+IF(9=$A64,MAX(0,(((INDEX('Roll-Up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229.667820245097</v>
      </c>
      <c r="S64" s="25" t="n">
        <f aca="false">IF(10&lt;=$A64,-'Roll-Up Model'!M63+'Roll-Up Model'!M102,0)+IF(10=$A64,MAX(0,(((INDEX('Roll-Up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Model'!$C$85:$M$85,$A64+1))-Assumptions!$B$73*MAX(0,((INDEX('Roll-Up Model'!$C$40:$M$40,$A64+1)*(Assumptions!$B$16*(1-INDEX('Roll-Up Model'!$C$32:$M$32,$A64+1))+$B64*INDEX('Roll-Up Model'!$C$32:$M$32,$A64+1))+INDEX(Synergies!$C$27:$M$27,$A64+1)*$B64*Assumptions!$B$75*Assumptions!$B$18)*(1-Assumptions!$B$74)-INDEX('Roll-Up Model'!$C$85:$M$85,$A64+1))-INDEX('Roll-Up Model'!$C$97:$M$97,$A64+1)))*INDEX('Roll-Up Model'!$C$101:$M$101,$A64+1)),0)</f>
        <v>0</v>
      </c>
    </row>
    <row r="65" customFormat="false" ht="15" hidden="false" customHeight="true" outlineLevel="0" collapsed="false">
      <c r="A65" s="19" t="n">
        <f aca="false">A10</f>
        <v>9</v>
      </c>
      <c r="B65" s="45" t="n">
        <f aca="false">C$5</f>
        <v>14</v>
      </c>
      <c r="I65" s="25" t="n">
        <f aca="false">IF(0&lt;=$A65,-'Roll-Up Model'!C63+0,0)+IF(0=$A65,MAX(0,(((INDEX('Roll-Up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-2.9705</v>
      </c>
      <c r="J65" s="25" t="n">
        <f aca="false">IF(1&lt;=$A65,-'Roll-Up Model'!D63+'Roll-Up Model'!D102,0)+IF(1=$A65,MAX(0,(((INDEX('Roll-Up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-1.592193828125</v>
      </c>
      <c r="K65" s="25" t="n">
        <f aca="false">IF(2&lt;=$A65,-'Roll-Up Model'!E63+'Roll-Up Model'!E102,0)+IF(2=$A65,MAX(0,(((INDEX('Roll-Up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-2.38796039254032</v>
      </c>
      <c r="L65" s="25" t="n">
        <f aca="false">IF(3&lt;=$A65,-'Roll-Up Model'!F63+'Roll-Up Model'!F102,0)+IF(3=$A65,MAX(0,(((INDEX('Roll-Up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-2.01509332379157</v>
      </c>
      <c r="M65" s="25" t="n">
        <f aca="false">IF(4&lt;=$A65,-'Roll-Up Model'!G63+'Roll-Up Model'!G102,0)+IF(4=$A65,MAX(0,(((INDEX('Roll-Up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-1.75689696</v>
      </c>
      <c r="N65" s="25" t="n">
        <f aca="false">IF(5&lt;=$A65,-'Roll-Up Model'!H63+'Roll-Up Model'!H102,0)+IF(5=$A65,MAX(0,(((INDEX('Roll-Up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0.0123349572227498</v>
      </c>
      <c r="O65" s="25" t="n">
        <f aca="false">IF(6&lt;=$A65,-'Roll-Up Model'!I63+'Roll-Up Model'!I102,0)+IF(6=$A65,MAX(0,(((INDEX('Roll-Up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3.82557750436995</v>
      </c>
      <c r="P65" s="25" t="n">
        <f aca="false">IF(7&lt;=$A65,-'Roll-Up Model'!J63+'Roll-Up Model'!J102,0)+IF(7=$A65,MAX(0,(((INDEX('Roll-Up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5.44974029150854</v>
      </c>
      <c r="Q65" s="25" t="n">
        <f aca="false">IF(8&lt;=$A65,-'Roll-Up Model'!K63+'Roll-Up Model'!K102,0)+IF(8=$A65,MAX(0,(((INDEX('Roll-Up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7.54975185568124</v>
      </c>
      <c r="R65" s="25" t="n">
        <f aca="false">IF(9&lt;=$A65,-'Roll-Up Model'!L63+'Roll-Up Model'!L102,0)+IF(9=$A65,MAX(0,(((INDEX('Roll-Up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250.090856185796</v>
      </c>
      <c r="S65" s="25" t="n">
        <f aca="false">IF(10&lt;=$A65,-'Roll-Up Model'!M63+'Roll-Up Model'!M102,0)+IF(10=$A65,MAX(0,(((INDEX('Roll-Up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Model'!$C$85:$M$85,$A65+1))-Assumptions!$B$73*MAX(0,((INDEX('Roll-Up Model'!$C$40:$M$40,$A65+1)*(Assumptions!$B$16*(1-INDEX('Roll-Up Model'!$C$32:$M$32,$A65+1))+$B65*INDEX('Roll-Up Model'!$C$32:$M$32,$A65+1))+INDEX(Synergies!$C$27:$M$27,$A65+1)*$B65*Assumptions!$B$75*Assumptions!$B$18)*(1-Assumptions!$B$74)-INDEX('Roll-Up Model'!$C$85:$M$85,$A65+1))-INDEX('Roll-Up Model'!$C$97:$M$97,$A65+1)))*INDEX('Roll-Up Model'!$C$101:$M$101,$A65+1)),0)</f>
        <v>0</v>
      </c>
    </row>
    <row r="66" customFormat="false" ht="15" hidden="false" customHeight="true" outlineLevel="0" collapsed="false">
      <c r="A66" s="19" t="n">
        <f aca="false">A10</f>
        <v>9</v>
      </c>
      <c r="B66" s="45" t="n">
        <f aca="false">D$5</f>
        <v>15</v>
      </c>
      <c r="I66" s="25" t="n">
        <f aca="false">IF(0&lt;=$A66,-'Roll-Up Model'!C63+0,0)+IF(0=$A66,MAX(0,(((INDEX('Roll-Up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-2.9705</v>
      </c>
      <c r="J66" s="25" t="n">
        <f aca="false">IF(1&lt;=$A66,-'Roll-Up Model'!D63+'Roll-Up Model'!D102,0)+IF(1=$A66,MAX(0,(((INDEX('Roll-Up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-1.592193828125</v>
      </c>
      <c r="K66" s="25" t="n">
        <f aca="false">IF(2&lt;=$A66,-'Roll-Up Model'!E63+'Roll-Up Model'!E102,0)+IF(2=$A66,MAX(0,(((INDEX('Roll-Up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-2.38796039254032</v>
      </c>
      <c r="L66" s="25" t="n">
        <f aca="false">IF(3&lt;=$A66,-'Roll-Up Model'!F63+'Roll-Up Model'!F102,0)+IF(3=$A66,MAX(0,(((INDEX('Roll-Up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-2.01509332379157</v>
      </c>
      <c r="M66" s="25" t="n">
        <f aca="false">IF(4&lt;=$A66,-'Roll-Up Model'!G63+'Roll-Up Model'!G102,0)+IF(4=$A66,MAX(0,(((INDEX('Roll-Up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-1.75689696</v>
      </c>
      <c r="N66" s="25" t="n">
        <f aca="false">IF(5&lt;=$A66,-'Roll-Up Model'!H63+'Roll-Up Model'!H102,0)+IF(5=$A66,MAX(0,(((INDEX('Roll-Up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0.0123349572227498</v>
      </c>
      <c r="O66" s="25" t="n">
        <f aca="false">IF(6&lt;=$A66,-'Roll-Up Model'!I63+'Roll-Up Model'!I102,0)+IF(6=$A66,MAX(0,(((INDEX('Roll-Up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3.82557750436995</v>
      </c>
      <c r="P66" s="25" t="n">
        <f aca="false">IF(7&lt;=$A66,-'Roll-Up Model'!J63+'Roll-Up Model'!J102,0)+IF(7=$A66,MAX(0,(((INDEX('Roll-Up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5.44974029150854</v>
      </c>
      <c r="Q66" s="25" t="n">
        <f aca="false">IF(8&lt;=$A66,-'Roll-Up Model'!K63+'Roll-Up Model'!K102,0)+IF(8=$A66,MAX(0,(((INDEX('Roll-Up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7.54975185568124</v>
      </c>
      <c r="R66" s="25" t="n">
        <f aca="false">IF(9&lt;=$A66,-'Roll-Up Model'!L63+'Roll-Up Model'!L102,0)+IF(9=$A66,MAX(0,(((INDEX('Roll-Up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260.302374156145</v>
      </c>
      <c r="S66" s="25" t="n">
        <f aca="false">IF(10&lt;=$A66,-'Roll-Up Model'!M63+'Roll-Up Model'!M102,0)+IF(10=$A66,MAX(0,(((INDEX('Roll-Up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Model'!$C$85:$M$85,$A66+1))-Assumptions!$B$73*MAX(0,((INDEX('Roll-Up Model'!$C$40:$M$40,$A66+1)*(Assumptions!$B$16*(1-INDEX('Roll-Up Model'!$C$32:$M$32,$A66+1))+$B66*INDEX('Roll-Up Model'!$C$32:$M$32,$A66+1))+INDEX(Synergies!$C$27:$M$27,$A66+1)*$B66*Assumptions!$B$75*Assumptions!$B$18)*(1-Assumptions!$B$74)-INDEX('Roll-Up Model'!$C$85:$M$85,$A66+1))-INDEX('Roll-Up Model'!$C$97:$M$97,$A66+1)))*INDEX('Roll-Up Model'!$C$101:$M$101,$A66+1)),0)</f>
        <v>0</v>
      </c>
    </row>
    <row r="67" customFormat="false" ht="15" hidden="false" customHeight="true" outlineLevel="0" collapsed="false">
      <c r="A67" s="19" t="n">
        <f aca="false">A10</f>
        <v>9</v>
      </c>
      <c r="B67" s="45" t="n">
        <f aca="false">E$5</f>
        <v>16</v>
      </c>
      <c r="I67" s="25" t="n">
        <f aca="false">IF(0&lt;=$A67,-'Roll-Up Model'!C63+0,0)+IF(0=$A67,MAX(0,(((INDEX('Roll-Up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-2.9705</v>
      </c>
      <c r="J67" s="25" t="n">
        <f aca="false">IF(1&lt;=$A67,-'Roll-Up Model'!D63+'Roll-Up Model'!D102,0)+IF(1=$A67,MAX(0,(((INDEX('Roll-Up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-1.592193828125</v>
      </c>
      <c r="K67" s="25" t="n">
        <f aca="false">IF(2&lt;=$A67,-'Roll-Up Model'!E63+'Roll-Up Model'!E102,0)+IF(2=$A67,MAX(0,(((INDEX('Roll-Up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-2.38796039254032</v>
      </c>
      <c r="L67" s="25" t="n">
        <f aca="false">IF(3&lt;=$A67,-'Roll-Up Model'!F63+'Roll-Up Model'!F102,0)+IF(3=$A67,MAX(0,(((INDEX('Roll-Up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-2.01509332379157</v>
      </c>
      <c r="M67" s="25" t="n">
        <f aca="false">IF(4&lt;=$A67,-'Roll-Up Model'!G63+'Roll-Up Model'!G102,0)+IF(4=$A67,MAX(0,(((INDEX('Roll-Up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-1.75689696</v>
      </c>
      <c r="N67" s="25" t="n">
        <f aca="false">IF(5&lt;=$A67,-'Roll-Up Model'!H63+'Roll-Up Model'!H102,0)+IF(5=$A67,MAX(0,(((INDEX('Roll-Up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0.0123349572227498</v>
      </c>
      <c r="O67" s="25" t="n">
        <f aca="false">IF(6&lt;=$A67,-'Roll-Up Model'!I63+'Roll-Up Model'!I102,0)+IF(6=$A67,MAX(0,(((INDEX('Roll-Up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3.82557750436995</v>
      </c>
      <c r="P67" s="25" t="n">
        <f aca="false">IF(7&lt;=$A67,-'Roll-Up Model'!J63+'Roll-Up Model'!J102,0)+IF(7=$A67,MAX(0,(((INDEX('Roll-Up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5.44974029150854</v>
      </c>
      <c r="Q67" s="25" t="n">
        <f aca="false">IF(8&lt;=$A67,-'Roll-Up Model'!K63+'Roll-Up Model'!K102,0)+IF(8=$A67,MAX(0,(((INDEX('Roll-Up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7.54975185568124</v>
      </c>
      <c r="R67" s="25" t="n">
        <f aca="false">IF(9&lt;=$A67,-'Roll-Up Model'!L63+'Roll-Up Model'!L102,0)+IF(9=$A67,MAX(0,(((INDEX('Roll-Up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270.513892126495</v>
      </c>
      <c r="S67" s="25" t="n">
        <f aca="false">IF(10&lt;=$A67,-'Roll-Up Model'!M63+'Roll-Up Model'!M102,0)+IF(10=$A67,MAX(0,(((INDEX('Roll-Up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Model'!$C$85:$M$85,$A67+1))-Assumptions!$B$73*MAX(0,((INDEX('Roll-Up Model'!$C$40:$M$40,$A67+1)*(Assumptions!$B$16*(1-INDEX('Roll-Up Model'!$C$32:$M$32,$A67+1))+$B67*INDEX('Roll-Up Model'!$C$32:$M$32,$A67+1))+INDEX(Synergies!$C$27:$M$27,$A67+1)*$B67*Assumptions!$B$75*Assumptions!$B$18)*(1-Assumptions!$B$74)-INDEX('Roll-Up Model'!$C$85:$M$85,$A67+1))-INDEX('Roll-Up Model'!$C$97:$M$97,$A67+1)))*INDEX('Roll-Up Model'!$C$101:$M$101,$A67+1)),0)</f>
        <v>0</v>
      </c>
    </row>
    <row r="68" customFormat="false" ht="15" hidden="false" customHeight="true" outlineLevel="0" collapsed="false">
      <c r="A68" s="19" t="n">
        <f aca="false">A10</f>
        <v>9</v>
      </c>
      <c r="B68" s="45" t="n">
        <f aca="false">F$5</f>
        <v>18</v>
      </c>
      <c r="I68" s="25" t="n">
        <f aca="false">IF(0&lt;=$A68,-'Roll-Up Model'!C63+0,0)+IF(0=$A68,MAX(0,(((INDEX('Roll-Up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-2.9705</v>
      </c>
      <c r="J68" s="25" t="n">
        <f aca="false">IF(1&lt;=$A68,-'Roll-Up Model'!D63+'Roll-Up Model'!D102,0)+IF(1=$A68,MAX(0,(((INDEX('Roll-Up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-1.592193828125</v>
      </c>
      <c r="K68" s="25" t="n">
        <f aca="false">IF(2&lt;=$A68,-'Roll-Up Model'!E63+'Roll-Up Model'!E102,0)+IF(2=$A68,MAX(0,(((INDEX('Roll-Up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-2.38796039254032</v>
      </c>
      <c r="L68" s="25" t="n">
        <f aca="false">IF(3&lt;=$A68,-'Roll-Up Model'!F63+'Roll-Up Model'!F102,0)+IF(3=$A68,MAX(0,(((INDEX('Roll-Up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-2.01509332379157</v>
      </c>
      <c r="M68" s="25" t="n">
        <f aca="false">IF(4&lt;=$A68,-'Roll-Up Model'!G63+'Roll-Up Model'!G102,0)+IF(4=$A68,MAX(0,(((INDEX('Roll-Up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-1.75689696</v>
      </c>
      <c r="N68" s="25" t="n">
        <f aca="false">IF(5&lt;=$A68,-'Roll-Up Model'!H63+'Roll-Up Model'!H102,0)+IF(5=$A68,MAX(0,(((INDEX('Roll-Up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0.0123349572227498</v>
      </c>
      <c r="O68" s="25" t="n">
        <f aca="false">IF(6&lt;=$A68,-'Roll-Up Model'!I63+'Roll-Up Model'!I102,0)+IF(6=$A68,MAX(0,(((INDEX('Roll-Up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3.82557750436995</v>
      </c>
      <c r="P68" s="25" t="n">
        <f aca="false">IF(7&lt;=$A68,-'Roll-Up Model'!J63+'Roll-Up Model'!J102,0)+IF(7=$A68,MAX(0,(((INDEX('Roll-Up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5.44974029150854</v>
      </c>
      <c r="Q68" s="25" t="n">
        <f aca="false">IF(8&lt;=$A68,-'Roll-Up Model'!K63+'Roll-Up Model'!K102,0)+IF(8=$A68,MAX(0,(((INDEX('Roll-Up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7.54975185568124</v>
      </c>
      <c r="R68" s="25" t="n">
        <f aca="false">IF(9&lt;=$A68,-'Roll-Up Model'!L63+'Roll-Up Model'!L102,0)+IF(9=$A68,MAX(0,(((INDEX('Roll-Up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290.936928067194</v>
      </c>
      <c r="S68" s="25" t="n">
        <f aca="false">IF(10&lt;=$A68,-'Roll-Up Model'!M63+'Roll-Up Model'!M102,0)+IF(10=$A68,MAX(0,(((INDEX('Roll-Up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Model'!$C$85:$M$85,$A68+1))-Assumptions!$B$73*MAX(0,((INDEX('Roll-Up Model'!$C$40:$M$40,$A68+1)*(Assumptions!$B$16*(1-INDEX('Roll-Up Model'!$C$32:$M$32,$A68+1))+$B68*INDEX('Roll-Up Model'!$C$32:$M$32,$A68+1))+INDEX(Synergies!$C$27:$M$27,$A68+1)*$B68*Assumptions!$B$75*Assumptions!$B$18)*(1-Assumptions!$B$74)-INDEX('Roll-Up Model'!$C$85:$M$85,$A68+1))-INDEX('Roll-Up Model'!$C$97:$M$97,$A68+1)))*INDEX('Roll-Up Model'!$C$101:$M$101,$A68+1)),0)</f>
        <v>0</v>
      </c>
    </row>
    <row r="69" customFormat="false" ht="15" hidden="false" customHeight="true" outlineLevel="0" collapsed="false">
      <c r="A69" s="19" t="n">
        <f aca="false">A10</f>
        <v>9</v>
      </c>
      <c r="B69" s="45" t="n">
        <f aca="false">G$5</f>
        <v>20</v>
      </c>
      <c r="I69" s="25" t="n">
        <f aca="false">IF(0&lt;=$A69,-'Roll-Up Model'!C63+0,0)+IF(0=$A69,MAX(0,(((INDEX('Roll-Up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-2.9705</v>
      </c>
      <c r="J69" s="25" t="n">
        <f aca="false">IF(1&lt;=$A69,-'Roll-Up Model'!D63+'Roll-Up Model'!D102,0)+IF(1=$A69,MAX(0,(((INDEX('Roll-Up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-1.592193828125</v>
      </c>
      <c r="K69" s="25" t="n">
        <f aca="false">IF(2&lt;=$A69,-'Roll-Up Model'!E63+'Roll-Up Model'!E102,0)+IF(2=$A69,MAX(0,(((INDEX('Roll-Up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-2.38796039254032</v>
      </c>
      <c r="L69" s="25" t="n">
        <f aca="false">IF(3&lt;=$A69,-'Roll-Up Model'!F63+'Roll-Up Model'!F102,0)+IF(3=$A69,MAX(0,(((INDEX('Roll-Up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-2.01509332379157</v>
      </c>
      <c r="M69" s="25" t="n">
        <f aca="false">IF(4&lt;=$A69,-'Roll-Up Model'!G63+'Roll-Up Model'!G102,0)+IF(4=$A69,MAX(0,(((INDEX('Roll-Up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-1.75689696</v>
      </c>
      <c r="N69" s="25" t="n">
        <f aca="false">IF(5&lt;=$A69,-'Roll-Up Model'!H63+'Roll-Up Model'!H102,0)+IF(5=$A69,MAX(0,(((INDEX('Roll-Up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0.0123349572227498</v>
      </c>
      <c r="O69" s="25" t="n">
        <f aca="false">IF(6&lt;=$A69,-'Roll-Up Model'!I63+'Roll-Up Model'!I102,0)+IF(6=$A69,MAX(0,(((INDEX('Roll-Up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3.82557750436995</v>
      </c>
      <c r="P69" s="25" t="n">
        <f aca="false">IF(7&lt;=$A69,-'Roll-Up Model'!J63+'Roll-Up Model'!J102,0)+IF(7=$A69,MAX(0,(((INDEX('Roll-Up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5.44974029150854</v>
      </c>
      <c r="Q69" s="25" t="n">
        <f aca="false">IF(8&lt;=$A69,-'Roll-Up Model'!K63+'Roll-Up Model'!K102,0)+IF(8=$A69,MAX(0,(((INDEX('Roll-Up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7.54975185568124</v>
      </c>
      <c r="R69" s="25" t="n">
        <f aca="false">IF(9&lt;=$A69,-'Roll-Up Model'!L63+'Roll-Up Model'!L102,0)+IF(9=$A69,MAX(0,(((INDEX('Roll-Up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311.359964007893</v>
      </c>
      <c r="S69" s="25" t="n">
        <f aca="false">IF(10&lt;=$A69,-'Roll-Up Model'!M63+'Roll-Up Model'!M102,0)+IF(10=$A69,MAX(0,(((INDEX('Roll-Up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Model'!$C$85:$M$85,$A69+1))-Assumptions!$B$73*MAX(0,((INDEX('Roll-Up Model'!$C$40:$M$40,$A69+1)*(Assumptions!$B$16*(1-INDEX('Roll-Up Model'!$C$32:$M$32,$A69+1))+$B69*INDEX('Roll-Up Model'!$C$32:$M$32,$A69+1))+INDEX(Synergies!$C$27:$M$27,$A69+1)*$B69*Assumptions!$B$75*Assumptions!$B$18)*(1-Assumptions!$B$74)-INDEX('Roll-Up Model'!$C$85:$M$85,$A69+1))-INDEX('Roll-Up Model'!$C$97:$M$97,$A69+1)))*INDEX('Roll-Up Model'!$C$101:$M$101,$A69+1)),0)</f>
        <v>0</v>
      </c>
    </row>
    <row r="70" customFormat="false" ht="15" hidden="false" customHeight="true" outlineLevel="0" collapsed="false">
      <c r="A70" s="19" t="n">
        <f aca="false">A11</f>
        <v>10</v>
      </c>
      <c r="B70" s="45" t="n">
        <f aca="false">B$5</f>
        <v>12</v>
      </c>
      <c r="I70" s="25" t="n">
        <f aca="false">IF(0&lt;=$A70,-'Roll-Up Model'!C63+0,0)+IF(0=$A70,MAX(0,(((INDEX('Roll-Up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-2.9705</v>
      </c>
      <c r="J70" s="25" t="n">
        <f aca="false">IF(1&lt;=$A70,-'Roll-Up Model'!D63+'Roll-Up Model'!D102,0)+IF(1=$A70,MAX(0,(((INDEX('Roll-Up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-1.592193828125</v>
      </c>
      <c r="K70" s="25" t="n">
        <f aca="false">IF(2&lt;=$A70,-'Roll-Up Model'!E63+'Roll-Up Model'!E102,0)+IF(2=$A70,MAX(0,(((INDEX('Roll-Up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-2.38796039254032</v>
      </c>
      <c r="L70" s="25" t="n">
        <f aca="false">IF(3&lt;=$A70,-'Roll-Up Model'!F63+'Roll-Up Model'!F102,0)+IF(3=$A70,MAX(0,(((INDEX('Roll-Up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-2.01509332379157</v>
      </c>
      <c r="M70" s="25" t="n">
        <f aca="false">IF(4&lt;=$A70,-'Roll-Up Model'!G63+'Roll-Up Model'!G102,0)+IF(4=$A70,MAX(0,(((INDEX('Roll-Up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-1.75689696</v>
      </c>
      <c r="N70" s="25" t="n">
        <f aca="false">IF(5&lt;=$A70,-'Roll-Up Model'!H63+'Roll-Up Model'!H102,0)+IF(5=$A70,MAX(0,(((INDEX('Roll-Up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0.0123349572227498</v>
      </c>
      <c r="O70" s="25" t="n">
        <f aca="false">IF(6&lt;=$A70,-'Roll-Up Model'!I63+'Roll-Up Model'!I102,0)+IF(6=$A70,MAX(0,(((INDEX('Roll-Up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3.82557750436995</v>
      </c>
      <c r="P70" s="25" t="n">
        <f aca="false">IF(7&lt;=$A70,-'Roll-Up Model'!J63+'Roll-Up Model'!J102,0)+IF(7=$A70,MAX(0,(((INDEX('Roll-Up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5.44974029150854</v>
      </c>
      <c r="Q70" s="25" t="n">
        <f aca="false">IF(8&lt;=$A70,-'Roll-Up Model'!K63+'Roll-Up Model'!K102,0)+IF(8=$A70,MAX(0,(((INDEX('Roll-Up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7.54975185568124</v>
      </c>
      <c r="R70" s="25" t="n">
        <f aca="false">IF(9&lt;=$A70,-'Roll-Up Model'!L63+'Roll-Up Model'!L102,0)+IF(9=$A70,MAX(0,(((INDEX('Roll-Up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10.0036720307841</v>
      </c>
      <c r="S70" s="25" t="n">
        <f aca="false">IF(10&lt;=$A70,-'Roll-Up Model'!M63+'Roll-Up Model'!M102,0)+IF(10=$A70,MAX(0,(((INDEX('Roll-Up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Model'!$C$85:$M$85,$A70+1))-Assumptions!$B$73*MAX(0,((INDEX('Roll-Up Model'!$C$40:$M$40,$A70+1)*(Assumptions!$B$16*(1-INDEX('Roll-Up Model'!$C$32:$M$32,$A70+1))+$B70*INDEX('Roll-Up Model'!$C$32:$M$32,$A70+1))+INDEX(Synergies!$C$27:$M$27,$A70+1)*$B70*Assumptions!$B$75*Assumptions!$B$18)*(1-Assumptions!$B$74)-INDEX('Roll-Up Model'!$C$85:$M$85,$A70+1))-INDEX('Roll-Up Model'!$C$97:$M$97,$A70+1)))*INDEX('Roll-Up Model'!$C$101:$M$101,$A70+1)),0)</f>
        <v>252.249292436067</v>
      </c>
    </row>
    <row r="71" customFormat="false" ht="15" hidden="false" customHeight="true" outlineLevel="0" collapsed="false">
      <c r="A71" s="19" t="n">
        <f aca="false">A11</f>
        <v>10</v>
      </c>
      <c r="B71" s="45" t="n">
        <f aca="false">C$5</f>
        <v>14</v>
      </c>
      <c r="I71" s="25" t="n">
        <f aca="false">IF(0&lt;=$A71,-'Roll-Up Model'!C63+0,0)+IF(0=$A71,MAX(0,(((INDEX('Roll-Up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-2.9705</v>
      </c>
      <c r="J71" s="25" t="n">
        <f aca="false">IF(1&lt;=$A71,-'Roll-Up Model'!D63+'Roll-Up Model'!D102,0)+IF(1=$A71,MAX(0,(((INDEX('Roll-Up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-1.592193828125</v>
      </c>
      <c r="K71" s="25" t="n">
        <f aca="false">IF(2&lt;=$A71,-'Roll-Up Model'!E63+'Roll-Up Model'!E102,0)+IF(2=$A71,MAX(0,(((INDEX('Roll-Up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-2.38796039254032</v>
      </c>
      <c r="L71" s="25" t="n">
        <f aca="false">IF(3&lt;=$A71,-'Roll-Up Model'!F63+'Roll-Up Model'!F102,0)+IF(3=$A71,MAX(0,(((INDEX('Roll-Up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-2.01509332379157</v>
      </c>
      <c r="M71" s="25" t="n">
        <f aca="false">IF(4&lt;=$A71,-'Roll-Up Model'!G63+'Roll-Up Model'!G102,0)+IF(4=$A71,MAX(0,(((INDEX('Roll-Up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-1.75689696</v>
      </c>
      <c r="N71" s="25" t="n">
        <f aca="false">IF(5&lt;=$A71,-'Roll-Up Model'!H63+'Roll-Up Model'!H102,0)+IF(5=$A71,MAX(0,(((INDEX('Roll-Up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0.0123349572227498</v>
      </c>
      <c r="O71" s="25" t="n">
        <f aca="false">IF(6&lt;=$A71,-'Roll-Up Model'!I63+'Roll-Up Model'!I102,0)+IF(6=$A71,MAX(0,(((INDEX('Roll-Up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3.82557750436995</v>
      </c>
      <c r="P71" s="25" t="n">
        <f aca="false">IF(7&lt;=$A71,-'Roll-Up Model'!J63+'Roll-Up Model'!J102,0)+IF(7=$A71,MAX(0,(((INDEX('Roll-Up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5.44974029150854</v>
      </c>
      <c r="Q71" s="25" t="n">
        <f aca="false">IF(8&lt;=$A71,-'Roll-Up Model'!K63+'Roll-Up Model'!K102,0)+IF(8=$A71,MAX(0,(((INDEX('Roll-Up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7.54975185568124</v>
      </c>
      <c r="R71" s="25" t="n">
        <f aca="false">IF(9&lt;=$A71,-'Roll-Up Model'!L63+'Roll-Up Model'!L102,0)+IF(9=$A71,MAX(0,(((INDEX('Roll-Up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10.0036720307841</v>
      </c>
      <c r="S71" s="25" t="n">
        <f aca="false">IF(10&lt;=$A71,-'Roll-Up Model'!M63+'Roll-Up Model'!M102,0)+IF(10=$A71,MAX(0,(((INDEX('Roll-Up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Model'!$C$85:$M$85,$A71+1))-Assumptions!$B$73*MAX(0,((INDEX('Roll-Up Model'!$C$40:$M$40,$A71+1)*(Assumptions!$B$16*(1-INDEX('Roll-Up Model'!$C$32:$M$32,$A71+1))+$B71*INDEX('Roll-Up Model'!$C$32:$M$32,$A71+1))+INDEX(Synergies!$C$27:$M$27,$A71+1)*$B71*Assumptions!$B$75*Assumptions!$B$18)*(1-Assumptions!$B$74)-INDEX('Roll-Up Model'!$C$85:$M$85,$A71+1))-INDEX('Roll-Up Model'!$C$97:$M$97,$A71+1)))*INDEX('Roll-Up Model'!$C$101:$M$101,$A71+1)),0)</f>
        <v>274.551315746357</v>
      </c>
    </row>
    <row r="72" customFormat="false" ht="15" hidden="false" customHeight="true" outlineLevel="0" collapsed="false">
      <c r="A72" s="19" t="n">
        <f aca="false">A11</f>
        <v>10</v>
      </c>
      <c r="B72" s="45" t="n">
        <f aca="false">D$5</f>
        <v>15</v>
      </c>
      <c r="I72" s="25" t="n">
        <f aca="false">IF(0&lt;=$A72,-'Roll-Up Model'!C63+0,0)+IF(0=$A72,MAX(0,(((INDEX('Roll-Up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-2.9705</v>
      </c>
      <c r="J72" s="25" t="n">
        <f aca="false">IF(1&lt;=$A72,-'Roll-Up Model'!D63+'Roll-Up Model'!D102,0)+IF(1=$A72,MAX(0,(((INDEX('Roll-Up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-1.592193828125</v>
      </c>
      <c r="K72" s="25" t="n">
        <f aca="false">IF(2&lt;=$A72,-'Roll-Up Model'!E63+'Roll-Up Model'!E102,0)+IF(2=$A72,MAX(0,(((INDEX('Roll-Up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-2.38796039254032</v>
      </c>
      <c r="L72" s="25" t="n">
        <f aca="false">IF(3&lt;=$A72,-'Roll-Up Model'!F63+'Roll-Up Model'!F102,0)+IF(3=$A72,MAX(0,(((INDEX('Roll-Up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-2.01509332379157</v>
      </c>
      <c r="M72" s="25" t="n">
        <f aca="false">IF(4&lt;=$A72,-'Roll-Up Model'!G63+'Roll-Up Model'!G102,0)+IF(4=$A72,MAX(0,(((INDEX('Roll-Up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-1.75689696</v>
      </c>
      <c r="N72" s="25" t="n">
        <f aca="false">IF(5&lt;=$A72,-'Roll-Up Model'!H63+'Roll-Up Model'!H102,0)+IF(5=$A72,MAX(0,(((INDEX('Roll-Up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0.0123349572227498</v>
      </c>
      <c r="O72" s="25" t="n">
        <f aca="false">IF(6&lt;=$A72,-'Roll-Up Model'!I63+'Roll-Up Model'!I102,0)+IF(6=$A72,MAX(0,(((INDEX('Roll-Up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3.82557750436995</v>
      </c>
      <c r="P72" s="25" t="n">
        <f aca="false">IF(7&lt;=$A72,-'Roll-Up Model'!J63+'Roll-Up Model'!J102,0)+IF(7=$A72,MAX(0,(((INDEX('Roll-Up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5.44974029150854</v>
      </c>
      <c r="Q72" s="25" t="n">
        <f aca="false">IF(8&lt;=$A72,-'Roll-Up Model'!K63+'Roll-Up Model'!K102,0)+IF(8=$A72,MAX(0,(((INDEX('Roll-Up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7.54975185568124</v>
      </c>
      <c r="R72" s="25" t="n">
        <f aca="false">IF(9&lt;=$A72,-'Roll-Up Model'!L63+'Roll-Up Model'!L102,0)+IF(9=$A72,MAX(0,(((INDEX('Roll-Up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10.0036720307841</v>
      </c>
      <c r="S72" s="25" t="n">
        <f aca="false">IF(10&lt;=$A72,-'Roll-Up Model'!M63+'Roll-Up Model'!M102,0)+IF(10=$A72,MAX(0,(((INDEX('Roll-Up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Model'!$C$85:$M$85,$A72+1))-Assumptions!$B$73*MAX(0,((INDEX('Roll-Up Model'!$C$40:$M$40,$A72+1)*(Assumptions!$B$16*(1-INDEX('Roll-Up Model'!$C$32:$M$32,$A72+1))+$B72*INDEX('Roll-Up Model'!$C$32:$M$32,$A72+1))+INDEX(Synergies!$C$27:$M$27,$A72+1)*$B72*Assumptions!$B$75*Assumptions!$B$18)*(1-Assumptions!$B$74)-INDEX('Roll-Up Model'!$C$85:$M$85,$A72+1))-INDEX('Roll-Up Model'!$C$97:$M$97,$A72+1)))*INDEX('Roll-Up Model'!$C$101:$M$101,$A72+1)),0)</f>
        <v>285.702327401502</v>
      </c>
    </row>
    <row r="73" customFormat="false" ht="15" hidden="false" customHeight="true" outlineLevel="0" collapsed="false">
      <c r="A73" s="19" t="n">
        <f aca="false">A11</f>
        <v>10</v>
      </c>
      <c r="B73" s="45" t="n">
        <f aca="false">E$5</f>
        <v>16</v>
      </c>
      <c r="I73" s="25" t="n">
        <f aca="false">IF(0&lt;=$A73,-'Roll-Up Model'!C63+0,0)+IF(0=$A73,MAX(0,(((INDEX('Roll-Up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-2.9705</v>
      </c>
      <c r="J73" s="25" t="n">
        <f aca="false">IF(1&lt;=$A73,-'Roll-Up Model'!D63+'Roll-Up Model'!D102,0)+IF(1=$A73,MAX(0,(((INDEX('Roll-Up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-1.592193828125</v>
      </c>
      <c r="K73" s="25" t="n">
        <f aca="false">IF(2&lt;=$A73,-'Roll-Up Model'!E63+'Roll-Up Model'!E102,0)+IF(2=$A73,MAX(0,(((INDEX('Roll-Up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-2.38796039254032</v>
      </c>
      <c r="L73" s="25" t="n">
        <f aca="false">IF(3&lt;=$A73,-'Roll-Up Model'!F63+'Roll-Up Model'!F102,0)+IF(3=$A73,MAX(0,(((INDEX('Roll-Up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-2.01509332379157</v>
      </c>
      <c r="M73" s="25" t="n">
        <f aca="false">IF(4&lt;=$A73,-'Roll-Up Model'!G63+'Roll-Up Model'!G102,0)+IF(4=$A73,MAX(0,(((INDEX('Roll-Up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-1.75689696</v>
      </c>
      <c r="N73" s="25" t="n">
        <f aca="false">IF(5&lt;=$A73,-'Roll-Up Model'!H63+'Roll-Up Model'!H102,0)+IF(5=$A73,MAX(0,(((INDEX('Roll-Up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0.0123349572227498</v>
      </c>
      <c r="O73" s="25" t="n">
        <f aca="false">IF(6&lt;=$A73,-'Roll-Up Model'!I63+'Roll-Up Model'!I102,0)+IF(6=$A73,MAX(0,(((INDEX('Roll-Up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3.82557750436995</v>
      </c>
      <c r="P73" s="25" t="n">
        <f aca="false">IF(7&lt;=$A73,-'Roll-Up Model'!J63+'Roll-Up Model'!J102,0)+IF(7=$A73,MAX(0,(((INDEX('Roll-Up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5.44974029150854</v>
      </c>
      <c r="Q73" s="25" t="n">
        <f aca="false">IF(8&lt;=$A73,-'Roll-Up Model'!K63+'Roll-Up Model'!K102,0)+IF(8=$A73,MAX(0,(((INDEX('Roll-Up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7.54975185568124</v>
      </c>
      <c r="R73" s="25" t="n">
        <f aca="false">IF(9&lt;=$A73,-'Roll-Up Model'!L63+'Roll-Up Model'!L102,0)+IF(9=$A73,MAX(0,(((INDEX('Roll-Up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10.0036720307841</v>
      </c>
      <c r="S73" s="25" t="n">
        <f aca="false">IF(10&lt;=$A73,-'Roll-Up Model'!M63+'Roll-Up Model'!M102,0)+IF(10=$A73,MAX(0,(((INDEX('Roll-Up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Model'!$C$85:$M$85,$A73+1))-Assumptions!$B$73*MAX(0,((INDEX('Roll-Up Model'!$C$40:$M$40,$A73+1)*(Assumptions!$B$16*(1-INDEX('Roll-Up Model'!$C$32:$M$32,$A73+1))+$B73*INDEX('Roll-Up Model'!$C$32:$M$32,$A73+1))+INDEX(Synergies!$C$27:$M$27,$A73+1)*$B73*Assumptions!$B$75*Assumptions!$B$18)*(1-Assumptions!$B$74)-INDEX('Roll-Up Model'!$C$85:$M$85,$A73+1))-INDEX('Roll-Up Model'!$C$97:$M$97,$A73+1)))*INDEX('Roll-Up Model'!$C$101:$M$101,$A73+1)),0)</f>
        <v>296.853339056647</v>
      </c>
    </row>
    <row r="74" customFormat="false" ht="15" hidden="false" customHeight="true" outlineLevel="0" collapsed="false">
      <c r="A74" s="19" t="n">
        <f aca="false">A11</f>
        <v>10</v>
      </c>
      <c r="B74" s="45" t="n">
        <f aca="false">F$5</f>
        <v>18</v>
      </c>
      <c r="I74" s="25" t="n">
        <f aca="false">IF(0&lt;=$A74,-'Roll-Up Model'!C63+0,0)+IF(0=$A74,MAX(0,(((INDEX('Roll-Up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-2.9705</v>
      </c>
      <c r="J74" s="25" t="n">
        <f aca="false">IF(1&lt;=$A74,-'Roll-Up Model'!D63+'Roll-Up Model'!D102,0)+IF(1=$A74,MAX(0,(((INDEX('Roll-Up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-1.592193828125</v>
      </c>
      <c r="K74" s="25" t="n">
        <f aca="false">IF(2&lt;=$A74,-'Roll-Up Model'!E63+'Roll-Up Model'!E102,0)+IF(2=$A74,MAX(0,(((INDEX('Roll-Up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-2.38796039254032</v>
      </c>
      <c r="L74" s="25" t="n">
        <f aca="false">IF(3&lt;=$A74,-'Roll-Up Model'!F63+'Roll-Up Model'!F102,0)+IF(3=$A74,MAX(0,(((INDEX('Roll-Up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-2.01509332379157</v>
      </c>
      <c r="M74" s="25" t="n">
        <f aca="false">IF(4&lt;=$A74,-'Roll-Up Model'!G63+'Roll-Up Model'!G102,0)+IF(4=$A74,MAX(0,(((INDEX('Roll-Up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-1.75689696</v>
      </c>
      <c r="N74" s="25" t="n">
        <f aca="false">IF(5&lt;=$A74,-'Roll-Up Model'!H63+'Roll-Up Model'!H102,0)+IF(5=$A74,MAX(0,(((INDEX('Roll-Up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0.0123349572227498</v>
      </c>
      <c r="O74" s="25" t="n">
        <f aca="false">IF(6&lt;=$A74,-'Roll-Up Model'!I63+'Roll-Up Model'!I102,0)+IF(6=$A74,MAX(0,(((INDEX('Roll-Up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3.82557750436995</v>
      </c>
      <c r="P74" s="25" t="n">
        <f aca="false">IF(7&lt;=$A74,-'Roll-Up Model'!J63+'Roll-Up Model'!J102,0)+IF(7=$A74,MAX(0,(((INDEX('Roll-Up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5.44974029150854</v>
      </c>
      <c r="Q74" s="25" t="n">
        <f aca="false">IF(8&lt;=$A74,-'Roll-Up Model'!K63+'Roll-Up Model'!K102,0)+IF(8=$A74,MAX(0,(((INDEX('Roll-Up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7.54975185568124</v>
      </c>
      <c r="R74" s="25" t="n">
        <f aca="false">IF(9&lt;=$A74,-'Roll-Up Model'!L63+'Roll-Up Model'!L102,0)+IF(9=$A74,MAX(0,(((INDEX('Roll-Up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10.0036720307841</v>
      </c>
      <c r="S74" s="25" t="n">
        <f aca="false">IF(10&lt;=$A74,-'Roll-Up Model'!M63+'Roll-Up Model'!M102,0)+IF(10=$A74,MAX(0,(((INDEX('Roll-Up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Model'!$C$85:$M$85,$A74+1))-Assumptions!$B$73*MAX(0,((INDEX('Roll-Up Model'!$C$40:$M$40,$A74+1)*(Assumptions!$B$16*(1-INDEX('Roll-Up Model'!$C$32:$M$32,$A74+1))+$B74*INDEX('Roll-Up Model'!$C$32:$M$32,$A74+1))+INDEX(Synergies!$C$27:$M$27,$A74+1)*$B74*Assumptions!$B$75*Assumptions!$B$18)*(1-Assumptions!$B$74)-INDEX('Roll-Up Model'!$C$85:$M$85,$A74+1))-INDEX('Roll-Up Model'!$C$97:$M$97,$A74+1)))*INDEX('Roll-Up Model'!$C$101:$M$101,$A74+1)),0)</f>
        <v>319.155362366938</v>
      </c>
    </row>
    <row r="75" customFormat="false" ht="15" hidden="false" customHeight="true" outlineLevel="0" collapsed="false">
      <c r="A75" s="19" t="n">
        <f aca="false">A11</f>
        <v>10</v>
      </c>
      <c r="B75" s="45" t="n">
        <f aca="false">G$5</f>
        <v>20</v>
      </c>
      <c r="I75" s="25" t="n">
        <f aca="false">IF(0&lt;=$A75,-'Roll-Up Model'!C63+0,0)+IF(0=$A75,MAX(0,(((INDEX('Roll-Up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-2.9705</v>
      </c>
      <c r="J75" s="25" t="n">
        <f aca="false">IF(1&lt;=$A75,-'Roll-Up Model'!D63+'Roll-Up Model'!D102,0)+IF(1=$A75,MAX(0,(((INDEX('Roll-Up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-1.592193828125</v>
      </c>
      <c r="K75" s="25" t="n">
        <f aca="false">IF(2&lt;=$A75,-'Roll-Up Model'!E63+'Roll-Up Model'!E102,0)+IF(2=$A75,MAX(0,(((INDEX('Roll-Up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-2.38796039254032</v>
      </c>
      <c r="L75" s="25" t="n">
        <f aca="false">IF(3&lt;=$A75,-'Roll-Up Model'!F63+'Roll-Up Model'!F102,0)+IF(3=$A75,MAX(0,(((INDEX('Roll-Up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-2.01509332379157</v>
      </c>
      <c r="M75" s="25" t="n">
        <f aca="false">IF(4&lt;=$A75,-'Roll-Up Model'!G63+'Roll-Up Model'!G102,0)+IF(4=$A75,MAX(0,(((INDEX('Roll-Up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-1.75689696</v>
      </c>
      <c r="N75" s="25" t="n">
        <f aca="false">IF(5&lt;=$A75,-'Roll-Up Model'!H63+'Roll-Up Model'!H102,0)+IF(5=$A75,MAX(0,(((INDEX('Roll-Up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0.0123349572227498</v>
      </c>
      <c r="O75" s="25" t="n">
        <f aca="false">IF(6&lt;=$A75,-'Roll-Up Model'!I63+'Roll-Up Model'!I102,0)+IF(6=$A75,MAX(0,(((INDEX('Roll-Up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3.82557750436995</v>
      </c>
      <c r="P75" s="25" t="n">
        <f aca="false">IF(7&lt;=$A75,-'Roll-Up Model'!J63+'Roll-Up Model'!J102,0)+IF(7=$A75,MAX(0,(((INDEX('Roll-Up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5.44974029150854</v>
      </c>
      <c r="Q75" s="25" t="n">
        <f aca="false">IF(8&lt;=$A75,-'Roll-Up Model'!K63+'Roll-Up Model'!K102,0)+IF(8=$A75,MAX(0,(((INDEX('Roll-Up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7.54975185568124</v>
      </c>
      <c r="R75" s="25" t="n">
        <f aca="false">IF(9&lt;=$A75,-'Roll-Up Model'!L63+'Roll-Up Model'!L102,0)+IF(9=$A75,MAX(0,(((INDEX('Roll-Up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10.0036720307841</v>
      </c>
      <c r="S75" s="25" t="n">
        <f aca="false">IF(10&lt;=$A75,-'Roll-Up Model'!M63+'Roll-Up Model'!M102,0)+IF(10=$A75,MAX(0,(((INDEX('Roll-Up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Model'!$C$85:$M$85,$A75+1))-Assumptions!$B$73*MAX(0,((INDEX('Roll-Up Model'!$C$40:$M$40,$A75+1)*(Assumptions!$B$16*(1-INDEX('Roll-Up Model'!$C$32:$M$32,$A75+1))+$B75*INDEX('Roll-Up Model'!$C$32:$M$32,$A75+1))+INDEX(Synergies!$C$27:$M$27,$A75+1)*$B75*Assumptions!$B$75*Assumptions!$B$18)*(1-Assumptions!$B$74)-INDEX('Roll-Up Model'!$C$85:$M$85,$A75+1))-INDEX('Roll-Up Model'!$C$97:$M$97,$A75+1)))*INDEX('Roll-Up Model'!$C$101:$M$101,$A75+1)),0)</f>
        <v>341.457385677228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DB1"/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5" min="2" style="1" width="14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533</v>
      </c>
    </row>
    <row r="2" customFormat="false" ht="15" hidden="false" customHeight="true" outlineLevel="0" collapsed="false">
      <c r="A2" s="3" t="s">
        <v>534</v>
      </c>
    </row>
    <row r="4" customFormat="false" ht="15" hidden="false" customHeight="true" outlineLevel="0" collapsed="false">
      <c r="A4" s="12" t="s">
        <v>12</v>
      </c>
      <c r="B4" s="13" t="s">
        <v>130</v>
      </c>
      <c r="C4" s="13" t="s">
        <v>131</v>
      </c>
      <c r="D4" s="13" t="s">
        <v>132</v>
      </c>
      <c r="E4" s="13" t="s">
        <v>133</v>
      </c>
    </row>
    <row r="5" customFormat="false" ht="15" hidden="false" customHeight="false" outlineLevel="0" collapsed="false">
      <c r="A5" s="54" t="s">
        <v>535</v>
      </c>
      <c r="B5" s="55" t="n">
        <v>73.414379415</v>
      </c>
      <c r="C5" s="55" t="n">
        <v>100.657757892</v>
      </c>
      <c r="D5" s="55" t="n">
        <v>45.370525232</v>
      </c>
      <c r="E5" s="55" t="n">
        <v>122.353984448</v>
      </c>
    </row>
    <row r="6" customFormat="false" ht="15" hidden="false" customHeight="false" outlineLevel="0" collapsed="false">
      <c r="A6" s="54" t="s">
        <v>536</v>
      </c>
      <c r="B6" s="55" t="n">
        <v>14.4417662955987</v>
      </c>
      <c r="C6" s="55" t="n">
        <v>22.0687109962159</v>
      </c>
      <c r="D6" s="55" t="n">
        <v>6.40780320252932</v>
      </c>
      <c r="E6" s="55" t="n">
        <v>28.3982959285786</v>
      </c>
    </row>
    <row r="7" customFormat="false" ht="15" hidden="false" customHeight="false" outlineLevel="0" collapsed="false">
      <c r="A7" s="54" t="s">
        <v>537</v>
      </c>
      <c r="B7" s="55" t="n">
        <v>106.966812530014</v>
      </c>
      <c r="C7" s="55" t="n">
        <v>153.221794048527</v>
      </c>
      <c r="D7" s="55" t="n">
        <v>60.1575515556928</v>
      </c>
      <c r="E7" s="55" t="n">
        <v>185.785032683827</v>
      </c>
    </row>
    <row r="8" customFormat="false" ht="15" hidden="false" customHeight="false" outlineLevel="0" collapsed="false">
      <c r="A8" s="54" t="s">
        <v>538</v>
      </c>
      <c r="B8" s="55" t="n">
        <v>21.5272804407972</v>
      </c>
      <c r="C8" s="55" t="n">
        <v>34.1549586040552</v>
      </c>
      <c r="D8" s="55" t="n">
        <v>8.74811870838137</v>
      </c>
      <c r="E8" s="55" t="n">
        <v>43.7033247561793</v>
      </c>
    </row>
    <row r="9" customFormat="false" ht="15" hidden="false" customHeight="false" outlineLevel="0" collapsed="false">
      <c r="A9" s="54" t="s">
        <v>539</v>
      </c>
      <c r="B9" s="55" t="n">
        <v>151.870398684801</v>
      </c>
      <c r="C9" s="55" t="n">
        <v>226.846593167573</v>
      </c>
      <c r="D9" s="55" t="n">
        <v>78.9322766258851</v>
      </c>
      <c r="E9" s="55" t="n">
        <v>281.227916944926</v>
      </c>
    </row>
    <row r="10" customFormat="false" ht="15" hidden="false" customHeight="false" outlineLevel="0" collapsed="false">
      <c r="A10" s="54" t="s">
        <v>540</v>
      </c>
      <c r="B10" s="55" t="n">
        <v>31.0086936735131</v>
      </c>
      <c r="C10" s="55" t="n">
        <v>51.0763716985654</v>
      </c>
      <c r="D10" s="55" t="n">
        <v>11.6571495834547</v>
      </c>
      <c r="E10" s="55" t="n">
        <v>66.6752190516412</v>
      </c>
    </row>
    <row r="11" customFormat="false" ht="15" hidden="false" customHeight="false" outlineLevel="0" collapsed="false">
      <c r="A11" s="54" t="s">
        <v>541</v>
      </c>
      <c r="B11" s="56" t="n">
        <v>0.201251957795385</v>
      </c>
      <c r="C11" s="56" t="n">
        <v>0.222911882843755</v>
      </c>
      <c r="D11" s="56" t="n">
        <v>0.145420125689167</v>
      </c>
      <c r="E11" s="56" t="n">
        <v>0.235235982817596</v>
      </c>
    </row>
    <row r="12" customFormat="false" ht="15" hidden="false" customHeight="false" outlineLevel="0" collapsed="false">
      <c r="A12" s="54" t="s">
        <v>542</v>
      </c>
      <c r="B12" s="57" t="n">
        <v>20</v>
      </c>
      <c r="C12" s="57" t="n">
        <v>27</v>
      </c>
      <c r="D12" s="57" t="n">
        <v>13</v>
      </c>
      <c r="E12" s="57" t="n">
        <v>31</v>
      </c>
    </row>
    <row r="13" customFormat="false" ht="15" hidden="false" customHeight="false" outlineLevel="0" collapsed="false">
      <c r="A13" s="54" t="s">
        <v>543</v>
      </c>
      <c r="B13" s="56" t="n">
        <v>0.442289138719826</v>
      </c>
      <c r="C13" s="56" t="n">
        <v>0.53177483874149</v>
      </c>
      <c r="D13" s="56" t="n">
        <v>0.267323218702653</v>
      </c>
      <c r="E13" s="56" t="n">
        <v>0.581747704756424</v>
      </c>
    </row>
    <row r="14" customFormat="false" ht="15" hidden="false" customHeight="false" outlineLevel="0" collapsed="false">
      <c r="A14" s="54" t="s">
        <v>544</v>
      </c>
      <c r="B14" s="55" t="n">
        <v>15</v>
      </c>
      <c r="C14" s="55" t="n">
        <v>15</v>
      </c>
      <c r="D14" s="55" t="n">
        <v>14.1629772314144</v>
      </c>
      <c r="E14" s="55" t="n">
        <v>15</v>
      </c>
    </row>
    <row r="15" customFormat="false" ht="15" hidden="false" customHeight="false" outlineLevel="0" collapsed="false">
      <c r="A15" s="54" t="s">
        <v>545</v>
      </c>
      <c r="B15" s="57" t="n">
        <v>7</v>
      </c>
      <c r="C15" s="57" t="n">
        <v>6</v>
      </c>
      <c r="D15" s="57" t="s">
        <v>546</v>
      </c>
      <c r="E15" s="57" t="n">
        <v>5</v>
      </c>
    </row>
    <row r="16" customFormat="false" ht="15" hidden="false" customHeight="false" outlineLevel="0" collapsed="false">
      <c r="A16" s="54" t="s">
        <v>547</v>
      </c>
      <c r="B16" s="58" t="n">
        <v>3.32800701820346</v>
      </c>
      <c r="C16" s="58" t="n">
        <v>2.83433561212129</v>
      </c>
      <c r="D16" s="58" t="n">
        <v>4.50493823106625</v>
      </c>
      <c r="E16" s="58" t="n">
        <v>2.725</v>
      </c>
    </row>
    <row r="17" customFormat="false" ht="15" hidden="false" customHeight="false" outlineLevel="0" collapsed="false">
      <c r="A17" s="54" t="s">
        <v>548</v>
      </c>
      <c r="B17" s="55" t="n">
        <v>0</v>
      </c>
      <c r="C17" s="55" t="n">
        <v>0</v>
      </c>
      <c r="D17" s="55" t="n">
        <v>0</v>
      </c>
      <c r="E17" s="55" t="n">
        <v>0</v>
      </c>
    </row>
    <row r="18" customFormat="false" ht="15" hidden="false" customHeight="false" outlineLevel="0" collapsed="false">
      <c r="A18" s="54" t="s">
        <v>549</v>
      </c>
      <c r="B18" s="56" t="n">
        <v>0.774494200883077</v>
      </c>
      <c r="C18" s="56" t="n">
        <v>0.754001180117343</v>
      </c>
      <c r="D18" s="56" t="n">
        <v>0.806610358559626</v>
      </c>
      <c r="E18" s="56" t="n">
        <v>0.738311619416124</v>
      </c>
    </row>
    <row r="19" customFormat="false" ht="15" hidden="false" customHeight="false" outlineLevel="0" collapsed="false">
      <c r="A19" s="54" t="s">
        <v>550</v>
      </c>
      <c r="B19" s="55" t="n">
        <v>13.5650082486443</v>
      </c>
      <c r="C19" s="55" t="n">
        <v>21.5357045363829</v>
      </c>
      <c r="D19" s="55" t="n">
        <v>2.0521714207452</v>
      </c>
      <c r="E19" s="55" t="n">
        <v>30.8363356360725</v>
      </c>
    </row>
    <row r="20" customFormat="false" ht="15" hidden="false" customHeight="false" outlineLevel="0" collapsed="false">
      <c r="A20" s="59" t="s">
        <v>551</v>
      </c>
      <c r="B20" s="58" t="n">
        <v>10.0534035056583</v>
      </c>
      <c r="C20" s="58" t="n">
        <v>15.2877162489004</v>
      </c>
      <c r="D20" s="58" t="n">
        <v>3.43280768709283</v>
      </c>
      <c r="E20" s="58" t="n">
        <v>20.6227978300251</v>
      </c>
    </row>
    <row r="21" customFormat="false" ht="15" hidden="false" customHeight="false" outlineLevel="0" collapsed="false">
      <c r="A21" s="59" t="s">
        <v>552</v>
      </c>
      <c r="B21" s="58" t="n">
        <v>13.5722343568908</v>
      </c>
      <c r="C21" s="58" t="n">
        <v>24.3935960896743</v>
      </c>
      <c r="D21" s="58" t="n">
        <v>4.64749583061066</v>
      </c>
      <c r="E21" s="58" t="n">
        <v>32.7815312612465</v>
      </c>
    </row>
    <row r="22" customFormat="false" ht="15" hidden="false" customHeight="false" outlineLevel="0" collapsed="false">
      <c r="A22" s="59" t="s">
        <v>553</v>
      </c>
      <c r="B22" s="58" t="n">
        <v>21.1213839691075</v>
      </c>
      <c r="C22" s="58" t="n">
        <v>37.8310677600457</v>
      </c>
      <c r="D22" s="58" t="n">
        <v>6.3823466884559</v>
      </c>
      <c r="E22" s="58" t="n">
        <v>51.9625484206213</v>
      </c>
    </row>
    <row r="23" customFormat="false" ht="15" hidden="false" customHeight="false" outlineLevel="0" collapsed="false">
      <c r="A23" s="59" t="s">
        <v>554</v>
      </c>
      <c r="B23" s="56" t="n">
        <v>0.676727473916418</v>
      </c>
      <c r="C23" s="56" t="n">
        <v>0.842258439668522</v>
      </c>
      <c r="D23" s="56" t="n">
        <v>0.34518395290965</v>
      </c>
      <c r="E23" s="56" t="n">
        <v>0.960816635253692</v>
      </c>
    </row>
    <row r="24" customFormat="false" ht="15" hidden="false" customHeight="false" outlineLevel="0" collapsed="false">
      <c r="A24" s="59" t="s">
        <v>555</v>
      </c>
      <c r="B24" s="56" t="n">
        <v>0.503746448238416</v>
      </c>
      <c r="C24" s="56" t="n">
        <v>0.607814964251534</v>
      </c>
      <c r="D24" s="56" t="n">
        <v>0.279212770279084</v>
      </c>
      <c r="E24" s="56" t="n">
        <v>0.688398605231581</v>
      </c>
    </row>
    <row r="25" customFormat="false" ht="15" hidden="false" customHeight="false" outlineLevel="0" collapsed="false">
      <c r="A25" s="54" t="s">
        <v>556</v>
      </c>
      <c r="B25" s="58" t="n">
        <v>13.0743583878223</v>
      </c>
      <c r="C25" s="58" t="n">
        <v>19.8433086179929</v>
      </c>
      <c r="D25" s="58" t="n">
        <v>4.4710271078886</v>
      </c>
      <c r="E25" s="58" t="n">
        <v>26.7478007433924</v>
      </c>
    </row>
    <row r="26" customFormat="false" ht="15" hidden="false" customHeight="false" outlineLevel="0" collapsed="false">
      <c r="A26" s="54" t="s">
        <v>557</v>
      </c>
      <c r="B26" s="58" t="n">
        <v>15.6240693980881</v>
      </c>
      <c r="C26" s="58" t="n">
        <v>28.1121118601939</v>
      </c>
      <c r="D26" s="58" t="n">
        <v>5.37419368222408</v>
      </c>
      <c r="E26" s="58" t="n">
        <v>37.758221998363</v>
      </c>
    </row>
    <row r="27" customFormat="false" ht="15" hidden="false" customHeight="false" outlineLevel="0" collapsed="false">
      <c r="A27" s="54" t="s">
        <v>558</v>
      </c>
      <c r="B27" s="58" t="n">
        <v>21.1213839691075</v>
      </c>
      <c r="C27" s="58" t="n">
        <v>37.8310677600457</v>
      </c>
      <c r="D27" s="58" t="n">
        <v>6.3823466884559</v>
      </c>
      <c r="E27" s="58" t="n">
        <v>51.9625484206213</v>
      </c>
    </row>
    <row r="28" customFormat="false" ht="15" hidden="false" customHeight="false" outlineLevel="0" collapsed="false">
      <c r="A28" s="54" t="s">
        <v>559</v>
      </c>
      <c r="B28" s="56" t="n">
        <v>0.599661453914458</v>
      </c>
      <c r="C28" s="56" t="n">
        <v>0.747245597671175</v>
      </c>
      <c r="D28" s="56" t="n">
        <v>0.308886035986924</v>
      </c>
      <c r="E28" s="56" t="n">
        <v>0.85449211528489</v>
      </c>
    </row>
    <row r="29" customFormat="false" ht="15" hidden="false" customHeight="false" outlineLevel="0" collapsed="false">
      <c r="A29" s="54" t="s">
        <v>560</v>
      </c>
      <c r="B29" s="56" t="n">
        <v>0.503746448238416</v>
      </c>
      <c r="C29" s="56" t="n">
        <v>0.607814964251534</v>
      </c>
      <c r="D29" s="56" t="n">
        <v>0.279212770279084</v>
      </c>
      <c r="E29" s="56" t="n">
        <v>0.688398605231581</v>
      </c>
    </row>
    <row r="30" customFormat="false" ht="15" hidden="false" customHeight="false" outlineLevel="0" collapsed="false">
      <c r="A30" s="54" t="s">
        <v>561</v>
      </c>
      <c r="B30" s="58" t="n">
        <v>7.03948673121799</v>
      </c>
      <c r="C30" s="58" t="n">
        <v>9.28130498172313</v>
      </c>
      <c r="D30" s="58" t="n">
        <v>3.22312902805744</v>
      </c>
      <c r="E30" s="58" t="n">
        <v>11.5224196668697</v>
      </c>
    </row>
    <row r="31" customFormat="false" ht="15" hidden="false" customHeight="false" outlineLevel="0" collapsed="false">
      <c r="A31" s="54" t="s">
        <v>562</v>
      </c>
      <c r="B31" s="58" t="n">
        <v>9.60287163392902</v>
      </c>
      <c r="C31" s="58" t="n">
        <v>14.8313822053085</v>
      </c>
      <c r="D31" s="58" t="n">
        <v>4.36266132120545</v>
      </c>
      <c r="E31" s="58" t="n">
        <v>18.9316384076578</v>
      </c>
    </row>
    <row r="32" customFormat="false" ht="15" hidden="false" customHeight="false" outlineLevel="0" collapsed="false">
      <c r="A32" s="54" t="s">
        <v>563</v>
      </c>
      <c r="B32" s="58" t="n">
        <v>15.4918137075689</v>
      </c>
      <c r="C32" s="58" t="n">
        <v>24.9618665371541</v>
      </c>
      <c r="D32" s="58" t="n">
        <v>6.03155520981705</v>
      </c>
      <c r="E32" s="58" t="n">
        <v>32.3319095190851</v>
      </c>
    </row>
    <row r="33" customFormat="false" ht="15" hidden="false" customHeight="false" outlineLevel="0" collapsed="false">
      <c r="A33" s="54" t="s">
        <v>564</v>
      </c>
      <c r="B33" s="56" t="n">
        <v>0.582267547328606</v>
      </c>
      <c r="C33" s="56" t="n">
        <v>0.698241700210281</v>
      </c>
      <c r="D33" s="56" t="n">
        <v>0.330386208187495</v>
      </c>
      <c r="E33" s="56" t="n">
        <v>0.794229964455167</v>
      </c>
    </row>
    <row r="34" customFormat="false" ht="15" hidden="false" customHeight="false" outlineLevel="0" collapsed="false">
      <c r="A34" s="54" t="s">
        <v>565</v>
      </c>
      <c r="B34" s="56" t="n">
        <v>0.455335298148636</v>
      </c>
      <c r="C34" s="56" t="n">
        <v>0.541885371444852</v>
      </c>
      <c r="D34" s="56" t="n">
        <v>0.270815830573193</v>
      </c>
      <c r="E34" s="56" t="n">
        <v>0.61268803778985</v>
      </c>
    </row>
    <row r="35" customFormat="false" ht="15" hidden="false" customHeight="false" outlineLevel="0" collapsed="false">
      <c r="A35" s="54" t="s">
        <v>566</v>
      </c>
      <c r="B35" s="58" t="n">
        <v>7.40610236128076</v>
      </c>
      <c r="C35" s="58" t="n">
        <v>10.7224374674061</v>
      </c>
      <c r="D35" s="58" t="n">
        <v>2.64052427669025</v>
      </c>
      <c r="E35" s="58" t="n">
        <v>14.6082675301968</v>
      </c>
    </row>
    <row r="36" customFormat="false" ht="15" hidden="false" customHeight="false" outlineLevel="0" collapsed="false">
      <c r="A36" s="54" t="s">
        <v>567</v>
      </c>
      <c r="B36" s="58" t="n">
        <v>10.135466141345</v>
      </c>
      <c r="C36" s="58" t="n">
        <v>17.2620833010491</v>
      </c>
      <c r="D36" s="58" t="n">
        <v>3.675185135927</v>
      </c>
      <c r="E36" s="58" t="n">
        <v>23.9444112377012</v>
      </c>
    </row>
    <row r="37" customFormat="false" ht="15" hidden="false" customHeight="false" outlineLevel="0" collapsed="false">
      <c r="A37" s="54" t="s">
        <v>568</v>
      </c>
      <c r="B37" s="58" t="n">
        <v>16.4245826208135</v>
      </c>
      <c r="C37" s="58" t="n">
        <v>28.8243439636291</v>
      </c>
      <c r="D37" s="58" t="n">
        <v>5.23410105079169</v>
      </c>
      <c r="E37" s="58" t="n">
        <v>40.2358665478244</v>
      </c>
    </row>
    <row r="38" customFormat="false" ht="15" hidden="false" customHeight="false" outlineLevel="0" collapsed="false">
      <c r="A38" s="54" t="s">
        <v>569</v>
      </c>
      <c r="B38" s="56" t="n">
        <v>0.596782300004213</v>
      </c>
      <c r="C38" s="56" t="n">
        <v>0.741222753989063</v>
      </c>
      <c r="D38" s="56" t="n">
        <v>0.290647336089856</v>
      </c>
      <c r="E38" s="56" t="n">
        <v>0.864020114557757</v>
      </c>
    </row>
    <row r="39" customFormat="false" ht="15" hidden="false" customHeight="false" outlineLevel="0" collapsed="false">
      <c r="A39" s="54" t="s">
        <v>570</v>
      </c>
      <c r="B39" s="56" t="n">
        <v>0.464351404348098</v>
      </c>
      <c r="C39" s="56" t="n">
        <v>0.564294690513821</v>
      </c>
      <c r="D39" s="56" t="n">
        <v>0.249849077228679</v>
      </c>
      <c r="E39" s="56" t="n">
        <v>0.646905014835374</v>
      </c>
    </row>
    <row r="40" customFormat="false" ht="15" hidden="false" customHeight="false" outlineLevel="0" collapsed="false">
      <c r="A40" s="59" t="s">
        <v>571</v>
      </c>
      <c r="B40" s="58" t="n">
        <v>9.86713984104766</v>
      </c>
      <c r="C40" s="58" t="n">
        <v>17.4610778991414</v>
      </c>
      <c r="D40" s="58" t="n">
        <v>3.5351121483395</v>
      </c>
      <c r="E40" s="58" t="n">
        <v>23.3473481949815</v>
      </c>
    </row>
    <row r="41" customFormat="false" ht="15" hidden="false" customHeight="false" outlineLevel="0" collapsed="false">
      <c r="A41" s="59" t="s">
        <v>572</v>
      </c>
      <c r="B41" s="56" t="n">
        <v>0.603195615377543</v>
      </c>
      <c r="C41" s="56" t="n">
        <v>0.76186092746156</v>
      </c>
      <c r="D41" s="56" t="n">
        <v>0.292970162942664</v>
      </c>
      <c r="E41" s="56" t="n">
        <v>0.874388219475112</v>
      </c>
    </row>
    <row r="42" customFormat="false" ht="15" hidden="false" customHeight="false" outlineLevel="0" collapsed="false">
      <c r="A42" s="54" t="s">
        <v>573</v>
      </c>
      <c r="B42" s="57" t="n">
        <v>1</v>
      </c>
      <c r="C42" s="57" t="n">
        <v>1</v>
      </c>
      <c r="D42" s="57" t="n">
        <v>1</v>
      </c>
      <c r="E42" s="57" t="n">
        <v>1</v>
      </c>
    </row>
    <row r="44" customFormat="false" ht="15" hidden="false" customHeight="false" outlineLevel="0" collapsed="false">
      <c r="A44" s="60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2026-10-03T05:52:08Z</dcterms:created>
  <dc:creator>openpyxl</dc:creator>
  <dc:description/>
  <dc:language>en-US</dc:language>
  <cp:lastModifiedBy/>
  <dcterms:modified xsi:type="dcterms:W3CDTF">2026-10-03T05:52:10Z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