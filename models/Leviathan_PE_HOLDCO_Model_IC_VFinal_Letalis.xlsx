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onald_ritts/Downloads/"/>
    </mc:Choice>
  </mc:AlternateContent>
  <xr:revisionPtr revIDLastSave="0" documentId="8_{F9F6A5D6-6B8E-6642-9A60-04D6BDC41201}" xr6:coauthVersionLast="47" xr6:coauthVersionMax="47" xr10:uidLastSave="{00000000-0000-0000-0000-000000000000}"/>
  <bookViews>
    <workbookView xWindow="4420" yWindow="660" windowWidth="21400" windowHeight="18040" tabRatio="500" firstSheet="8" activeTab="10" xr2:uid="{00000000-000D-0000-FFFF-FFFF00000000}"/>
  </bookViews>
  <sheets>
    <sheet name="Read Me" sheetId="1" r:id="rId1"/>
    <sheet name="IC Summary" sheetId="2" r:id="rId2"/>
    <sheet name="Holdco Summary" sheetId="3" r:id="rId3"/>
    <sheet name="Macro Overlay" sheetId="4" r:id="rId4"/>
    <sheet name="Assumptions" sheetId="5" r:id="rId5"/>
    <sheet name="Defense Supercycle" sheetId="6" r:id="rId6"/>
    <sheet name="Allocation" sheetId="7" r:id="rId7"/>
    <sheet name="Portfolio Returns" sheetId="8" r:id="rId8"/>
    <sheet name="Fund Economics" sheetId="9" r:id="rId9"/>
    <sheet name="IQT Clusters" sheetId="10" r:id="rId10"/>
    <sheet name="Weapons Sleeve" sheetId="11" r:id="rId11"/>
    <sheet name="Consumer Sleeve" sheetId="12" r:id="rId12"/>
    <sheet name="PME, DPI &amp; Sensitivity" sheetId="13" r:id="rId13"/>
    <sheet name="Scenario Summary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13" l="1"/>
  <c r="C117" i="13"/>
  <c r="D117" i="13"/>
  <c r="E117" i="13"/>
  <c r="F117" i="13"/>
  <c r="B118" i="13"/>
  <c r="C118" i="13"/>
  <c r="F118" i="13" s="1"/>
  <c r="F119" i="13" s="1"/>
  <c r="D118" i="13"/>
  <c r="E118" i="13"/>
  <c r="B119" i="13"/>
  <c r="B121" i="13" s="1"/>
  <c r="C119" i="13"/>
  <c r="C121" i="13" s="1"/>
  <c r="D119" i="13"/>
  <c r="E119" i="13"/>
  <c r="B120" i="13"/>
  <c r="C120" i="13"/>
  <c r="D120" i="13"/>
  <c r="E120" i="13"/>
  <c r="D121" i="13"/>
  <c r="E121" i="13"/>
  <c r="B101" i="13"/>
  <c r="C101" i="13"/>
  <c r="D101" i="13"/>
  <c r="B102" i="13"/>
  <c r="C102" i="13"/>
  <c r="C106" i="13" s="1"/>
  <c r="C107" i="13" s="1"/>
  <c r="D102" i="13"/>
  <c r="D106" i="13" s="1"/>
  <c r="D107" i="13" s="1"/>
  <c r="B103" i="13"/>
  <c r="B104" i="13" s="1"/>
  <c r="C103" i="13"/>
  <c r="C104" i="13" s="1"/>
  <c r="D103" i="13"/>
  <c r="D104" i="13" s="1"/>
  <c r="B105" i="13"/>
  <c r="C105" i="13"/>
  <c r="D105" i="13"/>
  <c r="B106" i="13"/>
  <c r="B107" i="13"/>
  <c r="B109" i="13" s="1"/>
  <c r="B113" i="13" s="1"/>
  <c r="B87" i="13"/>
  <c r="C87" i="13"/>
  <c r="D87" i="13"/>
  <c r="B88" i="13"/>
  <c r="C88" i="13"/>
  <c r="D88" i="13"/>
  <c r="E88" i="13"/>
  <c r="B89" i="13"/>
  <c r="C89" i="13"/>
  <c r="D89" i="13"/>
  <c r="E89" i="13"/>
  <c r="B90" i="13"/>
  <c r="C90" i="13"/>
  <c r="D90" i="13"/>
  <c r="E90" i="13"/>
  <c r="B91" i="13"/>
  <c r="C91" i="13"/>
  <c r="D91" i="13"/>
  <c r="E91" i="13"/>
  <c r="B92" i="13"/>
  <c r="C92" i="13"/>
  <c r="D92" i="13"/>
  <c r="E92" i="13"/>
  <c r="B93" i="13"/>
  <c r="C93" i="13"/>
  <c r="D93" i="13"/>
  <c r="E93" i="13"/>
  <c r="B94" i="13"/>
  <c r="C94" i="13"/>
  <c r="D94" i="13"/>
  <c r="E94" i="13"/>
  <c r="B81" i="13"/>
  <c r="C81" i="13"/>
  <c r="D81" i="13"/>
  <c r="B74" i="13"/>
  <c r="C74" i="13"/>
  <c r="D74" i="13"/>
  <c r="B75" i="13"/>
  <c r="C75" i="13"/>
  <c r="D75" i="13"/>
  <c r="B76" i="13"/>
  <c r="C76" i="13"/>
  <c r="D76" i="13"/>
  <c r="B77" i="13"/>
  <c r="C77" i="13"/>
  <c r="D77" i="13"/>
  <c r="B78" i="13"/>
  <c r="C78" i="13"/>
  <c r="D78" i="13"/>
  <c r="B79" i="13"/>
  <c r="C79" i="13"/>
  <c r="D79" i="13"/>
  <c r="B80" i="13"/>
  <c r="C80" i="13"/>
  <c r="D80" i="13"/>
  <c r="E63" i="13"/>
  <c r="E64" i="13"/>
  <c r="E65" i="13"/>
  <c r="E66" i="13"/>
  <c r="E67" i="13"/>
  <c r="E68" i="13"/>
  <c r="E69" i="13"/>
  <c r="A86" i="2"/>
  <c r="A53" i="11"/>
  <c r="B53" i="11"/>
  <c r="C53" i="11"/>
  <c r="D53" i="11"/>
  <c r="E53" i="11"/>
  <c r="F53" i="11"/>
  <c r="G53" i="11"/>
  <c r="H53" i="11"/>
  <c r="I53" i="11"/>
  <c r="K53" i="11" s="1"/>
  <c r="J53" i="11"/>
  <c r="L53" i="11"/>
  <c r="M53" i="11" s="1"/>
  <c r="A54" i="11"/>
  <c r="B54" i="11"/>
  <c r="L54" i="11" s="1"/>
  <c r="C54" i="11"/>
  <c r="D54" i="11"/>
  <c r="E54" i="11"/>
  <c r="F54" i="11"/>
  <c r="G54" i="11"/>
  <c r="H54" i="11"/>
  <c r="I54" i="11"/>
  <c r="K54" i="11" s="1"/>
  <c r="J54" i="11"/>
  <c r="A55" i="11"/>
  <c r="B55" i="11"/>
  <c r="I55" i="11" s="1"/>
  <c r="C55" i="11"/>
  <c r="D55" i="11"/>
  <c r="E55" i="11"/>
  <c r="F55" i="11"/>
  <c r="G55" i="11" s="1"/>
  <c r="A56" i="11"/>
  <c r="B56" i="11"/>
  <c r="L56" i="11" s="1"/>
  <c r="C56" i="11"/>
  <c r="E56" i="11" s="1"/>
  <c r="D56" i="11"/>
  <c r="A57" i="11"/>
  <c r="B57" i="11"/>
  <c r="F57" i="11" s="1"/>
  <c r="A58" i="11"/>
  <c r="B58" i="11"/>
  <c r="C58" i="11" s="1"/>
  <c r="I58" i="11"/>
  <c r="J58" i="11"/>
  <c r="K58" i="11"/>
  <c r="L58" i="11"/>
  <c r="M58" i="11" s="1"/>
  <c r="A59" i="11"/>
  <c r="B59" i="11"/>
  <c r="C59" i="11"/>
  <c r="D59" i="11" s="1"/>
  <c r="E59" i="11"/>
  <c r="F59" i="11"/>
  <c r="G59" i="11"/>
  <c r="H59" i="11"/>
  <c r="I59" i="11"/>
  <c r="K59" i="11" s="1"/>
  <c r="A60" i="11"/>
  <c r="B60" i="11"/>
  <c r="L60" i="11" s="1"/>
  <c r="C60" i="11"/>
  <c r="D60" i="11"/>
  <c r="E60" i="11"/>
  <c r="F60" i="11"/>
  <c r="G60" i="11"/>
  <c r="H60" i="11"/>
  <c r="I60" i="11"/>
  <c r="K60" i="11" s="1"/>
  <c r="J60" i="11"/>
  <c r="A61" i="11"/>
  <c r="B61" i="11"/>
  <c r="I61" i="11" s="1"/>
  <c r="C61" i="11"/>
  <c r="D61" i="11"/>
  <c r="E61" i="11"/>
  <c r="F61" i="11"/>
  <c r="G61" i="11" s="1"/>
  <c r="A39" i="11"/>
  <c r="B39" i="11"/>
  <c r="C39" i="11"/>
  <c r="D39" i="11"/>
  <c r="E39" i="11"/>
  <c r="F39" i="11"/>
  <c r="G39" i="11"/>
  <c r="H39" i="11"/>
  <c r="I39" i="11"/>
  <c r="K39" i="11" s="1"/>
  <c r="J39" i="11"/>
  <c r="L39" i="11"/>
  <c r="M39" i="11" s="1"/>
  <c r="A40" i="11"/>
  <c r="B40" i="11"/>
  <c r="L40" i="11" s="1"/>
  <c r="C40" i="11"/>
  <c r="D40" i="11"/>
  <c r="E40" i="11"/>
  <c r="F40" i="11"/>
  <c r="G40" i="11"/>
  <c r="H40" i="11"/>
  <c r="I40" i="11"/>
  <c r="K40" i="11" s="1"/>
  <c r="J40" i="11"/>
  <c r="A41" i="11"/>
  <c r="B41" i="11"/>
  <c r="I41" i="11" s="1"/>
  <c r="C41" i="11"/>
  <c r="D41" i="11"/>
  <c r="E41" i="11"/>
  <c r="F41" i="11"/>
  <c r="G41" i="11" s="1"/>
  <c r="A42" i="11"/>
  <c r="B42" i="11"/>
  <c r="L42" i="11" s="1"/>
  <c r="C42" i="11"/>
  <c r="E42" i="11" s="1"/>
  <c r="D42" i="11"/>
  <c r="A43" i="11"/>
  <c r="B43" i="11"/>
  <c r="F43" i="11" s="1"/>
  <c r="A44" i="11"/>
  <c r="B44" i="11"/>
  <c r="C44" i="11" s="1"/>
  <c r="I44" i="11"/>
  <c r="J44" i="11"/>
  <c r="K44" i="11"/>
  <c r="L44" i="11"/>
  <c r="M44" i="11" s="1"/>
  <c r="A45" i="11"/>
  <c r="B45" i="11"/>
  <c r="F45" i="11"/>
  <c r="G45" i="11" s="1"/>
  <c r="A46" i="11"/>
  <c r="B46" i="11"/>
  <c r="L46" i="11" s="1"/>
  <c r="C46" i="11"/>
  <c r="D46" i="11"/>
  <c r="E46" i="11"/>
  <c r="F46" i="11"/>
  <c r="G46" i="11"/>
  <c r="H46" i="11"/>
  <c r="I46" i="11"/>
  <c r="K46" i="11" s="1"/>
  <c r="J46" i="11"/>
  <c r="A47" i="11"/>
  <c r="B47" i="11"/>
  <c r="I47" i="11" s="1"/>
  <c r="C47" i="11"/>
  <c r="D47" i="11"/>
  <c r="E47" i="11"/>
  <c r="F47" i="11"/>
  <c r="G47" i="11" s="1"/>
  <c r="A25" i="11"/>
  <c r="B25" i="11"/>
  <c r="C25" i="11" s="1"/>
  <c r="F25" i="11"/>
  <c r="G25" i="11"/>
  <c r="H25" i="11"/>
  <c r="I25" i="11"/>
  <c r="K25" i="11" s="1"/>
  <c r="J25" i="11"/>
  <c r="L25" i="11"/>
  <c r="M25" i="11" s="1"/>
  <c r="A26" i="11"/>
  <c r="B26" i="11"/>
  <c r="L26" i="11" s="1"/>
  <c r="F26" i="11"/>
  <c r="G26" i="11"/>
  <c r="H26" i="11"/>
  <c r="I26" i="11"/>
  <c r="K26" i="11" s="1"/>
  <c r="J26" i="11"/>
  <c r="A27" i="11"/>
  <c r="B27" i="11"/>
  <c r="I27" i="11" s="1"/>
  <c r="C27" i="11"/>
  <c r="D27" i="11"/>
  <c r="E27" i="11"/>
  <c r="F27" i="11"/>
  <c r="G27" i="11" s="1"/>
  <c r="A28" i="11"/>
  <c r="B28" i="11"/>
  <c r="L28" i="11" s="1"/>
  <c r="C28" i="11"/>
  <c r="E28" i="11" s="1"/>
  <c r="D28" i="11"/>
  <c r="A29" i="11"/>
  <c r="B29" i="11"/>
  <c r="F29" i="11" s="1"/>
  <c r="A30" i="11"/>
  <c r="B30" i="11"/>
  <c r="C30" i="11" s="1"/>
  <c r="I30" i="11"/>
  <c r="J30" i="11"/>
  <c r="K30" i="11"/>
  <c r="L30" i="11"/>
  <c r="M30" i="11" s="1"/>
  <c r="A31" i="11"/>
  <c r="B31" i="11"/>
  <c r="F31" i="11"/>
  <c r="G31" i="11"/>
  <c r="H31" i="11"/>
  <c r="I31" i="11"/>
  <c r="K31" i="11" s="1"/>
  <c r="J31" i="11"/>
  <c r="A32" i="11"/>
  <c r="B32" i="11"/>
  <c r="L32" i="11" s="1"/>
  <c r="C32" i="11"/>
  <c r="D32" i="11"/>
  <c r="E32" i="11"/>
  <c r="F32" i="11"/>
  <c r="G32" i="11"/>
  <c r="H32" i="11"/>
  <c r="I32" i="11"/>
  <c r="K32" i="11" s="1"/>
  <c r="J32" i="11"/>
  <c r="A33" i="11"/>
  <c r="B33" i="11"/>
  <c r="I33" i="11" s="1"/>
  <c r="C33" i="11"/>
  <c r="D33" i="11"/>
  <c r="E33" i="11"/>
  <c r="F33" i="11"/>
  <c r="G33" i="11" s="1"/>
  <c r="R12" i="11"/>
  <c r="S12" i="11" s="1"/>
  <c r="T12" i="11"/>
  <c r="U12" i="11"/>
  <c r="V12" i="11"/>
  <c r="R13" i="11"/>
  <c r="T13" i="11" s="1"/>
  <c r="R14" i="11"/>
  <c r="T14" i="11" s="1"/>
  <c r="S14" i="11"/>
  <c r="R15" i="11"/>
  <c r="S15" i="11" s="1"/>
  <c r="V15" i="11"/>
  <c r="R16" i="11"/>
  <c r="V16" i="11" s="1"/>
  <c r="S16" i="11"/>
  <c r="T16" i="11"/>
  <c r="U16" i="11"/>
  <c r="R17" i="11"/>
  <c r="S17" i="11"/>
  <c r="T17" i="11"/>
  <c r="U17" i="11"/>
  <c r="V17" i="11"/>
  <c r="R18" i="11"/>
  <c r="S18" i="11"/>
  <c r="C45" i="11" s="1"/>
  <c r="T18" i="11"/>
  <c r="U18" i="11"/>
  <c r="I45" i="11" s="1"/>
  <c r="V18" i="11"/>
  <c r="L59" i="11" s="1"/>
  <c r="M59" i="11" s="1"/>
  <c r="R19" i="11"/>
  <c r="S19" i="11" s="1"/>
  <c r="R20" i="11"/>
  <c r="S20" i="11"/>
  <c r="T20" i="11"/>
  <c r="U20" i="11"/>
  <c r="V20" i="11"/>
  <c r="D19" i="11"/>
  <c r="D18" i="11"/>
  <c r="A29" i="14"/>
  <c r="F52" i="13"/>
  <c r="E52" i="13"/>
  <c r="D52" i="13"/>
  <c r="C52" i="13"/>
  <c r="B52" i="13"/>
  <c r="F49" i="13"/>
  <c r="E49" i="13"/>
  <c r="D49" i="13"/>
  <c r="C49" i="13"/>
  <c r="B49" i="13"/>
  <c r="F36" i="13"/>
  <c r="E36" i="13"/>
  <c r="D36" i="13"/>
  <c r="C36" i="13"/>
  <c r="B36" i="13"/>
  <c r="F33" i="13"/>
  <c r="E33" i="13"/>
  <c r="D33" i="13"/>
  <c r="C33" i="13"/>
  <c r="B33" i="13"/>
  <c r="F20" i="13"/>
  <c r="E20" i="13"/>
  <c r="D20" i="13"/>
  <c r="C20" i="13"/>
  <c r="B20" i="13"/>
  <c r="F17" i="13"/>
  <c r="E17" i="13"/>
  <c r="D17" i="13"/>
  <c r="C17" i="13"/>
  <c r="B17" i="13"/>
  <c r="B61" i="12"/>
  <c r="A61" i="12"/>
  <c r="B60" i="12"/>
  <c r="A60" i="12"/>
  <c r="F59" i="12"/>
  <c r="B59" i="12"/>
  <c r="C59" i="12" s="1"/>
  <c r="E59" i="12" s="1"/>
  <c r="A59" i="12"/>
  <c r="L58" i="12"/>
  <c r="N58" i="12" s="1"/>
  <c r="J58" i="12"/>
  <c r="I58" i="12"/>
  <c r="K58" i="12" s="1"/>
  <c r="F58" i="12"/>
  <c r="G58" i="12" s="1"/>
  <c r="B58" i="12"/>
  <c r="C58" i="12" s="1"/>
  <c r="A58" i="12"/>
  <c r="L57" i="12"/>
  <c r="J57" i="12"/>
  <c r="H57" i="12"/>
  <c r="F57" i="12"/>
  <c r="G57" i="12" s="1"/>
  <c r="B57" i="12"/>
  <c r="I57" i="12" s="1"/>
  <c r="K57" i="12" s="1"/>
  <c r="A57" i="12"/>
  <c r="B56" i="12"/>
  <c r="A56" i="12"/>
  <c r="L55" i="12"/>
  <c r="M55" i="12" s="1"/>
  <c r="B55" i="12"/>
  <c r="A55" i="12"/>
  <c r="B54" i="12"/>
  <c r="A54" i="12"/>
  <c r="F53" i="12"/>
  <c r="B53" i="12"/>
  <c r="C53" i="12" s="1"/>
  <c r="E53" i="12" s="1"/>
  <c r="A53" i="12"/>
  <c r="I47" i="12"/>
  <c r="G47" i="12"/>
  <c r="D47" i="12"/>
  <c r="C47" i="12"/>
  <c r="E47" i="12" s="1"/>
  <c r="B47" i="12"/>
  <c r="F47" i="12" s="1"/>
  <c r="H47" i="12" s="1"/>
  <c r="A47" i="12"/>
  <c r="M46" i="12"/>
  <c r="L46" i="12"/>
  <c r="N46" i="12" s="1"/>
  <c r="I46" i="12"/>
  <c r="J46" i="12" s="1"/>
  <c r="F46" i="12"/>
  <c r="E46" i="12"/>
  <c r="C46" i="12"/>
  <c r="D46" i="12" s="1"/>
  <c r="B46" i="12"/>
  <c r="A46" i="12"/>
  <c r="M45" i="12"/>
  <c r="K45" i="12"/>
  <c r="I45" i="12"/>
  <c r="J45" i="12" s="1"/>
  <c r="C45" i="12"/>
  <c r="B45" i="12"/>
  <c r="L45" i="12" s="1"/>
  <c r="N45" i="12" s="1"/>
  <c r="A45" i="12"/>
  <c r="J44" i="12"/>
  <c r="I44" i="12"/>
  <c r="K44" i="12" s="1"/>
  <c r="C44" i="12"/>
  <c r="B44" i="12"/>
  <c r="L44" i="12" s="1"/>
  <c r="A44" i="12"/>
  <c r="L43" i="12"/>
  <c r="K43" i="12"/>
  <c r="I43" i="12"/>
  <c r="J43" i="12" s="1"/>
  <c r="G43" i="12"/>
  <c r="F43" i="12"/>
  <c r="H43" i="12" s="1"/>
  <c r="C43" i="12"/>
  <c r="B43" i="12"/>
  <c r="A43" i="12"/>
  <c r="I42" i="12"/>
  <c r="B42" i="12"/>
  <c r="A42" i="12"/>
  <c r="I41" i="12"/>
  <c r="J41" i="12" s="1"/>
  <c r="D41" i="12"/>
  <c r="C41" i="12"/>
  <c r="E41" i="12" s="1"/>
  <c r="B41" i="12"/>
  <c r="F41" i="12" s="1"/>
  <c r="H41" i="12" s="1"/>
  <c r="A41" i="12"/>
  <c r="M40" i="12"/>
  <c r="L40" i="12"/>
  <c r="N40" i="12" s="1"/>
  <c r="K40" i="12"/>
  <c r="I40" i="12"/>
  <c r="J40" i="12" s="1"/>
  <c r="F40" i="12"/>
  <c r="E40" i="12"/>
  <c r="C40" i="12"/>
  <c r="D40" i="12" s="1"/>
  <c r="B40" i="12"/>
  <c r="A40" i="12"/>
  <c r="M39" i="12"/>
  <c r="K39" i="12"/>
  <c r="I39" i="12"/>
  <c r="J39" i="12" s="1"/>
  <c r="C39" i="12"/>
  <c r="B39" i="12"/>
  <c r="L39" i="12" s="1"/>
  <c r="A39" i="12"/>
  <c r="B33" i="12"/>
  <c r="A33" i="12"/>
  <c r="L32" i="12"/>
  <c r="N32" i="12" s="1"/>
  <c r="I32" i="12"/>
  <c r="H32" i="12"/>
  <c r="F32" i="12"/>
  <c r="G32" i="12" s="1"/>
  <c r="C32" i="12"/>
  <c r="E32" i="12" s="1"/>
  <c r="B32" i="12"/>
  <c r="A32" i="12"/>
  <c r="F31" i="12"/>
  <c r="C31" i="12"/>
  <c r="D31" i="12" s="1"/>
  <c r="B31" i="12"/>
  <c r="A31" i="12"/>
  <c r="L30" i="12"/>
  <c r="H30" i="12"/>
  <c r="G30" i="12"/>
  <c r="F30" i="12"/>
  <c r="B30" i="12"/>
  <c r="I30" i="12" s="1"/>
  <c r="A30" i="12"/>
  <c r="I29" i="12"/>
  <c r="B29" i="12"/>
  <c r="A29" i="12"/>
  <c r="L28" i="12"/>
  <c r="M28" i="12" s="1"/>
  <c r="K28" i="12"/>
  <c r="I28" i="12"/>
  <c r="J28" i="12" s="1"/>
  <c r="B28" i="12"/>
  <c r="A28" i="12"/>
  <c r="N27" i="12"/>
  <c r="L27" i="12"/>
  <c r="M27" i="12" s="1"/>
  <c r="F27" i="12"/>
  <c r="H27" i="12" s="1"/>
  <c r="B27" i="12"/>
  <c r="A27" i="12"/>
  <c r="L26" i="12"/>
  <c r="F26" i="12"/>
  <c r="B26" i="12"/>
  <c r="C26" i="12" s="1"/>
  <c r="E26" i="12" s="1"/>
  <c r="A26" i="12"/>
  <c r="E25" i="12"/>
  <c r="D25" i="12"/>
  <c r="C25" i="12"/>
  <c r="B25" i="12"/>
  <c r="A25" i="12"/>
  <c r="C21" i="12"/>
  <c r="D20" i="12"/>
  <c r="D19" i="12"/>
  <c r="D18" i="12"/>
  <c r="D17" i="12"/>
  <c r="D16" i="12"/>
  <c r="D15" i="12"/>
  <c r="D14" i="12"/>
  <c r="D13" i="12"/>
  <c r="D12" i="12"/>
  <c r="B5" i="12"/>
  <c r="C21" i="11"/>
  <c r="B74" i="2" s="1"/>
  <c r="D20" i="11"/>
  <c r="D17" i="11"/>
  <c r="D16" i="11"/>
  <c r="D15" i="11"/>
  <c r="D14" i="11"/>
  <c r="D13" i="11"/>
  <c r="D12" i="11"/>
  <c r="B5" i="11"/>
  <c r="E33" i="10"/>
  <c r="F33" i="10" s="1"/>
  <c r="D33" i="10"/>
  <c r="B33" i="10"/>
  <c r="B32" i="10"/>
  <c r="B31" i="10"/>
  <c r="B30" i="10"/>
  <c r="G25" i="10"/>
  <c r="H25" i="10" s="1"/>
  <c r="B25" i="10"/>
  <c r="B24" i="10"/>
  <c r="H23" i="10"/>
  <c r="G23" i="10"/>
  <c r="B23" i="10"/>
  <c r="B22" i="10"/>
  <c r="E17" i="10"/>
  <c r="F17" i="10" s="1"/>
  <c r="B17" i="10"/>
  <c r="B16" i="10"/>
  <c r="C15" i="10"/>
  <c r="D15" i="10" s="1"/>
  <c r="B15" i="10"/>
  <c r="B14" i="10"/>
  <c r="C9" i="10"/>
  <c r="C8" i="10"/>
  <c r="E8" i="10" s="1"/>
  <c r="C7" i="10"/>
  <c r="D7" i="10" s="1"/>
  <c r="C6" i="10"/>
  <c r="B39" i="9"/>
  <c r="E27" i="9"/>
  <c r="D27" i="9"/>
  <c r="C11" i="9"/>
  <c r="C7" i="9"/>
  <c r="I42" i="8"/>
  <c r="H42" i="8"/>
  <c r="G42" i="8"/>
  <c r="F42" i="8"/>
  <c r="C42" i="8"/>
  <c r="C33" i="10" s="1"/>
  <c r="B42" i="8"/>
  <c r="A42" i="8"/>
  <c r="I41" i="8"/>
  <c r="F41" i="8"/>
  <c r="G41" i="8" s="1"/>
  <c r="C41" i="8"/>
  <c r="B41" i="8"/>
  <c r="H41" i="8" s="1"/>
  <c r="A41" i="8"/>
  <c r="K40" i="8"/>
  <c r="I40" i="8"/>
  <c r="F40" i="8"/>
  <c r="C40" i="8"/>
  <c r="B40" i="8"/>
  <c r="J40" i="8" s="1"/>
  <c r="A40" i="8"/>
  <c r="I39" i="8"/>
  <c r="K39" i="8" s="1"/>
  <c r="F39" i="8"/>
  <c r="E32" i="10" s="1"/>
  <c r="F32" i="10" s="1"/>
  <c r="C39" i="8"/>
  <c r="C32" i="10" s="1"/>
  <c r="D32" i="10" s="1"/>
  <c r="B39" i="8"/>
  <c r="G39" i="8" s="1"/>
  <c r="A39" i="8"/>
  <c r="I38" i="8"/>
  <c r="F38" i="8"/>
  <c r="G38" i="8" s="1"/>
  <c r="C38" i="8"/>
  <c r="B38" i="8"/>
  <c r="A38" i="8"/>
  <c r="J37" i="8"/>
  <c r="I37" i="8"/>
  <c r="H37" i="8"/>
  <c r="G37" i="8"/>
  <c r="F37" i="8"/>
  <c r="E37" i="8"/>
  <c r="D37" i="8"/>
  <c r="C37" i="8"/>
  <c r="B37" i="8"/>
  <c r="A37" i="8"/>
  <c r="K36" i="8"/>
  <c r="J36" i="8"/>
  <c r="I36" i="8"/>
  <c r="H36" i="8"/>
  <c r="F36" i="8"/>
  <c r="E30" i="10" s="1"/>
  <c r="C36" i="8"/>
  <c r="E36" i="8" s="1"/>
  <c r="B36" i="8"/>
  <c r="A36" i="8"/>
  <c r="K35" i="8"/>
  <c r="J35" i="8"/>
  <c r="I35" i="8"/>
  <c r="G30" i="10" s="1"/>
  <c r="H35" i="8"/>
  <c r="F35" i="8"/>
  <c r="C35" i="8"/>
  <c r="B35" i="8"/>
  <c r="A35" i="8"/>
  <c r="K34" i="8"/>
  <c r="J34" i="8"/>
  <c r="I34" i="8"/>
  <c r="F34" i="8"/>
  <c r="H34" i="8" s="1"/>
  <c r="E34" i="8"/>
  <c r="C34" i="8"/>
  <c r="B34" i="8"/>
  <c r="A34" i="8"/>
  <c r="I28" i="8"/>
  <c r="F28" i="8"/>
  <c r="E25" i="10" s="1"/>
  <c r="F25" i="10" s="1"/>
  <c r="C28" i="8"/>
  <c r="B28" i="8"/>
  <c r="A28" i="8"/>
  <c r="I27" i="8"/>
  <c r="F27" i="8"/>
  <c r="E27" i="8"/>
  <c r="D27" i="8"/>
  <c r="C27" i="8"/>
  <c r="B27" i="8"/>
  <c r="A27" i="8"/>
  <c r="K26" i="8"/>
  <c r="I26" i="8"/>
  <c r="J26" i="8" s="1"/>
  <c r="F26" i="8"/>
  <c r="E26" i="8"/>
  <c r="C26" i="8"/>
  <c r="D26" i="8" s="1"/>
  <c r="B26" i="8"/>
  <c r="A26" i="8"/>
  <c r="J25" i="8"/>
  <c r="I25" i="8"/>
  <c r="G25" i="8"/>
  <c r="F25" i="8"/>
  <c r="E24" i="10" s="1"/>
  <c r="F24" i="10" s="1"/>
  <c r="C25" i="8"/>
  <c r="E25" i="8" s="1"/>
  <c r="B25" i="8"/>
  <c r="H25" i="8" s="1"/>
  <c r="A25" i="8"/>
  <c r="J24" i="8"/>
  <c r="I24" i="8"/>
  <c r="K24" i="8" s="1"/>
  <c r="F24" i="8"/>
  <c r="D24" i="8"/>
  <c r="C24" i="8"/>
  <c r="E24" i="8" s="1"/>
  <c r="B24" i="8"/>
  <c r="A24" i="8"/>
  <c r="I23" i="8"/>
  <c r="F23" i="8"/>
  <c r="C23" i="8"/>
  <c r="C29" i="8" s="1"/>
  <c r="B23" i="8"/>
  <c r="K23" i="8" s="1"/>
  <c r="A23" i="8"/>
  <c r="I22" i="8"/>
  <c r="K22" i="8" s="1"/>
  <c r="G22" i="8"/>
  <c r="F22" i="8"/>
  <c r="C22" i="8"/>
  <c r="B22" i="8"/>
  <c r="A22" i="8"/>
  <c r="J21" i="8"/>
  <c r="I21" i="8"/>
  <c r="K21" i="8" s="1"/>
  <c r="H21" i="8"/>
  <c r="G21" i="8"/>
  <c r="F21" i="8"/>
  <c r="E21" i="8"/>
  <c r="C21" i="8"/>
  <c r="B21" i="8"/>
  <c r="A21" i="8"/>
  <c r="K20" i="8"/>
  <c r="J20" i="8"/>
  <c r="I20" i="8"/>
  <c r="H20" i="8"/>
  <c r="G20" i="8"/>
  <c r="F20" i="8"/>
  <c r="E22" i="10" s="1"/>
  <c r="E20" i="8"/>
  <c r="C20" i="8"/>
  <c r="D20" i="8" s="1"/>
  <c r="B20" i="8"/>
  <c r="A20" i="8"/>
  <c r="J14" i="8"/>
  <c r="I14" i="8"/>
  <c r="H14" i="8"/>
  <c r="F14" i="8"/>
  <c r="G14" i="8" s="1"/>
  <c r="C14" i="8"/>
  <c r="B14" i="8"/>
  <c r="A14" i="8"/>
  <c r="I13" i="8"/>
  <c r="F13" i="8"/>
  <c r="H13" i="8" s="1"/>
  <c r="D13" i="8"/>
  <c r="C13" i="8"/>
  <c r="E13" i="8" s="1"/>
  <c r="B13" i="8"/>
  <c r="A13" i="8"/>
  <c r="I12" i="8"/>
  <c r="F12" i="8"/>
  <c r="C12" i="8"/>
  <c r="E12" i="8" s="1"/>
  <c r="B12" i="8"/>
  <c r="J12" i="8" s="1"/>
  <c r="A12" i="8"/>
  <c r="I11" i="8"/>
  <c r="G11" i="8"/>
  <c r="F11" i="8"/>
  <c r="C11" i="8"/>
  <c r="B11" i="8"/>
  <c r="A11" i="8"/>
  <c r="I10" i="8"/>
  <c r="K10" i="8" s="1"/>
  <c r="G10" i="8"/>
  <c r="F10" i="8"/>
  <c r="H10" i="8" s="1"/>
  <c r="E10" i="8"/>
  <c r="D10" i="8"/>
  <c r="C10" i="8"/>
  <c r="B10" i="8"/>
  <c r="A10" i="8"/>
  <c r="I9" i="8"/>
  <c r="F9" i="8"/>
  <c r="C9" i="8"/>
  <c r="E9" i="8" s="1"/>
  <c r="B9" i="8"/>
  <c r="A9" i="8"/>
  <c r="I8" i="8"/>
  <c r="H8" i="8"/>
  <c r="F8" i="8"/>
  <c r="D8" i="8"/>
  <c r="C8" i="8"/>
  <c r="E8" i="8" s="1"/>
  <c r="B8" i="8"/>
  <c r="A8" i="8"/>
  <c r="I7" i="8"/>
  <c r="F7" i="8"/>
  <c r="C7" i="8"/>
  <c r="B7" i="8"/>
  <c r="J7" i="8" s="1"/>
  <c r="A7" i="8"/>
  <c r="I6" i="8"/>
  <c r="F6" i="8"/>
  <c r="C6" i="8"/>
  <c r="B6" i="8"/>
  <c r="B15" i="8" s="1"/>
  <c r="A6" i="8"/>
  <c r="F13" i="7"/>
  <c r="D13" i="7"/>
  <c r="B13" i="7"/>
  <c r="A13" i="7"/>
  <c r="F12" i="7"/>
  <c r="E12" i="7"/>
  <c r="B12" i="7"/>
  <c r="A12" i="7"/>
  <c r="F11" i="7"/>
  <c r="D11" i="7"/>
  <c r="C11" i="7"/>
  <c r="B11" i="7"/>
  <c r="A11" i="7"/>
  <c r="F10" i="7"/>
  <c r="B10" i="7"/>
  <c r="A10" i="7"/>
  <c r="F9" i="7"/>
  <c r="D9" i="7"/>
  <c r="C9" i="7"/>
  <c r="B9" i="7"/>
  <c r="A9" i="7"/>
  <c r="F8" i="7"/>
  <c r="E8" i="7"/>
  <c r="B8" i="7"/>
  <c r="A8" i="7"/>
  <c r="F7" i="7"/>
  <c r="B7" i="7"/>
  <c r="A7" i="7"/>
  <c r="F6" i="7"/>
  <c r="D6" i="7"/>
  <c r="B6" i="7"/>
  <c r="A6" i="7"/>
  <c r="F5" i="7"/>
  <c r="B5" i="7"/>
  <c r="A5" i="7"/>
  <c r="G32" i="6"/>
  <c r="I31" i="6"/>
  <c r="G31" i="6"/>
  <c r="H31" i="6" s="1"/>
  <c r="H30" i="6"/>
  <c r="I30" i="6" s="1"/>
  <c r="G30" i="6"/>
  <c r="E11" i="7" s="1"/>
  <c r="H29" i="6"/>
  <c r="I29" i="6" s="1"/>
  <c r="G29" i="6"/>
  <c r="F8" i="10" s="1"/>
  <c r="G28" i="6"/>
  <c r="E9" i="7" s="1"/>
  <c r="G27" i="6"/>
  <c r="H26" i="6"/>
  <c r="I26" i="6" s="1"/>
  <c r="G26" i="6"/>
  <c r="E7" i="7" s="1"/>
  <c r="H25" i="6"/>
  <c r="I25" i="6" s="1"/>
  <c r="I19" i="5" s="1"/>
  <c r="G25" i="6"/>
  <c r="E6" i="7" s="1"/>
  <c r="H24" i="6"/>
  <c r="I24" i="6" s="1"/>
  <c r="G24" i="6"/>
  <c r="B21" i="6"/>
  <c r="B76" i="2" s="1"/>
  <c r="D76" i="2" s="1"/>
  <c r="B10" i="6"/>
  <c r="C27" i="5"/>
  <c r="D26" i="5"/>
  <c r="C13" i="7" s="1"/>
  <c r="I25" i="5"/>
  <c r="L27" i="8" s="1"/>
  <c r="D25" i="5"/>
  <c r="C12" i="7" s="1"/>
  <c r="I24" i="5"/>
  <c r="D24" i="5"/>
  <c r="D23" i="5"/>
  <c r="C10" i="7" s="1"/>
  <c r="D22" i="5"/>
  <c r="D21" i="5"/>
  <c r="C8" i="7" s="1"/>
  <c r="I20" i="5"/>
  <c r="L8" i="8" s="1"/>
  <c r="D20" i="5"/>
  <c r="C7" i="7" s="1"/>
  <c r="D19" i="5"/>
  <c r="C6" i="7" s="1"/>
  <c r="D18" i="5"/>
  <c r="C5" i="7" s="1"/>
  <c r="B5" i="5"/>
  <c r="E23" i="9" s="1"/>
  <c r="F75" i="3"/>
  <c r="D75" i="3"/>
  <c r="F74" i="3"/>
  <c r="E74" i="3"/>
  <c r="C74" i="3"/>
  <c r="F54" i="3"/>
  <c r="C54" i="3"/>
  <c r="B54" i="3"/>
  <c r="F53" i="3"/>
  <c r="F33" i="3"/>
  <c r="C33" i="3"/>
  <c r="B33" i="3"/>
  <c r="F32" i="3"/>
  <c r="B22" i="3"/>
  <c r="B21" i="3"/>
  <c r="B9" i="3"/>
  <c r="E6" i="10" s="1"/>
  <c r="C8" i="3"/>
  <c r="C42" i="2" s="1"/>
  <c r="B77" i="2"/>
  <c r="D77" i="2" s="1"/>
  <c r="D75" i="2"/>
  <c r="C75" i="2"/>
  <c r="B75" i="2"/>
  <c r="C74" i="2"/>
  <c r="C73" i="2"/>
  <c r="B72" i="2"/>
  <c r="D72" i="2" s="1"/>
  <c r="E68" i="2"/>
  <c r="D68" i="2"/>
  <c r="F68" i="2" s="1"/>
  <c r="C68" i="2"/>
  <c r="B68" i="2"/>
  <c r="D42" i="2"/>
  <c r="B42" i="2"/>
  <c r="A42" i="2"/>
  <c r="D41" i="2"/>
  <c r="D43" i="2" s="1"/>
  <c r="B41" i="2"/>
  <c r="B43" i="2" s="1"/>
  <c r="A41" i="2"/>
  <c r="D40" i="2"/>
  <c r="B40" i="2"/>
  <c r="A40" i="2"/>
  <c r="F121" i="13" l="1"/>
  <c r="F120" i="13"/>
  <c r="C109" i="13"/>
  <c r="C113" i="13" s="1"/>
  <c r="C110" i="13"/>
  <c r="C108" i="13"/>
  <c r="C111" i="13"/>
  <c r="C112" i="13" s="1"/>
  <c r="D111" i="13"/>
  <c r="D112" i="13" s="1"/>
  <c r="D109" i="13"/>
  <c r="D113" i="13" s="1"/>
  <c r="D110" i="13"/>
  <c r="D108" i="13"/>
  <c r="B108" i="13"/>
  <c r="B110" i="13"/>
  <c r="B111" i="13"/>
  <c r="B112" i="13" s="1"/>
  <c r="L45" i="11"/>
  <c r="M45" i="11" s="1"/>
  <c r="L31" i="11"/>
  <c r="M31" i="11" s="1"/>
  <c r="K45" i="11"/>
  <c r="J45" i="11"/>
  <c r="J59" i="11"/>
  <c r="H45" i="11"/>
  <c r="D45" i="11"/>
  <c r="E45" i="11"/>
  <c r="C31" i="11"/>
  <c r="D31" i="11" s="1"/>
  <c r="D58" i="11"/>
  <c r="E58" i="11"/>
  <c r="J55" i="11"/>
  <c r="K55" i="11"/>
  <c r="M56" i="11"/>
  <c r="N56" i="11"/>
  <c r="M60" i="11"/>
  <c r="N60" i="11"/>
  <c r="G57" i="11"/>
  <c r="H57" i="11"/>
  <c r="J61" i="11"/>
  <c r="K61" i="11"/>
  <c r="M54" i="11"/>
  <c r="N54" i="11"/>
  <c r="H61" i="11"/>
  <c r="N58" i="11"/>
  <c r="F56" i="11"/>
  <c r="H55" i="11"/>
  <c r="C57" i="11"/>
  <c r="I57" i="11"/>
  <c r="L57" i="11"/>
  <c r="L61" i="11"/>
  <c r="F58" i="11"/>
  <c r="L55" i="11"/>
  <c r="I56" i="11"/>
  <c r="N59" i="11"/>
  <c r="N53" i="11"/>
  <c r="G43" i="11"/>
  <c r="H43" i="11"/>
  <c r="D44" i="11"/>
  <c r="E44" i="11"/>
  <c r="J41" i="11"/>
  <c r="K41" i="11"/>
  <c r="M42" i="11"/>
  <c r="N42" i="11"/>
  <c r="M46" i="11"/>
  <c r="N46" i="11"/>
  <c r="J47" i="11"/>
  <c r="K47" i="11"/>
  <c r="M40" i="11"/>
  <c r="N40" i="11"/>
  <c r="H47" i="11"/>
  <c r="N44" i="11"/>
  <c r="F42" i="11"/>
  <c r="H41" i="11"/>
  <c r="C43" i="11"/>
  <c r="I43" i="11"/>
  <c r="L43" i="11"/>
  <c r="L47" i="11"/>
  <c r="F44" i="11"/>
  <c r="L41" i="11"/>
  <c r="I42" i="11"/>
  <c r="N45" i="11"/>
  <c r="N39" i="11"/>
  <c r="M28" i="11"/>
  <c r="N28" i="11"/>
  <c r="J33" i="11"/>
  <c r="K33" i="11"/>
  <c r="D30" i="11"/>
  <c r="E30" i="11"/>
  <c r="J27" i="11"/>
  <c r="K27" i="11"/>
  <c r="M32" i="11"/>
  <c r="N32" i="11"/>
  <c r="G29" i="11"/>
  <c r="H29" i="11"/>
  <c r="M26" i="11"/>
  <c r="N26" i="11"/>
  <c r="D25" i="11"/>
  <c r="E25" i="11"/>
  <c r="H33" i="11"/>
  <c r="N30" i="11"/>
  <c r="F28" i="11"/>
  <c r="H27" i="11"/>
  <c r="C29" i="11"/>
  <c r="E31" i="11"/>
  <c r="I29" i="11"/>
  <c r="C26" i="11"/>
  <c r="L29" i="11"/>
  <c r="L33" i="11"/>
  <c r="F30" i="11"/>
  <c r="L27" i="11"/>
  <c r="I28" i="11"/>
  <c r="N31" i="11"/>
  <c r="N25" i="11"/>
  <c r="U15" i="11"/>
  <c r="S13" i="11"/>
  <c r="T15" i="11"/>
  <c r="V13" i="11"/>
  <c r="V19" i="11"/>
  <c r="U19" i="11"/>
  <c r="T19" i="11"/>
  <c r="U14" i="11"/>
  <c r="U13" i="11"/>
  <c r="V14" i="11"/>
  <c r="E9" i="10"/>
  <c r="C6" i="3"/>
  <c r="D33" i="3"/>
  <c r="D54" i="3"/>
  <c r="B75" i="3"/>
  <c r="C7" i="3"/>
  <c r="C41" i="2" s="1"/>
  <c r="E33" i="3"/>
  <c r="E54" i="3"/>
  <c r="C75" i="3"/>
  <c r="B36" i="3"/>
  <c r="C36" i="3"/>
  <c r="B78" i="3"/>
  <c r="D36" i="3"/>
  <c r="C32" i="3"/>
  <c r="E36" i="3"/>
  <c r="E57" i="3"/>
  <c r="E78" i="3"/>
  <c r="D57" i="3"/>
  <c r="D32" i="3"/>
  <c r="B53" i="3"/>
  <c r="F57" i="3"/>
  <c r="F78" i="3"/>
  <c r="B57" i="3"/>
  <c r="C57" i="3"/>
  <c r="D78" i="3"/>
  <c r="E32" i="3"/>
  <c r="D53" i="3"/>
  <c r="B74" i="3"/>
  <c r="E7" i="10"/>
  <c r="B48" i="11"/>
  <c r="D74" i="2"/>
  <c r="L21" i="8"/>
  <c r="L35" i="8"/>
  <c r="L7" i="8"/>
  <c r="F30" i="10"/>
  <c r="B22" i="9"/>
  <c r="D29" i="8"/>
  <c r="E29" i="8"/>
  <c r="G8" i="10"/>
  <c r="I23" i="5"/>
  <c r="N8" i="8"/>
  <c r="M8" i="8"/>
  <c r="G6" i="10"/>
  <c r="I18" i="5"/>
  <c r="D21" i="8"/>
  <c r="C22" i="10"/>
  <c r="G28" i="8"/>
  <c r="C30" i="10"/>
  <c r="C43" i="8"/>
  <c r="D34" i="8"/>
  <c r="G31" i="10"/>
  <c r="H31" i="10" s="1"/>
  <c r="K37" i="8"/>
  <c r="D39" i="8"/>
  <c r="E7" i="9"/>
  <c r="L26" i="8"/>
  <c r="L40" i="8"/>
  <c r="N27" i="8"/>
  <c r="M27" i="8"/>
  <c r="K11" i="8"/>
  <c r="J11" i="8"/>
  <c r="G16" i="10"/>
  <c r="H16" i="10" s="1"/>
  <c r="K13" i="8"/>
  <c r="J13" i="8"/>
  <c r="H28" i="8"/>
  <c r="E39" i="8"/>
  <c r="K32" i="12"/>
  <c r="J32" i="12"/>
  <c r="E13" i="7"/>
  <c r="H32" i="6"/>
  <c r="I32" i="6" s="1"/>
  <c r="H9" i="8"/>
  <c r="G9" i="8"/>
  <c r="G17" i="10"/>
  <c r="H17" i="10" s="1"/>
  <c r="K14" i="8"/>
  <c r="H30" i="10"/>
  <c r="H27" i="6"/>
  <c r="I27" i="6" s="1"/>
  <c r="F7" i="10"/>
  <c r="G15" i="10"/>
  <c r="H15" i="10" s="1"/>
  <c r="J9" i="8"/>
  <c r="D9" i="10"/>
  <c r="C10" i="10"/>
  <c r="N30" i="12"/>
  <c r="M30" i="12"/>
  <c r="A28" i="5"/>
  <c r="B73" i="2"/>
  <c r="D73" i="2" s="1"/>
  <c r="G33" i="6"/>
  <c r="E7" i="8"/>
  <c r="K9" i="8"/>
  <c r="J10" i="8"/>
  <c r="E38" i="8"/>
  <c r="D38" i="8"/>
  <c r="G33" i="10"/>
  <c r="H33" i="10" s="1"/>
  <c r="K42" i="8"/>
  <c r="J42" i="8"/>
  <c r="J47" i="12"/>
  <c r="K47" i="12"/>
  <c r="F9" i="10"/>
  <c r="G26" i="12"/>
  <c r="H26" i="12"/>
  <c r="N44" i="12"/>
  <c r="M44" i="12"/>
  <c r="B14" i="7"/>
  <c r="D7" i="7"/>
  <c r="C14" i="10"/>
  <c r="C15" i="8"/>
  <c r="E6" i="8"/>
  <c r="H7" i="8"/>
  <c r="G7" i="8"/>
  <c r="J8" i="8"/>
  <c r="D12" i="8"/>
  <c r="H23" i="8"/>
  <c r="G23" i="8"/>
  <c r="E23" i="10"/>
  <c r="F23" i="10" s="1"/>
  <c r="K27" i="8"/>
  <c r="J27" i="8"/>
  <c r="F29" i="8"/>
  <c r="H38" i="8"/>
  <c r="E11" i="9"/>
  <c r="N28" i="12"/>
  <c r="D44" i="12"/>
  <c r="E44" i="12"/>
  <c r="E5" i="7"/>
  <c r="F10" i="10"/>
  <c r="F6" i="10"/>
  <c r="D12" i="7"/>
  <c r="D6" i="8"/>
  <c r="K8" i="8"/>
  <c r="L13" i="8"/>
  <c r="I15" i="8"/>
  <c r="K41" i="8"/>
  <c r="J41" i="8"/>
  <c r="B23" i="9"/>
  <c r="G14" i="10"/>
  <c r="B34" i="10"/>
  <c r="G31" i="12"/>
  <c r="H31" i="12"/>
  <c r="D5" i="7"/>
  <c r="F15" i="8"/>
  <c r="E14" i="10"/>
  <c r="H6" i="8"/>
  <c r="K7" i="8"/>
  <c r="H12" i="8"/>
  <c r="G12" i="8"/>
  <c r="H22" i="8"/>
  <c r="B29" i="8"/>
  <c r="D22" i="8"/>
  <c r="D40" i="8"/>
  <c r="L41" i="8"/>
  <c r="D23" i="9"/>
  <c r="C60" i="12"/>
  <c r="L60" i="12"/>
  <c r="I60" i="12"/>
  <c r="L22" i="8"/>
  <c r="L36" i="8"/>
  <c r="H28" i="6"/>
  <c r="I28" i="6" s="1"/>
  <c r="I22" i="5" s="1"/>
  <c r="D7" i="8"/>
  <c r="C23" i="10"/>
  <c r="D23" i="10" s="1"/>
  <c r="E23" i="8"/>
  <c r="D23" i="8"/>
  <c r="H27" i="8"/>
  <c r="G27" i="8"/>
  <c r="E10" i="7"/>
  <c r="G6" i="8"/>
  <c r="C16" i="10"/>
  <c r="D16" i="10" s="1"/>
  <c r="E11" i="8"/>
  <c r="H26" i="8"/>
  <c r="G26" i="8"/>
  <c r="C25" i="10"/>
  <c r="D25" i="10" s="1"/>
  <c r="E28" i="8"/>
  <c r="E31" i="10"/>
  <c r="F31" i="10" s="1"/>
  <c r="E40" i="8"/>
  <c r="B43" i="9"/>
  <c r="E40" i="9"/>
  <c r="B27" i="9"/>
  <c r="F27" i="9" s="1"/>
  <c r="E24" i="9"/>
  <c r="B11" i="9"/>
  <c r="E8" i="9"/>
  <c r="D40" i="9"/>
  <c r="D24" i="9"/>
  <c r="D8" i="9"/>
  <c r="C40" i="9"/>
  <c r="C24" i="9"/>
  <c r="C8" i="9"/>
  <c r="B40" i="9"/>
  <c r="B24" i="9"/>
  <c r="B8" i="9"/>
  <c r="F8" i="9" s="1"/>
  <c r="D11" i="9"/>
  <c r="D7" i="9"/>
  <c r="B7" i="9"/>
  <c r="F7" i="9" s="1"/>
  <c r="E43" i="9"/>
  <c r="E39" i="9"/>
  <c r="D43" i="9"/>
  <c r="D39" i="9"/>
  <c r="C43" i="9"/>
  <c r="C39" i="9"/>
  <c r="F39" i="9" s="1"/>
  <c r="D10" i="7"/>
  <c r="C27" i="9"/>
  <c r="C23" i="9"/>
  <c r="D8" i="7"/>
  <c r="K6" i="8"/>
  <c r="D11" i="8"/>
  <c r="L12" i="8"/>
  <c r="E22" i="8"/>
  <c r="D28" i="8"/>
  <c r="F43" i="8"/>
  <c r="G36" i="8"/>
  <c r="H40" i="8"/>
  <c r="D6" i="10"/>
  <c r="E15" i="10"/>
  <c r="F15" i="10" s="1"/>
  <c r="F60" i="12"/>
  <c r="E14" i="8"/>
  <c r="D14" i="8"/>
  <c r="C17" i="10"/>
  <c r="D17" i="10" s="1"/>
  <c r="E35" i="8"/>
  <c r="D35" i="8"/>
  <c r="E58" i="12"/>
  <c r="D58" i="12"/>
  <c r="N26" i="12"/>
  <c r="M26" i="12"/>
  <c r="G59" i="12"/>
  <c r="H59" i="12"/>
  <c r="G22" i="10"/>
  <c r="I29" i="8"/>
  <c r="E41" i="8"/>
  <c r="D41" i="8"/>
  <c r="I43" i="8"/>
  <c r="B34" i="12"/>
  <c r="L25" i="12"/>
  <c r="I25" i="12"/>
  <c r="G8" i="8"/>
  <c r="H24" i="8"/>
  <c r="K28" i="8"/>
  <c r="C31" i="10"/>
  <c r="D31" i="10" s="1"/>
  <c r="H39" i="8"/>
  <c r="B26" i="10"/>
  <c r="F25" i="12"/>
  <c r="E39" i="12"/>
  <c r="D39" i="12"/>
  <c r="I56" i="12"/>
  <c r="F56" i="12"/>
  <c r="C56" i="12"/>
  <c r="E16" i="10"/>
  <c r="F16" i="10" s="1"/>
  <c r="K12" i="8"/>
  <c r="G24" i="10"/>
  <c r="H24" i="10" s="1"/>
  <c r="B43" i="8"/>
  <c r="F29" i="12"/>
  <c r="C29" i="12"/>
  <c r="L29" i="12"/>
  <c r="L31" i="12"/>
  <c r="I31" i="12"/>
  <c r="M32" i="12"/>
  <c r="H58" i="12"/>
  <c r="K29" i="12"/>
  <c r="J29" i="12"/>
  <c r="F62" i="12"/>
  <c r="G53" i="12"/>
  <c r="L56" i="12"/>
  <c r="D74" i="3"/>
  <c r="E53" i="3"/>
  <c r="B32" i="3"/>
  <c r="F36" i="3"/>
  <c r="C53" i="3"/>
  <c r="E75" i="3"/>
  <c r="C78" i="3"/>
  <c r="H11" i="8"/>
  <c r="J23" i="8"/>
  <c r="K25" i="8"/>
  <c r="G35" i="8"/>
  <c r="B18" i="10"/>
  <c r="D26" i="12"/>
  <c r="E31" i="12"/>
  <c r="D43" i="12"/>
  <c r="E43" i="12"/>
  <c r="H53" i="12"/>
  <c r="E26" i="10"/>
  <c r="F26" i="10" s="1"/>
  <c r="F22" i="10"/>
  <c r="K38" i="8"/>
  <c r="J38" i="8"/>
  <c r="K30" i="12"/>
  <c r="J30" i="12"/>
  <c r="G41" i="12"/>
  <c r="C54" i="12"/>
  <c r="L54" i="12"/>
  <c r="I54" i="12"/>
  <c r="F54" i="12"/>
  <c r="I26" i="12"/>
  <c r="N43" i="12"/>
  <c r="M43" i="12"/>
  <c r="N57" i="12"/>
  <c r="M57" i="12"/>
  <c r="G27" i="12"/>
  <c r="D32" i="12"/>
  <c r="K42" i="12"/>
  <c r="J42" i="12"/>
  <c r="D53" i="12"/>
  <c r="N55" i="12"/>
  <c r="C24" i="10"/>
  <c r="D24" i="10" s="1"/>
  <c r="G32" i="10"/>
  <c r="H32" i="10" s="1"/>
  <c r="I61" i="12"/>
  <c r="F61" i="12"/>
  <c r="C61" i="12"/>
  <c r="G13" i="8"/>
  <c r="J22" i="8"/>
  <c r="D25" i="8"/>
  <c r="J28" i="8"/>
  <c r="G34" i="8"/>
  <c r="G40" i="8"/>
  <c r="D8" i="10"/>
  <c r="B34" i="11"/>
  <c r="F28" i="12"/>
  <c r="C28" i="12"/>
  <c r="C33" i="12"/>
  <c r="L33" i="12"/>
  <c r="I33" i="12"/>
  <c r="K41" i="12"/>
  <c r="H46" i="12"/>
  <c r="G46" i="12"/>
  <c r="J6" i="8"/>
  <c r="D9" i="8"/>
  <c r="G24" i="8"/>
  <c r="D36" i="8"/>
  <c r="J39" i="8"/>
  <c r="D42" i="8"/>
  <c r="H40" i="12"/>
  <c r="G40" i="12"/>
  <c r="L61" i="12"/>
  <c r="E42" i="8"/>
  <c r="C27" i="12"/>
  <c r="C34" i="12" s="1"/>
  <c r="I27" i="12"/>
  <c r="F33" i="12"/>
  <c r="L48" i="12"/>
  <c r="N39" i="12"/>
  <c r="F42" i="12"/>
  <c r="C42" i="12"/>
  <c r="B48" i="12"/>
  <c r="L42" i="12"/>
  <c r="E45" i="12"/>
  <c r="D45" i="12"/>
  <c r="K46" i="12"/>
  <c r="I55" i="12"/>
  <c r="F55" i="12"/>
  <c r="C55" i="12"/>
  <c r="D59" i="12"/>
  <c r="I48" i="12"/>
  <c r="B62" i="12"/>
  <c r="L41" i="12"/>
  <c r="F44" i="12"/>
  <c r="L47" i="12"/>
  <c r="I53" i="12"/>
  <c r="I59" i="12"/>
  <c r="B62" i="11"/>
  <c r="C30" i="12"/>
  <c r="F39" i="12"/>
  <c r="F45" i="12"/>
  <c r="C57" i="12"/>
  <c r="M58" i="12"/>
  <c r="L53" i="12"/>
  <c r="L59" i="12"/>
  <c r="N55" i="11" l="1"/>
  <c r="M55" i="11"/>
  <c r="H58" i="11"/>
  <c r="G58" i="11"/>
  <c r="K57" i="11"/>
  <c r="J57" i="11"/>
  <c r="G56" i="11"/>
  <c r="H56" i="11"/>
  <c r="E57" i="11"/>
  <c r="D57" i="11"/>
  <c r="M57" i="11"/>
  <c r="N57" i="11"/>
  <c r="N61" i="11"/>
  <c r="M61" i="11"/>
  <c r="J56" i="11"/>
  <c r="K56" i="11"/>
  <c r="N41" i="11"/>
  <c r="M41" i="11"/>
  <c r="H44" i="11"/>
  <c r="G44" i="11"/>
  <c r="M43" i="11"/>
  <c r="N43" i="11"/>
  <c r="G42" i="11"/>
  <c r="H42" i="11"/>
  <c r="K43" i="11"/>
  <c r="J43" i="11"/>
  <c r="E43" i="11"/>
  <c r="D43" i="11"/>
  <c r="N47" i="11"/>
  <c r="M47" i="11"/>
  <c r="J42" i="11"/>
  <c r="K42" i="11"/>
  <c r="D26" i="11"/>
  <c r="E26" i="11"/>
  <c r="J29" i="11"/>
  <c r="K29" i="11"/>
  <c r="J28" i="11"/>
  <c r="K28" i="11"/>
  <c r="E29" i="11"/>
  <c r="D29" i="11"/>
  <c r="N27" i="11"/>
  <c r="M27" i="11"/>
  <c r="G28" i="11"/>
  <c r="H28" i="11"/>
  <c r="H30" i="11"/>
  <c r="G30" i="11"/>
  <c r="N33" i="11"/>
  <c r="M33" i="11"/>
  <c r="M29" i="11"/>
  <c r="N29" i="11"/>
  <c r="C9" i="3"/>
  <c r="C40" i="2"/>
  <c r="C43" i="2" s="1"/>
  <c r="I48" i="11"/>
  <c r="D50" i="3" s="1"/>
  <c r="D55" i="2" s="1"/>
  <c r="F62" i="11"/>
  <c r="G62" i="11" s="1"/>
  <c r="D34" i="12"/>
  <c r="E34" i="12"/>
  <c r="B30" i="3"/>
  <c r="K60" i="12"/>
  <c r="J60" i="12"/>
  <c r="L11" i="8"/>
  <c r="L39" i="8"/>
  <c r="L25" i="8"/>
  <c r="M60" i="12"/>
  <c r="N60" i="12"/>
  <c r="L48" i="11"/>
  <c r="K31" i="12"/>
  <c r="J31" i="12"/>
  <c r="F48" i="12"/>
  <c r="H39" i="12"/>
  <c r="G39" i="12"/>
  <c r="N41" i="12"/>
  <c r="M41" i="12"/>
  <c r="D42" i="12"/>
  <c r="E42" i="12"/>
  <c r="E61" i="12"/>
  <c r="D61" i="12"/>
  <c r="M54" i="12"/>
  <c r="N54" i="12"/>
  <c r="M31" i="12"/>
  <c r="N31" i="12"/>
  <c r="D30" i="12"/>
  <c r="E30" i="12"/>
  <c r="H42" i="12"/>
  <c r="G42" i="12"/>
  <c r="K33" i="12"/>
  <c r="J33" i="12"/>
  <c r="H61" i="12"/>
  <c r="G61" i="12"/>
  <c r="E54" i="12"/>
  <c r="D54" i="12"/>
  <c r="C62" i="12"/>
  <c r="M29" i="12"/>
  <c r="N29" i="12"/>
  <c r="F24" i="9"/>
  <c r="E60" i="12"/>
  <c r="D60" i="12"/>
  <c r="I21" i="5"/>
  <c r="G7" i="10"/>
  <c r="G9" i="10"/>
  <c r="I26" i="5"/>
  <c r="G28" i="12"/>
  <c r="H28" i="12"/>
  <c r="H45" i="12"/>
  <c r="G45" i="12"/>
  <c r="H44" i="12"/>
  <c r="G44" i="12"/>
  <c r="M61" i="12"/>
  <c r="N61" i="12"/>
  <c r="K54" i="12"/>
  <c r="J54" i="12"/>
  <c r="K48" i="12"/>
  <c r="J48" i="12"/>
  <c r="D51" i="3"/>
  <c r="D56" i="2" s="1"/>
  <c r="N33" i="12"/>
  <c r="M33" i="12"/>
  <c r="I34" i="11"/>
  <c r="K61" i="12"/>
  <c r="J61" i="12"/>
  <c r="E29" i="12"/>
  <c r="D29" i="12"/>
  <c r="D10" i="10"/>
  <c r="F40" i="9"/>
  <c r="F43" i="9"/>
  <c r="H14" i="10"/>
  <c r="G18" i="10"/>
  <c r="H18" i="10" s="1"/>
  <c r="N40" i="8"/>
  <c r="M40" i="8"/>
  <c r="D43" i="8"/>
  <c r="B38" i="9"/>
  <c r="E43" i="8"/>
  <c r="N48" i="12"/>
  <c r="M48" i="12"/>
  <c r="E51" i="3"/>
  <c r="E56" i="2" s="1"/>
  <c r="E33" i="12"/>
  <c r="D33" i="12"/>
  <c r="C34" i="11"/>
  <c r="I62" i="11"/>
  <c r="M56" i="12"/>
  <c r="N56" i="12"/>
  <c r="H29" i="12"/>
  <c r="G29" i="12"/>
  <c r="F23" i="9"/>
  <c r="N26" i="8"/>
  <c r="M26" i="8"/>
  <c r="D30" i="10"/>
  <c r="C34" i="10"/>
  <c r="D34" i="10" s="1"/>
  <c r="B40" i="13"/>
  <c r="B39" i="13"/>
  <c r="B29" i="9"/>
  <c r="B31" i="13"/>
  <c r="B25" i="9"/>
  <c r="B31" i="9"/>
  <c r="B49" i="3"/>
  <c r="E56" i="12"/>
  <c r="D56" i="12"/>
  <c r="C48" i="11"/>
  <c r="C62" i="11"/>
  <c r="E55" i="12"/>
  <c r="D55" i="12"/>
  <c r="H33" i="12"/>
  <c r="G33" i="12"/>
  <c r="E28" i="12"/>
  <c r="D28" i="12"/>
  <c r="H56" i="12"/>
  <c r="G56" i="12"/>
  <c r="K25" i="12"/>
  <c r="J25" i="12"/>
  <c r="I34" i="12"/>
  <c r="D38" i="9"/>
  <c r="K43" i="8"/>
  <c r="J43" i="8"/>
  <c r="F14" i="10"/>
  <c r="E18" i="10"/>
  <c r="F18" i="10" s="1"/>
  <c r="K56" i="12"/>
  <c r="J56" i="12"/>
  <c r="L34" i="12"/>
  <c r="M25" i="12"/>
  <c r="N25" i="12"/>
  <c r="C38" i="9"/>
  <c r="H43" i="8"/>
  <c r="G43" i="8"/>
  <c r="C6" i="9"/>
  <c r="G15" i="8"/>
  <c r="H15" i="8"/>
  <c r="L34" i="11"/>
  <c r="C26" i="10"/>
  <c r="D26" i="10" s="1"/>
  <c r="D22" i="10"/>
  <c r="E34" i="10"/>
  <c r="F34" i="10" s="1"/>
  <c r="D14" i="7"/>
  <c r="B78" i="2" s="1"/>
  <c r="D78" i="2" s="1"/>
  <c r="D6" i="9"/>
  <c r="J15" i="8"/>
  <c r="K15" i="8"/>
  <c r="M7" i="8"/>
  <c r="N7" i="8"/>
  <c r="K29" i="8"/>
  <c r="J29" i="8"/>
  <c r="D22" i="9"/>
  <c r="M41" i="8"/>
  <c r="N41" i="8"/>
  <c r="M13" i="8"/>
  <c r="N13" i="8"/>
  <c r="B6" i="9"/>
  <c r="E15" i="8"/>
  <c r="D15" i="8"/>
  <c r="L20" i="8"/>
  <c r="L34" i="8"/>
  <c r="L6" i="8"/>
  <c r="M35" i="8"/>
  <c r="N35" i="8"/>
  <c r="H62" i="12"/>
  <c r="G62" i="12"/>
  <c r="C72" i="3"/>
  <c r="C63" i="2" s="1"/>
  <c r="C48" i="12"/>
  <c r="G26" i="10"/>
  <c r="H26" i="10" s="1"/>
  <c r="H22" i="10"/>
  <c r="M12" i="8"/>
  <c r="N12" i="8"/>
  <c r="L38" i="8"/>
  <c r="L24" i="8"/>
  <c r="L10" i="8"/>
  <c r="C22" i="9"/>
  <c r="H29" i="8"/>
  <c r="G29" i="8"/>
  <c r="D14" i="10"/>
  <c r="C18" i="10"/>
  <c r="D18" i="10" s="1"/>
  <c r="G34" i="10"/>
  <c r="H34" i="10" s="1"/>
  <c r="N21" i="8"/>
  <c r="M21" i="8"/>
  <c r="H55" i="12"/>
  <c r="G55" i="12"/>
  <c r="K27" i="12"/>
  <c r="J27" i="12"/>
  <c r="F48" i="11"/>
  <c r="K55" i="12"/>
  <c r="J55" i="12"/>
  <c r="E27" i="12"/>
  <c r="D27" i="12"/>
  <c r="F34" i="11"/>
  <c r="K26" i="12"/>
  <c r="J26" i="12"/>
  <c r="G25" i="12"/>
  <c r="F34" i="12"/>
  <c r="H25" i="12"/>
  <c r="N36" i="8"/>
  <c r="M36" i="8"/>
  <c r="N59" i="12"/>
  <c r="M59" i="12"/>
  <c r="L62" i="12"/>
  <c r="N53" i="12"/>
  <c r="M53" i="12"/>
  <c r="K59" i="12"/>
  <c r="J59" i="12"/>
  <c r="I62" i="12"/>
  <c r="K53" i="12"/>
  <c r="J53" i="12"/>
  <c r="E57" i="12"/>
  <c r="D57" i="12"/>
  <c r="N47" i="12"/>
  <c r="M47" i="12"/>
  <c r="N42" i="12"/>
  <c r="M42" i="12"/>
  <c r="H54" i="12"/>
  <c r="G54" i="12"/>
  <c r="H60" i="12"/>
  <c r="G60" i="12"/>
  <c r="F11" i="9"/>
  <c r="N22" i="8"/>
  <c r="M22" i="8"/>
  <c r="L62" i="11"/>
  <c r="H62" i="11" l="1"/>
  <c r="J48" i="11"/>
  <c r="K48" i="11"/>
  <c r="C71" i="3"/>
  <c r="C62" i="2" s="1"/>
  <c r="H48" i="11"/>
  <c r="G48" i="11"/>
  <c r="C50" i="3"/>
  <c r="C55" i="2" s="1"/>
  <c r="H34" i="11"/>
  <c r="G34" i="11"/>
  <c r="C29" i="3"/>
  <c r="C48" i="2" s="1"/>
  <c r="M24" i="8"/>
  <c r="N24" i="8"/>
  <c r="J62" i="11"/>
  <c r="K62" i="11"/>
  <c r="D71" i="3"/>
  <c r="D62" i="2" s="1"/>
  <c r="N10" i="8"/>
  <c r="M10" i="8"/>
  <c r="N62" i="12"/>
  <c r="M62" i="12"/>
  <c r="E72" i="3"/>
  <c r="E63" i="2" s="1"/>
  <c r="M38" i="8"/>
  <c r="N38" i="8"/>
  <c r="C55" i="13"/>
  <c r="C47" i="13"/>
  <c r="C45" i="9"/>
  <c r="C47" i="9"/>
  <c r="C44" i="9"/>
  <c r="C56" i="13"/>
  <c r="C41" i="9"/>
  <c r="C42" i="9" s="1"/>
  <c r="C70" i="3"/>
  <c r="D56" i="13"/>
  <c r="D55" i="13"/>
  <c r="D47" i="13"/>
  <c r="D45" i="9"/>
  <c r="D47" i="9"/>
  <c r="D70" i="3"/>
  <c r="D41" i="9"/>
  <c r="D42" i="9" s="1"/>
  <c r="D44" i="9"/>
  <c r="B54" i="2"/>
  <c r="B56" i="13"/>
  <c r="B55" i="13"/>
  <c r="B47" i="13"/>
  <c r="B45" i="9"/>
  <c r="B41" i="9"/>
  <c r="B47" i="9"/>
  <c r="B70" i="3"/>
  <c r="L37" i="8"/>
  <c r="L23" i="8"/>
  <c r="L9" i="8"/>
  <c r="M25" i="8"/>
  <c r="N25" i="8"/>
  <c r="I24" i="10"/>
  <c r="J24" i="10" s="1"/>
  <c r="D34" i="11"/>
  <c r="E34" i="11"/>
  <c r="B29" i="3"/>
  <c r="I32" i="10"/>
  <c r="J32" i="10" s="1"/>
  <c r="N39" i="8"/>
  <c r="M39" i="8"/>
  <c r="C23" i="13"/>
  <c r="C15" i="13"/>
  <c r="C24" i="13"/>
  <c r="C13" i="9"/>
  <c r="C15" i="9"/>
  <c r="C28" i="3"/>
  <c r="C12" i="9"/>
  <c r="C9" i="9"/>
  <c r="C10" i="9" s="1"/>
  <c r="E48" i="11"/>
  <c r="D48" i="11"/>
  <c r="B50" i="3"/>
  <c r="D40" i="13"/>
  <c r="D39" i="13"/>
  <c r="D29" i="9"/>
  <c r="D31" i="9"/>
  <c r="D25" i="9"/>
  <c r="D26" i="9" s="1"/>
  <c r="D28" i="9"/>
  <c r="D31" i="13"/>
  <c r="D49" i="3"/>
  <c r="M11" i="8"/>
  <c r="I16" i="10"/>
  <c r="J16" i="10" s="1"/>
  <c r="N11" i="8"/>
  <c r="K34" i="12"/>
  <c r="J34" i="12"/>
  <c r="D30" i="3"/>
  <c r="D49" i="2" s="1"/>
  <c r="N62" i="11"/>
  <c r="M62" i="11"/>
  <c r="E71" i="3"/>
  <c r="E62" i="2" s="1"/>
  <c r="D24" i="13"/>
  <c r="D23" i="13"/>
  <c r="D13" i="9"/>
  <c r="D15" i="9"/>
  <c r="D15" i="13"/>
  <c r="D28" i="3"/>
  <c r="D9" i="9"/>
  <c r="D10" i="9" s="1"/>
  <c r="D12" i="9" s="1"/>
  <c r="N34" i="12"/>
  <c r="M34" i="12"/>
  <c r="E30" i="3"/>
  <c r="E49" i="2" s="1"/>
  <c r="I14" i="10"/>
  <c r="N6" i="8"/>
  <c r="M6" i="8"/>
  <c r="N34" i="11"/>
  <c r="E29" i="3"/>
  <c r="E48" i="2" s="1"/>
  <c r="M34" i="11"/>
  <c r="B26" i="9"/>
  <c r="G48" i="12"/>
  <c r="C51" i="3"/>
  <c r="C56" i="2" s="1"/>
  <c r="H48" i="12"/>
  <c r="H34" i="12"/>
  <c r="G34" i="12"/>
  <c r="C30" i="3"/>
  <c r="C49" i="2" s="1"/>
  <c r="J62" i="12"/>
  <c r="K62" i="12"/>
  <c r="D72" i="3"/>
  <c r="D63" i="2" s="1"/>
  <c r="I30" i="10"/>
  <c r="L43" i="8"/>
  <c r="N34" i="8"/>
  <c r="M34" i="8"/>
  <c r="E62" i="11"/>
  <c r="D62" i="11"/>
  <c r="B71" i="3"/>
  <c r="K34" i="11"/>
  <c r="J34" i="11"/>
  <c r="D29" i="3"/>
  <c r="D48" i="2" s="1"/>
  <c r="E48" i="12"/>
  <c r="D48" i="12"/>
  <c r="B51" i="3"/>
  <c r="I22" i="10"/>
  <c r="N20" i="8"/>
  <c r="M20" i="8"/>
  <c r="L29" i="8"/>
  <c r="E62" i="12"/>
  <c r="D62" i="12"/>
  <c r="B72" i="3"/>
  <c r="M48" i="11"/>
  <c r="N48" i="11"/>
  <c r="E50" i="3"/>
  <c r="E55" i="2" s="1"/>
  <c r="B49" i="2"/>
  <c r="C39" i="13"/>
  <c r="C31" i="13"/>
  <c r="C29" i="9"/>
  <c r="C31" i="9"/>
  <c r="C25" i="9"/>
  <c r="C26" i="9" s="1"/>
  <c r="C28" i="9" s="1"/>
  <c r="C40" i="13"/>
  <c r="C49" i="3"/>
  <c r="B24" i="13"/>
  <c r="B23" i="13"/>
  <c r="B13" i="9"/>
  <c r="B15" i="13"/>
  <c r="B28" i="3"/>
  <c r="B9" i="9"/>
  <c r="B15" i="9"/>
  <c r="L28" i="8"/>
  <c r="L42" i="8"/>
  <c r="L14" i="8"/>
  <c r="C30" i="13" l="1"/>
  <c r="C21" i="14"/>
  <c r="C32" i="9"/>
  <c r="C30" i="9"/>
  <c r="C33" i="9"/>
  <c r="D14" i="13"/>
  <c r="D20" i="14"/>
  <c r="D17" i="9"/>
  <c r="D14" i="9"/>
  <c r="D16" i="9"/>
  <c r="I23" i="10"/>
  <c r="J23" i="10" s="1"/>
  <c r="N23" i="8"/>
  <c r="M23" i="8"/>
  <c r="C46" i="13"/>
  <c r="C22" i="14"/>
  <c r="C48" i="9"/>
  <c r="C49" i="9"/>
  <c r="C46" i="9"/>
  <c r="N37" i="8"/>
  <c r="M37" i="8"/>
  <c r="I31" i="10"/>
  <c r="J31" i="10" s="1"/>
  <c r="D46" i="13"/>
  <c r="D22" i="14"/>
  <c r="D48" i="9"/>
  <c r="D46" i="9"/>
  <c r="D49" i="9"/>
  <c r="B73" i="3"/>
  <c r="B61" i="2"/>
  <c r="D61" i="2"/>
  <c r="D73" i="3"/>
  <c r="E22" i="9"/>
  <c r="N29" i="8"/>
  <c r="M29" i="8"/>
  <c r="F30" i="3"/>
  <c r="F49" i="2" s="1"/>
  <c r="B56" i="2"/>
  <c r="F51" i="3"/>
  <c r="F56" i="2" s="1"/>
  <c r="J30" i="10"/>
  <c r="B48" i="2"/>
  <c r="F29" i="3"/>
  <c r="F48" i="2" s="1"/>
  <c r="B10" i="9"/>
  <c r="B42" i="9"/>
  <c r="F50" i="3"/>
  <c r="F55" i="2" s="1"/>
  <c r="B55" i="2"/>
  <c r="C20" i="14"/>
  <c r="C14" i="13"/>
  <c r="C14" i="9"/>
  <c r="C17" i="9"/>
  <c r="C16" i="9"/>
  <c r="B31" i="3"/>
  <c r="B47" i="2"/>
  <c r="B28" i="9"/>
  <c r="J22" i="10"/>
  <c r="N43" i="8"/>
  <c r="M43" i="8"/>
  <c r="E38" i="9"/>
  <c r="D31" i="3"/>
  <c r="D47" i="2"/>
  <c r="C31" i="3"/>
  <c r="C47" i="2"/>
  <c r="D54" i="2"/>
  <c r="D52" i="3"/>
  <c r="I33" i="10"/>
  <c r="J33" i="10" s="1"/>
  <c r="N42" i="8"/>
  <c r="M42" i="8"/>
  <c r="D30" i="13"/>
  <c r="D21" i="14"/>
  <c r="D32" i="9"/>
  <c r="D30" i="9"/>
  <c r="D33" i="9"/>
  <c r="C61" i="2"/>
  <c r="C73" i="3"/>
  <c r="I17" i="10"/>
  <c r="J17" i="10" s="1"/>
  <c r="N14" i="8"/>
  <c r="M14" i="8"/>
  <c r="C54" i="2"/>
  <c r="C52" i="3"/>
  <c r="F72" i="3"/>
  <c r="F63" i="2" s="1"/>
  <c r="B63" i="2"/>
  <c r="L15" i="8"/>
  <c r="I25" i="10"/>
  <c r="J25" i="10" s="1"/>
  <c r="M28" i="8"/>
  <c r="N28" i="8"/>
  <c r="B62" i="2"/>
  <c r="F71" i="3"/>
  <c r="F62" i="2" s="1"/>
  <c r="J14" i="10"/>
  <c r="I15" i="10"/>
  <c r="J15" i="10" s="1"/>
  <c r="N9" i="8"/>
  <c r="M9" i="8"/>
  <c r="B52" i="3"/>
  <c r="D21" i="13" l="1"/>
  <c r="D13" i="14"/>
  <c r="D18" i="13"/>
  <c r="D13" i="13"/>
  <c r="D22" i="13"/>
  <c r="D19" i="13"/>
  <c r="I18" i="10"/>
  <c r="J18" i="10" s="1"/>
  <c r="B30" i="13"/>
  <c r="B21" i="14"/>
  <c r="B33" i="9"/>
  <c r="B32" i="9"/>
  <c r="B30" i="9"/>
  <c r="B44" i="9"/>
  <c r="I26" i="10"/>
  <c r="J26" i="10" s="1"/>
  <c r="D55" i="3"/>
  <c r="D56" i="3" s="1"/>
  <c r="D58" i="3" s="1"/>
  <c r="D57" i="2"/>
  <c r="C51" i="13"/>
  <c r="C53" i="13"/>
  <c r="C15" i="14"/>
  <c r="C50" i="13"/>
  <c r="C45" i="13"/>
  <c r="C54" i="13"/>
  <c r="B57" i="2"/>
  <c r="B55" i="3"/>
  <c r="D48" i="13"/>
  <c r="D8" i="14"/>
  <c r="C16" i="13"/>
  <c r="C6" i="14"/>
  <c r="C48" i="13"/>
  <c r="C8" i="14"/>
  <c r="C14" i="14"/>
  <c r="C35" i="13"/>
  <c r="C37" i="13"/>
  <c r="C34" i="13"/>
  <c r="C29" i="13"/>
  <c r="C38" i="13"/>
  <c r="C55" i="3"/>
  <c r="C56" i="3" s="1"/>
  <c r="C58" i="3" s="1"/>
  <c r="C57" i="2"/>
  <c r="D16" i="13"/>
  <c r="D6" i="14"/>
  <c r="B64" i="2"/>
  <c r="B76" i="3"/>
  <c r="C7" i="14"/>
  <c r="C32" i="13"/>
  <c r="E39" i="13"/>
  <c r="E31" i="13"/>
  <c r="E31" i="9"/>
  <c r="E25" i="9"/>
  <c r="E29" i="9"/>
  <c r="E49" i="3"/>
  <c r="E40" i="13"/>
  <c r="F22" i="9"/>
  <c r="B12" i="9"/>
  <c r="D64" i="2"/>
  <c r="D76" i="3"/>
  <c r="D77" i="3" s="1"/>
  <c r="D79" i="3" s="1"/>
  <c r="C64" i="2"/>
  <c r="C76" i="3"/>
  <c r="C77" i="3" s="1"/>
  <c r="C79" i="3" s="1"/>
  <c r="B34" i="3"/>
  <c r="B50" i="2"/>
  <c r="C50" i="2"/>
  <c r="C34" i="3"/>
  <c r="C35" i="3" s="1"/>
  <c r="C37" i="3" s="1"/>
  <c r="D37" i="13"/>
  <c r="D34" i="13"/>
  <c r="D29" i="13"/>
  <c r="D38" i="13"/>
  <c r="D14" i="14"/>
  <c r="D35" i="13"/>
  <c r="D34" i="3"/>
  <c r="D35" i="3" s="1"/>
  <c r="D37" i="3" s="1"/>
  <c r="D50" i="2"/>
  <c r="C19" i="13"/>
  <c r="C21" i="13"/>
  <c r="C13" i="14"/>
  <c r="C18" i="13"/>
  <c r="C13" i="13"/>
  <c r="C22" i="13"/>
  <c r="I34" i="10"/>
  <c r="J34" i="10" s="1"/>
  <c r="E6" i="9"/>
  <c r="N15" i="8"/>
  <c r="M15" i="8"/>
  <c r="D7" i="14"/>
  <c r="D32" i="13"/>
  <c r="E55" i="13"/>
  <c r="E47" i="13"/>
  <c r="E47" i="9"/>
  <c r="E56" i="13"/>
  <c r="E45" i="9"/>
  <c r="E41" i="9"/>
  <c r="E70" i="3"/>
  <c r="F38" i="9"/>
  <c r="D53" i="13"/>
  <c r="D15" i="14"/>
  <c r="D50" i="13"/>
  <c r="D45" i="13"/>
  <c r="D54" i="13"/>
  <c r="D51" i="13"/>
  <c r="D80" i="3" l="1"/>
  <c r="D82" i="3"/>
  <c r="D12" i="2" s="1"/>
  <c r="D81" i="3"/>
  <c r="D24" i="2"/>
  <c r="C81" i="3"/>
  <c r="C80" i="3"/>
  <c r="C82" i="3"/>
  <c r="C12" i="2" s="1"/>
  <c r="C24" i="2"/>
  <c r="D59" i="3"/>
  <c r="D61" i="3"/>
  <c r="D11" i="2" s="1"/>
  <c r="D23" i="2"/>
  <c r="D60" i="3"/>
  <c r="C39" i="3"/>
  <c r="C38" i="3"/>
  <c r="C40" i="3"/>
  <c r="C10" i="2" s="1"/>
  <c r="C22" i="2"/>
  <c r="C61" i="3"/>
  <c r="C11" i="2" s="1"/>
  <c r="C59" i="3"/>
  <c r="C23" i="2"/>
  <c r="C60" i="3"/>
  <c r="B56" i="3"/>
  <c r="B46" i="13"/>
  <c r="B22" i="14"/>
  <c r="B49" i="9"/>
  <c r="B48" i="9"/>
  <c r="B46" i="9"/>
  <c r="E42" i="9"/>
  <c r="F41" i="9"/>
  <c r="B38" i="13"/>
  <c r="B35" i="13"/>
  <c r="B37" i="13"/>
  <c r="B34" i="13"/>
  <c r="B14" i="14"/>
  <c r="B29" i="13"/>
  <c r="B20" i="14"/>
  <c r="B14" i="13"/>
  <c r="B14" i="9"/>
  <c r="B17" i="9"/>
  <c r="B16" i="9"/>
  <c r="B7" i="14"/>
  <c r="B32" i="13"/>
  <c r="B77" i="3"/>
  <c r="F39" i="13"/>
  <c r="F31" i="13"/>
  <c r="F40" i="13"/>
  <c r="F31" i="9"/>
  <c r="F29" i="9"/>
  <c r="F49" i="3"/>
  <c r="C79" i="2"/>
  <c r="E52" i="3"/>
  <c r="E54" i="2"/>
  <c r="B35" i="3"/>
  <c r="F55" i="13"/>
  <c r="F47" i="13"/>
  <c r="F56" i="13"/>
  <c r="F47" i="9"/>
  <c r="F45" i="9"/>
  <c r="F70" i="3"/>
  <c r="D39" i="3"/>
  <c r="D40" i="3"/>
  <c r="D10" i="2" s="1"/>
  <c r="D38" i="3"/>
  <c r="D22" i="2"/>
  <c r="E23" i="13"/>
  <c r="E15" i="13"/>
  <c r="E24" i="13"/>
  <c r="E15" i="9"/>
  <c r="E13" i="9"/>
  <c r="E9" i="9"/>
  <c r="E28" i="3"/>
  <c r="F6" i="9"/>
  <c r="E26" i="9"/>
  <c r="F25" i="9"/>
  <c r="E61" i="2"/>
  <c r="E73" i="3"/>
  <c r="E64" i="2" l="1"/>
  <c r="E76" i="3"/>
  <c r="B37" i="3"/>
  <c r="B54" i="13"/>
  <c r="B51" i="13"/>
  <c r="B53" i="13"/>
  <c r="B15" i="14"/>
  <c r="B50" i="13"/>
  <c r="B45" i="13"/>
  <c r="D44" i="3"/>
  <c r="D41" i="3"/>
  <c r="D34" i="2" s="1"/>
  <c r="D43" i="3"/>
  <c r="D28" i="2" s="1"/>
  <c r="D42" i="3"/>
  <c r="D16" i="2"/>
  <c r="E55" i="3"/>
  <c r="E57" i="2"/>
  <c r="B16" i="13"/>
  <c r="B6" i="14"/>
  <c r="F26" i="9"/>
  <c r="E28" i="9"/>
  <c r="B58" i="3"/>
  <c r="D65" i="3"/>
  <c r="D17" i="2"/>
  <c r="D62" i="3"/>
  <c r="D35" i="2" s="1"/>
  <c r="D64" i="3"/>
  <c r="D29" i="2" s="1"/>
  <c r="D63" i="3"/>
  <c r="B22" i="13"/>
  <c r="B19" i="13"/>
  <c r="B21" i="13"/>
  <c r="B13" i="14"/>
  <c r="B18" i="13"/>
  <c r="B13" i="13"/>
  <c r="C84" i="3"/>
  <c r="C18" i="2"/>
  <c r="C86" i="3"/>
  <c r="C83" i="3"/>
  <c r="C36" i="2" s="1"/>
  <c r="C85" i="3"/>
  <c r="C30" i="2" s="1"/>
  <c r="C63" i="3"/>
  <c r="C62" i="3"/>
  <c r="C35" i="2" s="1"/>
  <c r="C64" i="3"/>
  <c r="C29" i="2" s="1"/>
  <c r="C65" i="3"/>
  <c r="C17" i="2"/>
  <c r="C16" i="2"/>
  <c r="C41" i="3"/>
  <c r="C34" i="2" s="1"/>
  <c r="C44" i="3"/>
  <c r="C43" i="3"/>
  <c r="C28" i="2" s="1"/>
  <c r="C42" i="3"/>
  <c r="B48" i="13"/>
  <c r="B8" i="14"/>
  <c r="F23" i="13"/>
  <c r="F15" i="13"/>
  <c r="F24" i="13"/>
  <c r="F15" i="9"/>
  <c r="F13" i="9"/>
  <c r="F28" i="3"/>
  <c r="F52" i="3"/>
  <c r="F54" i="2"/>
  <c r="E47" i="2"/>
  <c r="E31" i="3"/>
  <c r="F73" i="3"/>
  <c r="F61" i="2"/>
  <c r="E10" i="9"/>
  <c r="F9" i="9"/>
  <c r="B79" i="3"/>
  <c r="E44" i="9"/>
  <c r="F42" i="9"/>
  <c r="D86" i="3"/>
  <c r="D83" i="3"/>
  <c r="D36" i="2" s="1"/>
  <c r="D18" i="2"/>
  <c r="D85" i="3"/>
  <c r="D30" i="2" s="1"/>
  <c r="D84" i="3"/>
  <c r="F47" i="2" l="1"/>
  <c r="F31" i="3"/>
  <c r="E21" i="14"/>
  <c r="E33" i="9"/>
  <c r="E30" i="13"/>
  <c r="E32" i="9"/>
  <c r="E30" i="9"/>
  <c r="C66" i="13"/>
  <c r="C62" i="13"/>
  <c r="F28" i="9"/>
  <c r="C69" i="13"/>
  <c r="C65" i="13"/>
  <c r="C68" i="13"/>
  <c r="C64" i="13"/>
  <c r="C67" i="13"/>
  <c r="C63" i="13"/>
  <c r="B79" i="2"/>
  <c r="D79" i="2" s="1"/>
  <c r="D80" i="2" s="1"/>
  <c r="F57" i="2"/>
  <c r="B24" i="2"/>
  <c r="B80" i="3"/>
  <c r="B81" i="3"/>
  <c r="B82" i="3"/>
  <c r="B12" i="2" s="1"/>
  <c r="F10" i="9"/>
  <c r="E12" i="9"/>
  <c r="E56" i="3"/>
  <c r="F55" i="3"/>
  <c r="B39" i="3"/>
  <c r="B38" i="3"/>
  <c r="B40" i="3"/>
  <c r="B10" i="2" s="1"/>
  <c r="B22" i="2"/>
  <c r="E77" i="3"/>
  <c r="F76" i="3"/>
  <c r="E22" i="14"/>
  <c r="E46" i="13"/>
  <c r="E49" i="9"/>
  <c r="E46" i="9"/>
  <c r="E48" i="9"/>
  <c r="D65" i="13"/>
  <c r="D68" i="13"/>
  <c r="D66" i="13"/>
  <c r="D62" i="13"/>
  <c r="D69" i="13"/>
  <c r="D67" i="13"/>
  <c r="F44" i="9"/>
  <c r="D64" i="13"/>
  <c r="D63" i="13"/>
  <c r="F64" i="2"/>
  <c r="E50" i="2"/>
  <c r="E34" i="3"/>
  <c r="B60" i="3"/>
  <c r="B23" i="2"/>
  <c r="B59" i="3"/>
  <c r="B61" i="3"/>
  <c r="B11" i="2" s="1"/>
  <c r="F30" i="13" l="1"/>
  <c r="F21" i="14"/>
  <c r="F33" i="9"/>
  <c r="F32" i="9"/>
  <c r="F30" i="9"/>
  <c r="B84" i="3"/>
  <c r="B86" i="3"/>
  <c r="B18" i="2"/>
  <c r="B83" i="3"/>
  <c r="B36" i="2" s="1"/>
  <c r="B85" i="3"/>
  <c r="B30" i="2" s="1"/>
  <c r="E32" i="13"/>
  <c r="E7" i="14"/>
  <c r="B44" i="3"/>
  <c r="B42" i="3"/>
  <c r="B16" i="2"/>
  <c r="B43" i="3"/>
  <c r="B28" i="2" s="1"/>
  <c r="B41" i="3"/>
  <c r="B34" i="2" s="1"/>
  <c r="E35" i="13"/>
  <c r="E37" i="13"/>
  <c r="E34" i="13"/>
  <c r="E29" i="13"/>
  <c r="E38" i="13"/>
  <c r="E14" i="14"/>
  <c r="E35" i="3"/>
  <c r="F34" i="3"/>
  <c r="E48" i="13"/>
  <c r="E8" i="14"/>
  <c r="E58" i="3"/>
  <c r="F56" i="3"/>
  <c r="F58" i="3" s="1"/>
  <c r="F50" i="2"/>
  <c r="F46" i="13"/>
  <c r="F22" i="14"/>
  <c r="F49" i="9"/>
  <c r="F46" i="9"/>
  <c r="F48" i="9"/>
  <c r="E79" i="3"/>
  <c r="F77" i="3"/>
  <c r="F79" i="3" s="1"/>
  <c r="B65" i="3"/>
  <c r="B62" i="3"/>
  <c r="B35" i="2" s="1"/>
  <c r="B64" i="3"/>
  <c r="B29" i="2" s="1"/>
  <c r="B63" i="3"/>
  <c r="B17" i="2"/>
  <c r="E51" i="13"/>
  <c r="E53" i="13"/>
  <c r="E15" i="14"/>
  <c r="E50" i="13"/>
  <c r="E45" i="13"/>
  <c r="E54" i="13"/>
  <c r="E20" i="14"/>
  <c r="E17" i="9"/>
  <c r="E14" i="13"/>
  <c r="E14" i="9"/>
  <c r="E16" i="9"/>
  <c r="B64" i="13"/>
  <c r="B62" i="13"/>
  <c r="F12" i="9"/>
  <c r="B65" i="13"/>
  <c r="B67" i="13"/>
  <c r="B63" i="13"/>
  <c r="B66" i="13"/>
  <c r="B69" i="13"/>
  <c r="B68" i="13"/>
  <c r="F35" i="3" l="1"/>
  <c r="F37" i="3" s="1"/>
  <c r="E37" i="3"/>
  <c r="F48" i="13"/>
  <c r="F8" i="14"/>
  <c r="F15" i="14"/>
  <c r="F50" i="13"/>
  <c r="F45" i="13"/>
  <c r="F54" i="13"/>
  <c r="F53" i="13"/>
  <c r="F51" i="13"/>
  <c r="F14" i="13"/>
  <c r="F20" i="14"/>
  <c r="F17" i="9"/>
  <c r="F16" i="9"/>
  <c r="F14" i="9"/>
  <c r="E16" i="13"/>
  <c r="E6" i="14"/>
  <c r="E19" i="13"/>
  <c r="E21" i="13"/>
  <c r="E13" i="14"/>
  <c r="E18" i="13"/>
  <c r="E13" i="13"/>
  <c r="E22" i="13"/>
  <c r="F60" i="3"/>
  <c r="F23" i="2"/>
  <c r="F59" i="3"/>
  <c r="F61" i="3"/>
  <c r="D6" i="2"/>
  <c r="F34" i="13"/>
  <c r="F29" i="13"/>
  <c r="F38" i="13"/>
  <c r="F14" i="14"/>
  <c r="F35" i="13"/>
  <c r="F37" i="13"/>
  <c r="E23" i="2"/>
  <c r="E59" i="3"/>
  <c r="E61" i="3"/>
  <c r="E11" i="2" s="1"/>
  <c r="E60" i="3"/>
  <c r="F7" i="14"/>
  <c r="F32" i="13"/>
  <c r="F80" i="3"/>
  <c r="F82" i="3"/>
  <c r="F12" i="2" s="1"/>
  <c r="F81" i="3"/>
  <c r="F24" i="2"/>
  <c r="E81" i="3"/>
  <c r="E80" i="3"/>
  <c r="E82" i="3"/>
  <c r="E12" i="2" s="1"/>
  <c r="E24" i="2"/>
  <c r="E18" i="2" l="1"/>
  <c r="E85" i="3"/>
  <c r="E30" i="2" s="1"/>
  <c r="E86" i="3"/>
  <c r="E83" i="3"/>
  <c r="E36" i="2" s="1"/>
  <c r="E84" i="3"/>
  <c r="A83" i="2"/>
  <c r="B6" i="2"/>
  <c r="F11" i="2"/>
  <c r="F13" i="14"/>
  <c r="F18" i="13"/>
  <c r="F13" i="13"/>
  <c r="F22" i="13"/>
  <c r="F19" i="13"/>
  <c r="F21" i="13"/>
  <c r="F86" i="3"/>
  <c r="F83" i="3"/>
  <c r="F36" i="2" s="1"/>
  <c r="F85" i="3"/>
  <c r="F30" i="2" s="1"/>
  <c r="F84" i="3"/>
  <c r="F18" i="2"/>
  <c r="F63" i="3"/>
  <c r="F65" i="3"/>
  <c r="F62" i="3"/>
  <c r="F64" i="3"/>
  <c r="F17" i="2"/>
  <c r="C6" i="2"/>
  <c r="F16" i="13"/>
  <c r="F6" i="14"/>
  <c r="E38" i="3"/>
  <c r="E40" i="3"/>
  <c r="E10" i="2" s="1"/>
  <c r="E39" i="3"/>
  <c r="E22" i="2"/>
  <c r="E65" i="3"/>
  <c r="E62" i="3"/>
  <c r="E35" i="2" s="1"/>
  <c r="E17" i="2"/>
  <c r="E64" i="3"/>
  <c r="E29" i="2" s="1"/>
  <c r="E63" i="3"/>
  <c r="F40" i="3"/>
  <c r="F10" i="2" s="1"/>
  <c r="F22" i="2"/>
  <c r="F38" i="3"/>
  <c r="F39" i="3"/>
  <c r="A84" i="2" l="1"/>
  <c r="E6" i="2"/>
  <c r="F29" i="2"/>
  <c r="F35" i="2"/>
  <c r="F6" i="2"/>
  <c r="E41" i="3"/>
  <c r="E34" i="2" s="1"/>
  <c r="E44" i="3"/>
  <c r="E43" i="3"/>
  <c r="E28" i="2" s="1"/>
  <c r="E42" i="3"/>
  <c r="E16" i="2"/>
  <c r="F44" i="3"/>
  <c r="F41" i="3"/>
  <c r="F34" i="2" s="1"/>
  <c r="F43" i="3"/>
  <c r="F28" i="2" s="1"/>
  <c r="F42" i="3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8" authorId="0" shapeId="0" xr:uid="{D8F74B76-EAF7-C141-850A-C854DFA2F20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Raised 20%→25% (from Bear) for munitions shortage / defense supercycle / FMS backlog tilt. Applies holdco-wide (all three sleeves). Prior: Base 45 / Bull 20 / Bear 20 / Shock 15.</t>
        </r>
      </text>
    </comment>
    <comment ref="B19" authorId="0" shapeId="0" xr:uid="{B01209FC-7D0F-094D-B37D-72F66047B7E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Cut 20%→15%: multiyear munitions procurement and record FMS demand (FY2024 FMS system total $117.9B per CRS IF11437, https://www.congress.gov/crs_external_products/IF/PDF/IF11437/IF11437.4.pdf) reduce odds of a defense-spend downturn. Applies holdco-wide.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P4" authorId="0" shapeId="0" xr:uid="{8C65A400-7911-7349-A01B-E6FF6C4E4C9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Adj. CAGR = input CAGR (F:I) + exposure score × uplift/pt. Proceeds tables now run off Adj. columns S:V. Scores and uplifts are analyst judgments (blue). Context: FY2024 FMS system total $117.9B incl. $96.9B partner-funded (CRS IF11437, https://www.congress.gov/crs_external_products/IF/PDF/IF11437/IF11437.4.pdf); EO 14383 'America First Arms Transfer Strategy' (Feb-2026) ties arms transfers to expanding US production capacity (Taiwan Security Monitor, https://tsm.schar.gmu.edu/taiwan-arms-sale-backlog-february-2026-update-special-budget-complications-continue/).</t>
        </r>
      </text>
    </comment>
    <comment ref="B18" authorId="0" shapeId="0" xr:uid="{5ACB9782-483F-BA49-9164-32CBCFF7161F}">
      <text>
        <r>
          <rPr>
            <b/>
            <sz val="10"/>
            <color rgb="FF000000"/>
            <rFont val="Tahoma"/>
            <family val="2"/>
          </rPr>
          <t>Post-money valuation $1.2B — per user instruction (IC input, 9/2026). Replaces prior ~$1.6B estimate (AIST: sales &gt;$1.3B, ~1,700 employees). Validate against term sheet.</t>
        </r>
      </text>
    </comment>
    <comment ref="F18" authorId="0" shapeId="0" xr:uid="{657F6438-C593-CE42-ACF4-10FFA3CA485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Raised from 11% after $1.2B post-money. Entry discount vs prior $1.6B fair-value est. = (1600/1200)^(1/7)-1 ≈ 4.2%/yr of multiple arbitrage over 7 yrs; Base captures ~half (+2.0pp).</t>
        </r>
      </text>
    </comment>
    <comment ref="G18" authorId="0" shapeId="0" xr:uid="{2A2638EB-4DB0-7246-AF7D-31957D0934E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Raised from 18%: Bull captures ~full entry-discount re-rating (+4.0pp ≈ 4.2%/yr).</t>
        </r>
      </text>
    </comment>
    <comment ref="H18" authorId="0" shapeId="0" xr:uid="{F7735161-7DF7-4E48-A42B-DE8133F9654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Raised from 3%: Bear captures ~quarter of entry discount (+1.0pp) — lower entry = more downside cushion.</t>
        </r>
      </text>
    </comment>
    <comment ref="I18" authorId="0" shapeId="0" xr:uid="{E5712758-7C19-DE44-B794-1D6FBBB2178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Raised from 20%: TSMC-Shock +3.0pp — domestic forging capacity re-rates in a supply shock; entry discount mostly retained.</t>
        </r>
      </text>
    </comment>
    <comment ref="B19" authorId="0" shapeId="0" xr:uid="{95E4052D-CFA7-984F-92B8-89953A1FF76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PLACEHOLDER — no public valuation data found for Superior &amp; Grand Valley. $400M EV is an assumed mid-market forging mark; replace with actual data.</t>
        </r>
      </text>
    </comment>
  </commentList>
</comments>
</file>

<file path=xl/sharedStrings.xml><?xml version="1.0" encoding="utf-8"?>
<sst xmlns="http://schemas.openxmlformats.org/spreadsheetml/2006/main" count="1066" uniqueCount="542">
  <si>
    <t>LEVIATHAN CORE PE HOLDCO — IC SUMMARY</t>
  </si>
  <si>
    <t>HEADLINE — RECOMMENDED 7-YEAR VEHICLE (Expected case, net to LP)</t>
  </si>
  <si>
    <t>Metric</t>
  </si>
  <si>
    <t>Net IRR</t>
  </si>
  <si>
    <t>Net MOIC</t>
  </si>
  <si>
    <t>Net proceeds</t>
  </si>
  <si>
    <t>KS-PME basket</t>
  </si>
  <si>
    <t>KS-PME SPX</t>
  </si>
  <si>
    <t>Holdco — 7-yr, probability-weighted</t>
  </si>
  <si>
    <t>HOLDCO NET IRR TO LP</t>
  </si>
  <si>
    <t>Vehicle</t>
  </si>
  <si>
    <t>Base</t>
  </si>
  <si>
    <t>Bull</t>
  </si>
  <si>
    <t>Bear</t>
  </si>
  <si>
    <t>TSMC-Shock</t>
  </si>
  <si>
    <t>Expected</t>
  </si>
  <si>
    <t>5-Year Hold</t>
  </si>
  <si>
    <t>7-Year Hold</t>
  </si>
  <si>
    <t>10-Year Hold</t>
  </si>
  <si>
    <t>HOLDCO NET MOIC TO LP</t>
  </si>
  <si>
    <t>HOLDCO NET PROCEEDS TO LP ($M)</t>
  </si>
  <si>
    <t>KS-PME vs DEFENSE+SEMIS BASKET (&gt;1.00x = beat the thematic ETFs)</t>
  </si>
  <si>
    <t>KS-PME vs S&amp;P 500 (&gt;1.00x = beat)</t>
  </si>
  <si>
    <t>SLEEVE SIZING</t>
  </si>
  <si>
    <t>Sleeve</t>
  </si>
  <si>
    <t>Size ($M)</t>
  </si>
  <si>
    <t>% Holdco</t>
  </si>
  <si>
    <t># Positions</t>
  </si>
  <si>
    <t>Total holdco</t>
  </si>
  <si>
    <t>SLEEVE GROSS MOIC — 5-YEAR HOLD (gross proceeds / committed)</t>
  </si>
  <si>
    <t>IQT-mirror</t>
  </si>
  <si>
    <t>Weapons</t>
  </si>
  <si>
    <t>Consumer / Value</t>
  </si>
  <si>
    <t>Holdco gross</t>
  </si>
  <si>
    <t>SLEEVE GROSS MOIC — 7-YEAR HOLD (gross proceeds / committed)</t>
  </si>
  <si>
    <t>SLEEVE GROSS MOIC — 10-YEAR HOLD (gross proceeds / committed)</t>
  </si>
  <si>
    <t>SCENARIO PROBABILITY WEIGHTS (edit on Defense Supercycle tab)</t>
  </si>
  <si>
    <t>Total</t>
  </si>
  <si>
    <t>Probability</t>
  </si>
  <si>
    <t>MODEL INTEGRITY CHECKS</t>
  </si>
  <si>
    <t>Check</t>
  </si>
  <si>
    <t>Model</t>
  </si>
  <si>
    <t>Target</t>
  </si>
  <si>
    <t>Status</t>
  </si>
  <si>
    <t>IQT-mirror deployed = committed</t>
  </si>
  <si>
    <t>Weapons deployed = committed</t>
  </si>
  <si>
    <t>Consumer deployed = committed</t>
  </si>
  <si>
    <t>Scenario probabilities = 100%</t>
  </si>
  <si>
    <t>Strategic axis weights = 100%</t>
  </si>
  <si>
    <t>IQT allocation % fund = 100%</t>
  </si>
  <si>
    <t>Holdco 7-yr gross ties to sleeves (Expected)</t>
  </si>
  <si>
    <t>Overall</t>
  </si>
  <si>
    <t>READ-THROUGH</t>
  </si>
  <si>
    <t>• Bear case is a capital-loss outcome at every hold (net MOIC &lt; 1.0x) — the downside is carried by the IQT seed names and Consumer; sizing, not the thesis, is the protection.</t>
  </si>
  <si>
    <t>• Six of nine IQT entry marks and most Weapons marks are estimates — see Assumptions col J / Weapons Sleeve col J. Confirm via primary diligence before IC vote.</t>
  </si>
  <si>
    <t>LEVIATHAN FUND — CORE PE VEHICLE</t>
  </si>
  <si>
    <t>IQT-Backed Deep-Tech Acquisition-Stake Portfolio  |  5 / 7 / 10-Year Holds  |  Defense-Supercycle Overlay</t>
  </si>
  <si>
    <t>Anchored by Substrate, Inc.   ·   Prepared 22-Sep-2026   ·   All figures USD millions unless noted</t>
  </si>
  <si>
    <t>PURPOSE</t>
  </si>
  <si>
    <t>THE DEFENSE-SUPERCYCLE THESIS (now wired into returns)</t>
  </si>
  <si>
    <t>The book is built to be long the US side of the AI / semiconductor race with China and structurally hedged against a Taiwan contingency or loss of TSMC access. The Defense Supercycle tab scores every name on five strategic axes — China-race criticality, Taiwan/TSMC-insulation value, government/defense embeddedness, CFIUS-clean US-sovereignty, and supply-chain chokepoint leverage. Those scores drive a composite, which drives each name's re-rating in the TSMC-Shock scenario. Change a score and the shock returns move.</t>
  </si>
  <si>
    <t>HOW THE MODEL IS WIRED (edit blue cells only)</t>
  </si>
  <si>
    <t>• IC Summary — one-page holdco dashboard: net IRR / MOIC / proceeds / KS-PME by hold x scenario, sleeve gross MOIC, scenario weights and model integrity checks. Start here.
• Assumptions — fund terms + per-name entry marks, checks, ownership, and Base/Bull/Bear CAGRs. TSMC-Shock CAGR is computed from the Supercycle tab.</t>
  </si>
  <si>
    <t>• Defense Supercycle — strategic scoring matrix, axis weights, shock calibration levers, and the four scenario probability weights. This is the thesis engine.</t>
  </si>
  <si>
    <t>• Allocation — nine positions, tranche, ownership, domicile, structuring/CFIUS flags.</t>
  </si>
  <si>
    <t>• Portfolio Returns — per-name proceeds, MOIC, gross IRR for each hold x four scenarios.</t>
  </si>
  <si>
    <t>• Fund Economics — gross-&gt;net waterfall (2% fee, 8% pref, 20% carry) per vehicle x scenario, plus prob-weighted Expected.</t>
  </si>
  <si>
    <t>• Scenario Summary — dashboard across all vehicles, all four cases, and the Expected column.</t>
  </si>
  <si>
    <t>RETURN &amp; SHOCK MECHANICS</t>
  </si>
  <si>
    <t>KEY CAVEATS</t>
  </si>
  <si>
    <t>1. TSMC-Shock is a deliberately LOW-PROBABILITY TAIL (default 15%). Its high CAGRs compounded over 10yr produce very large multiples by design — the point is convexity to a decoupling / Taiwan event, not a base case. Keep the probability weight honest.</t>
  </si>
  <si>
    <t>2. Six of nine entry valuations are estimates (flagged in Assumptions); confirm via primary cap-table access.</t>
  </si>
  <si>
    <t>3. Strategic scores are judgment calls grounded in the research brief (IQT/DoD/DIU/DARPA/CHIPS backing, domicile, chokepoint role) — they are levers, not facts. Stress them.</t>
  </si>
  <si>
    <t>4. Domicile: EdgeCortix (Japan) &amp; Diraq (Australia) are allied-nation, minority-only; DefendEye (Polish mfg/EU cap table) needs Blue UAS/NDAA provenance work. The four US semis names are the CFIUS-clean sovereign core.</t>
  </si>
  <si>
    <t>5. Simplified whole-fund European waterfall (no GP catch-up). Not investment advice — an internal IC planning model.</t>
  </si>
  <si>
    <t>Three sub-funds rolled up to a blended holdco return. Blue = lever. All three sleeves — IQT-mirror, Weapons, Consumer/Value — flow in bottom-up.</t>
  </si>
  <si>
    <t>HOLDCO STRUCTURE &amp; SIZING</t>
  </si>
  <si>
    <t>Sub-fund</t>
  </si>
  <si>
    <t>Return driver</t>
  </si>
  <si>
    <t>Duration</t>
  </si>
  <si>
    <t>Role</t>
  </si>
  <si>
    <t>IQT-mirror (deep-tech)</t>
  </si>
  <si>
    <t>Onshoring capex + Taiwan tail</t>
  </si>
  <si>
    <t>Longest</t>
  </si>
  <si>
    <t>Convex optionality / tail hedge</t>
  </si>
  <si>
    <t>Weapons (physical layer)</t>
  </si>
  <si>
    <t>Defense opex — budgets, conflict</t>
  </si>
  <si>
    <t>Medium</t>
  </si>
  <si>
    <t>Cash-generative supercycle core</t>
  </si>
  <si>
    <t>Consumer cycle + DTC/wellness</t>
  </si>
  <si>
    <t>Shortest</t>
  </si>
  <si>
    <t>Ballast + near-term DPI engine</t>
  </si>
  <si>
    <t>IQT-mirror: Substrate, EUV Tech, ThinTronics, EdgeCortix, Syntiant, Infleqtion, Diraq, Mueon, DefendEye</t>
  </si>
  <si>
    <t>Consumer/Value: Quince, Thrive Market, The Farmer's Dog, Whoop, Plunge, Made In Cookware, Polymarket, Goat Group, Stripe</t>
  </si>
  <si>
    <t>SLEEVE RETURN ASSUMPTIONS — gross equity CAGR, net of dilution (blue)</t>
  </si>
  <si>
    <t>Weapons (memo — now bottom-up)</t>
  </si>
  <si>
    <t>Consumer / Value (memo — now bottom-up)</t>
  </si>
  <si>
    <t>IQT-mirror, Weapons, AND Consumer/Value are all modeled bottom-up (Portfolio Returns / Weapons Sleeve / Consumer Sleeve tabs) and flow in directly. Both rows above are memos only, kept for reference to the original sleeve-level placeholder assumptions they replaced.</t>
  </si>
  <si>
    <t>BENCHMARKS (KS-PME &gt; 1.0x = beat)</t>
  </si>
  <si>
    <t>S&amp;P 500 (SPX) total-return CAGR</t>
  </si>
  <si>
    <t>Nasdaq-100 (NDX) total-return CAGR</t>
  </si>
  <si>
    <t>Defense+Semis thematic basket CAGR (ITA/SOXX blend)</t>
  </si>
  <si>
    <t>Forward-tempered: 50/50 ITA/SOXX trailing 5yr is ~26% (ITA 18.2% / SOXX 34.5% to Jun-26), inflated by the AI+rearmament run; 15% forward. See Macro Overlay for comps &amp; drivers.</t>
  </si>
  <si>
    <t>5-YEAR HOLDCO ROLL-UP</t>
  </si>
  <si>
    <t>Line item ($M)</t>
  </si>
  <si>
    <t>IQT-mirror gross</t>
  </si>
  <si>
    <t>Weapons gross</t>
  </si>
  <si>
    <t>Consumer/Value gross</t>
  </si>
  <si>
    <t>HOLDCO gross proceeds</t>
  </si>
  <si>
    <t>(-) Return of capital</t>
  </si>
  <si>
    <t>(-) Preferred (8% comp.)</t>
  </si>
  <si>
    <t>Profit above pref</t>
  </si>
  <si>
    <t>(-) Carry (20%)</t>
  </si>
  <si>
    <t>(-) Mgmt fees (2%/yr)</t>
  </si>
  <si>
    <t>NET proceeds to LP</t>
  </si>
  <si>
    <t>Net DPI (=TVPI at exit)</t>
  </si>
  <si>
    <t>KS-PME vs SPX</t>
  </si>
  <si>
    <t>KS-PME vs NDX</t>
  </si>
  <si>
    <t>KS-PME vs Defense+Semis basket</t>
  </si>
  <si>
    <t>Direct Alpha vs basket (ann.)</t>
  </si>
  <si>
    <t>7-YEAR HOLDCO ROLL-UP</t>
  </si>
  <si>
    <t>10-YEAR HOLDCO ROLL-UP</t>
  </si>
  <si>
    <t>• The holdco is a tripartite barbell: two defense-supercycle sleeves (digital enablers + physical effectors) + a consumer/value ballast that is uncorrelated and carries the near-term DPI.</t>
  </si>
  <si>
    <t>• Judge the IQT sleeve on its marginal contribution here — convexity and a Taiwan/TSMC hedge — not on a standalone 'beat the Nasdaq' test. That test lives at the holdco level.</t>
  </si>
  <si>
    <t>• The KS-PME vs the Defense+Semis basket is the real scoreboard: it asks whether the holdco captures the sovereign-capital trend earlier and cheaper than the public thematic ETFs everyone else uses.</t>
  </si>
  <si>
    <t>• All three sleeves — IQT-mirror, Weapons, and Consumer/Value — are now modeled bottom-up from individual holdings; only the SPX/NDX/thematic-basket benchmarks remain top-down inputs.</t>
  </si>
  <si>
    <t>MACRO, GEOPOLITICAL &amp; DEFENSE-SUPERCYCLE OVERLAY</t>
  </si>
  <si>
    <t>Grounds the sleeve return assumptions in current comps and the geopolitical/macro picture. Figures as of ~Jun-Sep 2026; sourced below.</t>
  </si>
  <si>
    <t>1 | PUBLIC &amp; PRIVATE COMPS GROUNDING THE SLEEVE ASSUMPTIONS</t>
  </si>
  <si>
    <t>Comparable</t>
  </si>
  <si>
    <t>Value</t>
  </si>
  <si>
    <t>Note / relevance</t>
  </si>
  <si>
    <t>ITA (US Aero &amp; Defense ETF)</t>
  </si>
  <si>
    <t>Total return 1/5/10-yr</t>
  </si>
  <si>
    <t>29.3% / 18.2% / 15.7%</t>
  </si>
  <si>
    <t>Defense supercycle already priced into public primes (as of Jun-26)</t>
  </si>
  <si>
    <t>SOXX (Semiconductor ETF)</t>
  </si>
  <si>
    <t>169.6% / 34.5% / 36.6%</t>
  </si>
  <si>
    <t>AI-driven surge; forward mean-reversion risk off a huge base</t>
  </si>
  <si>
    <t>50/50 ITA/SOXX basket</t>
  </si>
  <si>
    <t>Trailing 5-yr blend</t>
  </si>
  <si>
    <t>~26.3%</t>
  </si>
  <si>
    <t>Thematic hurdle; model uses 15% FORWARD (tempered)</t>
  </si>
  <si>
    <t>SPX / NDX</t>
  </si>
  <si>
    <t>Forward CAGR (model)</t>
  </si>
  <si>
    <t>9.0% / 13.0%</t>
  </si>
  <si>
    <t>Broad-market floor benchmarks</t>
  </si>
  <si>
    <t>Rheinmetall (RHM)</t>
  </si>
  <si>
    <t>Rev growth / EV-Rev / EV-EBITDA</t>
  </si>
  <si>
    <t>40% / 4.0x / 17.3x</t>
  </si>
  <si>
    <t>European rearmament bellwether; $54B cap</t>
  </si>
  <si>
    <t>AeroVironment (AVAV)</t>
  </si>
  <si>
    <t>TTM rev / YoY</t>
  </si>
  <si>
    <t>$1.61B / +117%</t>
  </si>
  <si>
    <t>Drones/loitering munitions (incl. M&amp;A); supercycle demand</t>
  </si>
  <si>
    <t>L3Harris (LHX)</t>
  </si>
  <si>
    <t>EV-Rev / EV-EBITDA</t>
  </si>
  <si>
    <t>2.6x / 15.1x</t>
  </si>
  <si>
    <t>Established prime multiple anchor</t>
  </si>
  <si>
    <t>Saronic (private)</t>
  </si>
  <si>
    <t>Valuation / 2025 rev</t>
  </si>
  <si>
    <t>$9.25B / $200M (+1,500%)</t>
  </si>
  <si>
    <t>Naval autonomy hypergrowth (Series D, Mar-26)</t>
  </si>
  <si>
    <t>Anduril (private)</t>
  </si>
  <si>
    <t>$61B / $2.2B (+120%)</t>
  </si>
  <si>
    <t>Scale-up reference; $20B Army ceiling (Mar-26)</t>
  </si>
  <si>
    <t>Epirus (private)</t>
  </si>
  <si>
    <t>Directed energy / HPM</t>
  </si>
  <si>
    <t>Growth-stage</t>
  </si>
  <si>
    <t>Counter-drone; Weapons-sleeve holding</t>
  </si>
  <si>
    <t>2 | DEFENSE SUPERCYCLE DRIVERS</t>
  </si>
  <si>
    <t>• NATO 5%-of-GDP pledge (Hague summit, Jun-2025): 3.5% core defense + 1.5% defense-related, on a path to 2035 — a structural, decade-long step-up, not a cyclical bump.</t>
  </si>
  <si>
    <t>• European allies + Canada raised defense spending ~20% in 2025 alone; all allies now above the old 2% floor. Rheinmetall growing 40%/yr is the bellwether.</t>
  </si>
  <si>
    <t>• Munitions/energetics replenishment (Ukraine drawdown) + naval autonomy (Replicator) + counter-drone are the fastest-growing demand pools — directly the Weapons sleeve (Helicon, Saronic, Epirus).</t>
  </si>
  <si>
    <t>3 | CHINA &amp; GEOPOLITICAL PICTURE</t>
  </si>
  <si>
    <t>• China official defense budget ~1.78T yuan (~$245B) for 2025, +7.2% YoY (widely cited; pre-cutoff — confirm 2026 figure) — sustained double-digit real modernization for a decade.</t>
  </si>
  <si>
    <t>• 'Davidson window' (PLA capability vs. Taiwan by 2027) frames the tail-risk timeline the TSMC-Shock scenario models — the single point of failure is TSMC leading-edge capacity.</t>
  </si>
  <si>
    <t>• US-China tech decoupling: export controls on advanced semis/tooling, entity-list expansion, and reshoring incentives are the policy tailwind behind the IQT-mirror sleeve's sovereign-chokepoint names.</t>
  </si>
  <si>
    <t>4 | GLOBAL MACRO BACKDROP</t>
  </si>
  <si>
    <t>• Rates/exit markets: the Fed path drives PE exit windows and long-duration deep-tech valuations most — a higher-for-longer regime compresses the IQT sleeve's terminal multiples and delays exits (lengthens duration, lowers DPI timing).</t>
  </si>
  <si>
    <t>• USD &amp; inflation: a decoupling/Taiwan shock is inflationary (supply shock) and USD-volatile — negative for the Consumer sleeve overall, though now modeled per-name on the Consumer Sleeve tab: import/hardware-exposed names (Quince, Whoop, Made In, Plunge) take the sharper Shock hit via COGS/chip-supply, while staple/subscription names (Farmer's Dog, Thrive Market) are more defensive; Goat Group (discretionary resale demand + cross-border logistics) also skews Shock-worse-than-Bear, while Stripe (fee-based payments infra, not import-exposed) skews milder, in line with its tighter Bear/Shock spread on the Consumer Sleeve tab.</t>
  </si>
  <si>
    <t>• Reshoring / friend-shoring capital flows (CHIPS disbursement, allied industrial policy) are the domestic-capital trend the whole holdco front-runs — the barbell is long this structural reallocation.</t>
  </si>
  <si>
    <t>4B | CLASSIFIED / BLACK-BUDGET DIMENSION (from uploaded BX Tac Opps research)</t>
  </si>
  <si>
    <t>• US classified/black spending ~$170-215B in FY2026 (~16-20% of the ~$1.04T defense topline) and rising as a share (13-14% in 2013 -&gt; 16-20% now). Intelligence budget (NIP+MIP) FY26 request $115.5B, +14.2% YoY.</t>
  </si>
  <si>
    <t>• Why it matters for the IQT-mirror sleeve: IQT is the CIA's investment arm, funded within the NIP. A growing intelligence budget = a larger IQT deployment pipeline = more signal to mirror. The sleeve's edge scales WITH the black budget — a second, independent tailwind on top of the semis/China story.</t>
  </si>
  <si>
    <t>• Missile / energetics / EW / undersea ramp is largely classified and accelerating (AIM-424 Malice revealed Aug-26, Tomahawk Block Va/Vb combat-deployed Feb-26, LRSO, hypersonics; SSN-812 seabed warfare; EA-37B EW) — a direct tailwind to Weapons holdings: Helicon (energetics), Saronic (naval autonomy), Epirus (directed energy), Elta (EW/ISR).</t>
  </si>
  <si>
    <t>• Public-prime classified revenue (FY24 est) as demand proxy: Northrop $9-13B (25-35% of def rev — most 'black'), Lockheed $10-18B, RTX $4-9B, Boeing $4-5.5B, GD $3.5-5B, L3Harris $2.5-4.5B. The private holdings feed the same classified demand pools.</t>
  </si>
  <si>
    <t>5 | DRIVER x SLEEVE MAPPING (direction of impact)</t>
  </si>
  <si>
    <t>Driver</t>
  </si>
  <si>
    <t>NATO / EU rearmament</t>
  </si>
  <si>
    <t>+</t>
  </si>
  <si>
    <t>+ +</t>
  </si>
  <si>
    <t>0</t>
  </si>
  <si>
    <t>US budget / Replicator / munitions</t>
  </si>
  <si>
    <t>Classified / black-budget growth (+14% IC)</t>
  </si>
  <si>
    <t>+ + (IQT = CIA arm)</t>
  </si>
  <si>
    <t>China modernization / decoupling</t>
  </si>
  <si>
    <t>-</t>
  </si>
  <si>
    <t>Taiwan / TSMC shock</t>
  </si>
  <si>
    <t>+ + (convex)</t>
  </si>
  <si>
    <t>+ + (conflict demand)</t>
  </si>
  <si>
    <t>- (inflation/spend)</t>
  </si>
  <si>
    <t>CHIPS / reshoring capital</t>
  </si>
  <si>
    <t>Higher-for-longer rates</t>
  </si>
  <si>
    <t>- (long-duration)</t>
  </si>
  <si>
    <t>- / 0</t>
  </si>
  <si>
    <t>USD strength / inflation</t>
  </si>
  <si>
    <t>0 / -</t>
  </si>
  <si>
    <t>- -</t>
  </si>
  <si>
    <t>Consumer spending cycle</t>
  </si>
  <si>
    <t>+ + (primary driver)</t>
  </si>
  <si>
    <t>6 | KEY TAKEAWAY</t>
  </si>
  <si>
    <t>• The supercycle is already loudly priced in PUBLIC comps (ITA +29% 1yr, SOXX +170% 1yr) — so the edge is NOT the theme being undiscovered; it is capturing it at PRIVATE / VC-stage entry before the public re-rate. That is why the scoreboard is KS-PME vs the ITA/SOXX basket, not vs SPX.</t>
  </si>
  <si>
    <t>• The barbell's logic: Weapons + IQT are both long the geopolitical supercycle (opex + capex legs) and both convex to a Taiwan/TSMC shock; Consumer is the uncorrelated ballast that carries near-term DPI and is the one sleeve hurt by the shock. Net holdco is long the supercycle with a spending-cycle diversifier.</t>
  </si>
  <si>
    <t>• Biggest swing factors: (1) Weapons CAGR (largest sleeve), (2) the thematic-basket hurdle, (3) the rate path via IQT exit timing. All are levers on the Holdco Summary / Assumptions / PME tabs.</t>
  </si>
  <si>
    <t>Sources: iShares ITA &amp; SOXX fact sheets (Jun-30-2026); multiples.vc (Rheinmetall/L3Harris, Sep-2026); Macrotrends (AVAV); Sacra (Saronic $9.25B, Anduril $61B); NATO/Atlantic Council (Hague 5% pledge, +20% EU 2025); uploaded BX Tac Opps black-budget compilation (Sep-2026): classified spend ~$170-215B, IC +14.2%, contractor classified-revenue estimates. China budget &amp; Davidson window are widely-cited pre-cutoff figures — confirm current.</t>
  </si>
  <si>
    <t>ASSUMPTIONS &amp; INPUTS</t>
  </si>
  <si>
    <t>Blue = hardcoded input / lever. TSMC-Shock CAGR (col I) is computed on the Defense Supercycle tab. All $M.</t>
  </si>
  <si>
    <t>FUND TERMS (IQT-mirror sleeve)</t>
  </si>
  <si>
    <t>Committed capital ($M)</t>
  </si>
  <si>
    <t>IQT sleeve = 1 of 3 holdco sub-funds (see Holdco Summary)</t>
  </si>
  <si>
    <t>Initial deployment ($M)</t>
  </si>
  <si>
    <t>Memo — reserve embedded in retention</t>
  </si>
  <si>
    <t>Follow-on reserve ($M)</t>
  </si>
  <si>
    <t>Pro-rata defense on winners</t>
  </si>
  <si>
    <t>Mgmt fee (% of committed / yr)</t>
  </si>
  <si>
    <t>Charged over full vehicle life</t>
  </si>
  <si>
    <t>Carried interest (%)</t>
  </si>
  <si>
    <t>Over pref, no catch-up modeled</t>
  </si>
  <si>
    <t>Preferred return (% comp.)</t>
  </si>
  <si>
    <t>8% compounded hurdle</t>
  </si>
  <si>
    <t>Retention @ 5yr</t>
  </si>
  <si>
    <t>Ownership kept after dilution</t>
  </si>
  <si>
    <t>Retention @ 7yr</t>
  </si>
  <si>
    <t>Retention @ 10yr</t>
  </si>
  <si>
    <t>PORTFOLIO — ENTRY MARKS, CHECKS &amp; GROWTH ASSUMPTIONS</t>
  </si>
  <si>
    <t>Company</t>
  </si>
  <si>
    <t>Entry post-$M</t>
  </si>
  <si>
    <t>Check ($M)</t>
  </si>
  <si>
    <t>Own %</t>
  </si>
  <si>
    <t>Tranche</t>
  </si>
  <si>
    <t>Base CAGR</t>
  </si>
  <si>
    <t>Bull CAGR</t>
  </si>
  <si>
    <t>Bear CAGR</t>
  </si>
  <si>
    <t>Valuation basis</t>
  </si>
  <si>
    <t>Substrate (anchor)</t>
  </si>
  <si>
    <t>Anchor / growth</t>
  </si>
  <si>
    <t>Est. &gt;$1.0B post (Oct-25 round)</t>
  </si>
  <si>
    <t>EUV Tech</t>
  </si>
  <si>
    <t>Growth core</t>
  </si>
  <si>
    <t>Est. — undisclosed (rev-gen niche)</t>
  </si>
  <si>
    <t>ThinTronics</t>
  </si>
  <si>
    <t>Est. — undisclosed + $50M CHIPS LOI</t>
  </si>
  <si>
    <t>EdgeCortix</t>
  </si>
  <si>
    <t>Est. — undisclosed (&gt;$110M raised)</t>
  </si>
  <si>
    <t>Syntiant</t>
  </si>
  <si>
    <t>Pre-IPO / liquid</t>
  </si>
  <si>
    <t>$646M Dec-24; S-1 filed (SYTN)</t>
  </si>
  <si>
    <t>Infleqtion</t>
  </si>
  <si>
    <t>Public / liquid</t>
  </si>
  <si>
    <t>Public NYSE:INFQ (~$3.0B mkt cap)</t>
  </si>
  <si>
    <t>Diraq</t>
  </si>
  <si>
    <t>Quantum venture</t>
  </si>
  <si>
    <t>Never disclosed (unverified ~$107M)</t>
  </si>
  <si>
    <t>Mueon</t>
  </si>
  <si>
    <t>Seed optionality</t>
  </si>
  <si>
    <t>Est. — undisclosed ($15.5M seed)</t>
  </si>
  <si>
    <t>DefendEye</t>
  </si>
  <si>
    <t>Est. — undisclosed seed</t>
  </si>
  <si>
    <t>TOTAL DEPLOYED</t>
  </si>
  <si>
    <t>DEFENSE SUPERCYCLE — STRATEGIC SCORING &amp; SHOCK ENGINE</t>
  </si>
  <si>
    <t>Winning the US-China AI/semiconductor race + insulating against a Taiwan / loss-of-TSMC scenario. Blue = lever.</t>
  </si>
  <si>
    <t>STRATEGIC AXIS WEIGHTS (must sum to 100%)</t>
  </si>
  <si>
    <t>China AI/semi-race criticality</t>
  </si>
  <si>
    <t>Advances US lead in AI compute / advanced nodes</t>
  </si>
  <si>
    <t>Taiwan / TSMC-insulation value</t>
  </si>
  <si>
    <t>Reduces US dependence on Taiwan-based fabrication</t>
  </si>
  <si>
    <t>Government / defense embeddedness</t>
  </si>
  <si>
    <t>IQT + DoD/DIU/DARPA/CHIPS pull</t>
  </si>
  <si>
    <t>CFIUS-clean / US-sovereign</t>
  </si>
  <si>
    <t>US domicile &amp; ownership; acquirable by US gov/primes</t>
  </si>
  <si>
    <t>Supply-chain chokepoint leverage</t>
  </si>
  <si>
    <t>Sole/near-sole source at a critical node</t>
  </si>
  <si>
    <t>Sum (check = 100%)</t>
  </si>
  <si>
    <t>TSMC-SHOCK CALIBRATION</t>
  </si>
  <si>
    <t>Pivot score (neutral)</t>
  </si>
  <si>
    <t>Composite above pivot -&gt; positive re-rating; below -&gt; drag</t>
  </si>
  <si>
    <t>Premium per point (CAGR)</t>
  </si>
  <si>
    <t>CAGR uplift per composite point above pivot, added to Base CAGR</t>
  </si>
  <si>
    <t>SCENARIO PROBABILITY WEIGHTS (must sum to 100%)</t>
  </si>
  <si>
    <t>STRATEGIC SCORING MATRIX (1 = low, 5 = high; blue = lever)</t>
  </si>
  <si>
    <t>China Race</t>
  </si>
  <si>
    <t>TSMC Insul.</t>
  </si>
  <si>
    <t>Gov/Defense</t>
  </si>
  <si>
    <t>CFIUS-Clean</t>
  </si>
  <si>
    <t>Chokepoint</t>
  </si>
  <si>
    <t>Composite</t>
  </si>
  <si>
    <t>Shock prem.</t>
  </si>
  <si>
    <t>Shock CAGR</t>
  </si>
  <si>
    <t>Avg / weighted</t>
  </si>
  <si>
    <t>SCENARIO NARRATIVE — TSMC SHOCK / TAIWAN CONTINGENCY</t>
  </si>
  <si>
    <t>• Trigger: a Taiwan blockade/quarantine, kinetic event, or hard US-China tech decoupling that removes or severely constrains access to TSMC's leading-edge capacity — the single point of failure in the AI-compute supply chain.</t>
  </si>
  <si>
    <t>• Winners (large re-rate): the US sovereign-chokepoint names. Substrate (domestic X-ray litho / fabs), EUV Tech (at-wavelength EUV metrology — no fab qualifies without it), ThinTronics (US ABF/substrate materials vs Japan's Ajinomoto monopoly). Onshoring becomes a national-security imperative; demand + pricing power inflect.</t>
  </si>
  <si>
    <t>• Partial winners: Mueon (US advanced packaging / rack density), Infleqtion &amp; Diraq (quantum race convexity — the 'next' compute paradigm if classical leading-edge is contested), Syntiant (US-fab-flexible edge inference).</t>
  </si>
  <si>
    <t>• Laggards / drag: EdgeCortix (Japan HQ + TSMC-Kumamoto fab exposure, near-term supply hit and CFIUS ceiling) and DefendEye (foreign-nexus, low semiconductor-sovereignty relevance).</t>
  </si>
  <si>
    <t>• Portfolio design implication: the book is intentionally overweight the sovereign core, so a tail event that would hurt a generic tech portfolio is where this one is most convex. That asymmetry is the thesis.</t>
  </si>
  <si>
    <t>IQT WARTIME-FUNCTION MAP — SUBSTRATE-ANCHORED SLEEVE (from uploaded IQT strategic analysis)</t>
  </si>
  <si>
    <t>Strategic cluster</t>
  </si>
  <si>
    <t>Holdings</t>
  </si>
  <si>
    <t>Wartime function / why IQT funds it</t>
  </si>
  <si>
    <t>TSMC-alternative: packaging &amp; substrates</t>
  </si>
  <si>
    <t>Substrate, ThinTronics, EUV Tech</t>
  </si>
  <si>
    <t>Build &amp; package chips domestically if Taiwan is blockaded — X-ray litho (Substrate), CoWoS-alternative insulators for advanced packaging (ThinTronics, + $50M CHIPS LOI Jul-26), at-wavelength EUV metrology to keep domestic litho running (EUV Tech).</t>
  </si>
  <si>
    <t>Denied-environment edge AI</t>
  </si>
  <si>
    <t>Syntiant, EdgeCortix</t>
  </si>
  <si>
    <t>Onboard AI for autonomous weapons when GPS / cloud / comms are jammed by PLA electronic warfare — ultra-low-power SWaP-constrained inference on drones, missiles, naval sensors. Syntiant signed a Nov-2025 IQT strategic technology-development agreement; EdgeCortix's DNA accelerator targets defense/aerospace at the tactical edge.</t>
  </si>
  <si>
    <t>Post-Moore's next-gen compute</t>
  </si>
  <si>
    <t>Diraq, Mueon (+ Infleqtion)</t>
  </si>
  <si>
    <t>Bootstrap quantum on existing CMOS foundries (Diraq silicon spin qubits — no exotic materials) and ultra-dense secure domestic AI data-center compute (Mueon) — a hedge if China wins the legacy-silicon volume war.</t>
  </si>
  <si>
    <t>Strategic takeaway: IQT is using venture capital to construct a parallel, domestic 'fail-safe' tech stack so the US can build, package and deploy AI-driven weapons entirely from domestic supply chains through a 2026/27 Taiwan contingency. Mirroring the Substrate-anchored sleeve = owning that fail-safe at VC-stage entry. The scores above are lifted for the edge-AI and next-gen-compute names to reflect this direct, documented defense pull.</t>
  </si>
  <si>
    <t>ALLOCATION &amp; POSITION STRUCTURE</t>
  </si>
  <si>
    <t>Green = linked. Composite pulled from Defense Supercycle tab. Ownership &gt;15% = significant minority (seek board seat / observer).</t>
  </si>
  <si>
    <t>% Fund</t>
  </si>
  <si>
    <t>Supercycle</t>
  </si>
  <si>
    <t>Domicile</t>
  </si>
  <si>
    <t>Structuring / diligence flag</t>
  </si>
  <si>
    <t>USA (SF, CA)</t>
  </si>
  <si>
    <t>Anchor. Binary tech risk — capped ~32% of fund; the core sovereign-litho bet.</t>
  </si>
  <si>
    <t>USA (CA)</t>
  </si>
  <si>
    <t>Rev-generating niche leader — best risk-adjusted. ~17% stake = significant minority; seek a board seat.</t>
  </si>
  <si>
    <t>CHIPS $50M LOI catalyst. ~19% stake = significant minority; likely primary + secondary blend.</t>
  </si>
  <si>
    <t>JAPAN (Tokyo)</t>
  </si>
  <si>
    <t>CFIUS/allied flag — minority only. Renesas natural acquirer. TSMC-Kumamoto fab exposure.</t>
  </si>
  <si>
    <t>Pre-IPO secondary or SYTN cornerstone. Watch pricing vs $646M Dec-24 mark.</t>
  </si>
  <si>
    <t>USA (CO)</t>
  </si>
  <si>
    <t>Public (INFQ). PIPE/secondary. Listed quantum benchmark for Diraq.</t>
  </si>
  <si>
    <t>AUSTRALIA (Sydney)</t>
  </si>
  <si>
    <t>Allied flag — minority. NRFC sovereignty covenants. AUKUS-aligned quantum optionality.</t>
  </si>
  <si>
    <t>USA (OR)</t>
  </si>
  <si>
    <t>Seed. Milestone-gated. Needs a shipping Cubelet design-win to scale exposure.</t>
  </si>
  <si>
    <t>USA (FL)+POLAND</t>
  </si>
  <si>
    <t>EU cap table + Krakow mfg — Blue UAS/NDAA provenance diligence before US-defense thesis.</t>
  </si>
  <si>
    <t>TOTAL</t>
  </si>
  <si>
    <t>PORTFOLIO RETURNS BY HOLD &amp; SCENARIO</t>
  </si>
  <si>
    <t>Proceeds = Check x (1+CAGR)^Hold x Retention. MOIC = Proceeds/Check. Gross IRR = MOIC^(1/Hold)-1.</t>
  </si>
  <si>
    <t>5-YEAR HOLD VEHICLE</t>
  </si>
  <si>
    <t>Base $</t>
  </si>
  <si>
    <t>Base MOIC</t>
  </si>
  <si>
    <t>Base IRR</t>
  </si>
  <si>
    <t>Bull $</t>
  </si>
  <si>
    <t>Bull MOIC</t>
  </si>
  <si>
    <t>Bull IRR</t>
  </si>
  <si>
    <t>Bear $</t>
  </si>
  <si>
    <t>Bear MOIC</t>
  </si>
  <si>
    <t>Bear IRR</t>
  </si>
  <si>
    <t>Shock $</t>
  </si>
  <si>
    <t>Shock MOIC</t>
  </si>
  <si>
    <t>Shock IRR</t>
  </si>
  <si>
    <t>FUND TOTAL</t>
  </si>
  <si>
    <t>7-YEAR HOLD VEHICLE</t>
  </si>
  <si>
    <t>10-YEAR HOLD VEHICLE</t>
  </si>
  <si>
    <t>FUND ECONOMICS — GROSS-&gt;NET WATERFALL</t>
  </si>
  <si>
    <t>Whole-fund European waterfall: return of capital -&gt; 8% comp. pref -&gt; 20% carry (no catch-up). Expected = prob-weighted. $M.</t>
  </si>
  <si>
    <t>5-YEAR VEHICLE</t>
  </si>
  <si>
    <t>Gross exit proceeds</t>
  </si>
  <si>
    <t>(-) Return of committed capital</t>
  </si>
  <si>
    <t>(-) Preferred return (8% comp.)</t>
  </si>
  <si>
    <t>Profit above pref (carry base)</t>
  </si>
  <si>
    <t>(-) GP carried interest (20%)</t>
  </si>
  <si>
    <t>(-) Management fees</t>
  </si>
  <si>
    <t>Net proceeds to LPs</t>
  </si>
  <si>
    <t>Gross MOIC</t>
  </si>
  <si>
    <t>Net MOIC (to LP)</t>
  </si>
  <si>
    <t>Gross IRR</t>
  </si>
  <si>
    <t>Net IRR (to LP)</t>
  </si>
  <si>
    <t>DPI = TVPI at exit</t>
  </si>
  <si>
    <t>7-YEAR VEHICLE</t>
  </si>
  <si>
    <t>10-YEAR VEHICLE</t>
  </si>
  <si>
    <t>IQT SLEEVE — STRATEGIC-FUNCTION CLUSTER ROLL-UP</t>
  </si>
  <si>
    <t>The nine Substrate-anchored names grouped by wartime function (per the IQT strategic analysis). Green links to live per-name figures.</t>
  </si>
  <si>
    <t>SIZING &amp; STRATEGIC SCORE BY CLUSTER</t>
  </si>
  <si>
    <t>% Sleeve</t>
  </si>
  <si>
    <t>Avg composite</t>
  </si>
  <si>
    <t>Avg shock CAGR</t>
  </si>
  <si>
    <t>Infleqtion, Diraq, Mueon</t>
  </si>
  <si>
    <t>Autonomous sensing (adjacent)</t>
  </si>
  <si>
    <t>IQT SLEEVE TOTAL</t>
  </si>
  <si>
    <t>5-YEAR HOLD — CLUSTER GROSS PROCEEDS &amp; MOIC</t>
  </si>
  <si>
    <t>Cluster</t>
  </si>
  <si>
    <t>SLEEVE TOTAL</t>
  </si>
  <si>
    <t>7-YEAR HOLD — CLUSTER GROSS PROCEEDS &amp; MOIC</t>
  </si>
  <si>
    <t>10-YEAR HOLD — CLUSTER GROSS PROCEEDS &amp; MOIC</t>
  </si>
  <si>
    <t>Read: sized by strategic function, the sleeve is ~53% TSMC-alternative packaging/substrates (the sovereign core), ~25% denied-environment edge AI, ~20% next-gen compute, ~3% adjacent autonomy — a deliberate overweight to the domestic fail-safe chokepoints that re-rate hardest in a Taiwan/TSMC shock.</t>
  </si>
  <si>
    <t>SLEEVE TERMS</t>
  </si>
  <si>
    <t>Committed ($M)</t>
  </si>
  <si>
    <t>Retention @5yr</t>
  </si>
  <si>
    <t>Retention @7yr</t>
  </si>
  <si>
    <t>Retention @10yr</t>
  </si>
  <si>
    <t>HOLDINGS, ENTRY MARKS &amp; GROWTH ASSUMPTIONS</t>
  </si>
  <si>
    <t>Access / structure flag</t>
  </si>
  <si>
    <t>Shock</t>
  </si>
  <si>
    <t>Saronic</t>
  </si>
  <si>
    <t>US clean; late/expensive — secondary or late primary</t>
  </si>
  <si>
    <t>Series D Mar-26 $9.25B post</t>
  </si>
  <si>
    <t>Epirus</t>
  </si>
  <si>
    <t>US clean; directed energy / HPM</t>
  </si>
  <si>
    <t>Est. — Series D 2025 (~$1.35B)</t>
  </si>
  <si>
    <t>Israel Aerospace Ind.</t>
  </si>
  <si>
    <t>IPO ATTEMPT (H2-26) — cornerstone/IPO allocation; ITAR/foreign-own. remains</t>
  </si>
  <si>
    <t>Est. — IPO-pending (Elbit-comp scale)</t>
  </si>
  <si>
    <t>Elta Systems</t>
  </si>
  <si>
    <t>IAI subsidiary — consolidates into IAI IPO; EW/ISR</t>
  </si>
  <si>
    <t>Est. notional (within IAI)</t>
  </si>
  <si>
    <t>Heckler &amp; Koch</t>
  </si>
  <si>
    <t>Listed; closely held (CDR) — secondary/block</t>
  </si>
  <si>
    <t>Est. EV — listed small-arms</t>
  </si>
  <si>
    <t>Helicon Chemical</t>
  </si>
  <si>
    <t>US clean; investable small — real stake</t>
  </si>
  <si>
    <t>Est. — early-growth energetics</t>
  </si>
  <si>
    <t>Applied Research Assoc.</t>
  </si>
  <si>
    <t>EMPLOYEE-OWNED ESOP — structural, hard</t>
  </si>
  <si>
    <t>Est. EV (~$700M+ rev R&amp;D)</t>
  </si>
  <si>
    <t>5-YEAR HOLD — GROSS PROCEEDS</t>
  </si>
  <si>
    <t>7-YEAR HOLD — GROSS PROCEEDS</t>
  </si>
  <si>
    <t>10-YEAR HOLD — GROSS PROCEEDS</t>
  </si>
  <si>
    <t>CONSUMER / VALUE SLEEVE — BOTTOM-UP ($200M)</t>
  </si>
  <si>
    <t>Spending-cycle / DTC-value holdings. Blue = input. Quince &amp; Whoop = confirmed 2026 primary rounds; Farmer's Dog &amp; Thrive Market = Forge secondary-market pricing (22-Sep-26); Made In &amp; Plunge remain estimates — no market exists. Polymarket added (Sep-26) — prediction-market secondary at ~$14-21B. Goat Group added (stale Series F Jun-21 mark, $3.73B post, no live secondary) and Stripe added (MARKET-PRICED, $159B Feb-26 employee tender) — both funded by trimming the other seven checks pro-rata (×0.7×) to hold the sleeve at its $200M cap.</t>
  </si>
  <si>
    <t>Channel / access note</t>
  </si>
  <si>
    <t>Quince</t>
  </si>
  <si>
    <t>Direct secondary/late-primary; watch ICONIQ round terms</t>
  </si>
  <si>
    <t>Series E Mar-26 $10.1B post (ICONIQ-led $500M; &gt;$1B ARR, M2C manufacturer-to-consumer model)</t>
  </si>
  <si>
    <t>Whoop</t>
  </si>
  <si>
    <t>Direct secondary/late-primary; IPO window = public-exit optionality</t>
  </si>
  <si>
    <t>Series G Mar-26 $10.1B post ($575M raise; IPO-track, medical-grade/glucose-monitoring expansion)</t>
  </si>
  <si>
    <t>The Farmer's Dog</t>
  </si>
  <si>
    <t>WALMART.COM LAUNCH (2025) — DTC-only to omni-channel; secondary access</t>
  </si>
  <si>
    <t>MARKET-PRICED — Forge secondary $23.64/sh (22-Sep-26) = $3.76B implied, up from $2.5B Series E ($15.72/sh, Jun-22); profitable, &gt;$1B ann. revenue</t>
  </si>
  <si>
    <t>Made In Cookware</t>
  </si>
  <si>
    <t>DTC + wholesale/restaurant placements; secondary access, thin float</t>
  </si>
  <si>
    <t>Est. EV — only ~$8.3M ever raised ($5M 2019 seed, KarpReilly-backed 2017); NO secondary market exists — least-grounded mark in the sleeve</t>
  </si>
  <si>
    <t>Thrive Market</t>
  </si>
  <si>
    <t>Membership DTC; IPO-candidate, pre-IPO secondary</t>
  </si>
  <si>
    <t>MARKET-PRICED — Forge secondary $17.98/sh (21-Sep-26) implies ~$945M, DOWN ~27% from Series C $1.29B post ($24.60/sh, Jul-21) despite revenue growth $400M→$700M+ — real multiple compression</t>
  </si>
  <si>
    <t>Plunge</t>
  </si>
  <si>
    <t>Wefunder community round (2025) — direct primary access, small check</t>
  </si>
  <si>
    <t>Est. — NO priced VC round exists (only $4.75M raised incl. crowdfunding); 2021 Shark Tank ask was $10M (declined) vs. ~$200M lifetime sales by 2025 — mostly self-funded growth, entry mark is a rough estimate</t>
  </si>
  <si>
    <t>Polymarket</t>
  </si>
  <si>
    <t>Secondary / late-primary; prediction-market expansion (US regulated + ICE distribution)</t>
  </si>
  <si>
    <t>MARKET-PRICED — secondary ~$14-21B range (Sep-26); ICE-backed; US regulated expansion &amp; sports/politics volume convexity</t>
  </si>
  <si>
    <t>Goat Group</t>
  </si>
  <si>
    <t>Secondary access, thin float; last priced Series F (Jun-21); no active secondary quote — re-underwrite before check</t>
  </si>
  <si>
    <t>Est. — last priced Series F 24-Jun-21 $3.73B post ($5.82/sh; $195M raise, Dragoneer/Franklin Templeton); Forge Global lists GOAT with no live secondary match ("price not yet available") — 5-yr-stale mark, least-grounded alongside Made In/Plunge; no IPO filed</t>
  </si>
  <si>
    <t>Stripe</t>
  </si>
  <si>
    <t>Employee/investor tender access; most liquid, most de-risked name in the sleeve — recurring annual tender cadence gives a real-time mark</t>
  </si>
  <si>
    <t>MARKET-PRICED — Feb-26 employee tender $159B post (Bloomberg/CNBC, 24-Feb-26), up from ~$140B guided 9-Feb-26 and ~$91.5B Feb-25 tender; total payment volume +34% YoY (~$1.9-2T annualized); IPO-track, profitable at scale</t>
  </si>
  <si>
    <t>TOTAL (=$200M)</t>
  </si>
  <si>
    <t>METHODOLOGY / DATA-CONFIDENCE NOTE</t>
  </si>
  <si>
    <t>Marks are now tiered by evidence quality. Quince and Whoop are confirmed 2026 primary rounds (both $10.1B post-money, Mar-26). The Farmer's Dog and Thrive Market are MARKET-PRICED off live Forge Global secondary quotes (22-Sep-26): Farmer's Dog implies $3.76B (up from its $2.5B Series E in Jun-22 — real appreciation, and its Walmart.com launch in 2025 is the modeled upside catalyst); Thrive Market implies ~$945M (DOWN ~27% from its $1.29B Series C post-money in Jul-21, despite revenue growing from $400M to $700M+ over the same period — genuine multiple compression, not a data gap, which is why its Base/Bull CAGRs were cut and its Bear turned negative). Made In Cookware and Plunge remain unpriced: Made In has raised only ~$8.3M total (no institutional round large enough to anchor an EV) and Plunge has raised just $4.75M against an estimated ~$200M in lifetime sales by 2025 (mostly self-funded) — both entry marks are directional estimates with no market to check them against, and are the first things to re-underwrite before a check is cut. Bear vs. Shock differ by name rather than using one sleeve-wide spread: staple/subscription names (Farmer's Dog, Thrive Market) see Shock milder than Bear — food/grocery spend is defensive and some trade-down benefit offsets inflation; import- or hardware-exposed names (Quince's direct-factory M2C sourcing, Whoop's own chip-dependent hardware, Made In's imported cookware inputs, Plunge's hardware BOM) see Shock worse than Bear — a Taiwan/decoupling scenario hits their COGS and supply chain directly, on top of softer discretionary demand. Polymarket added at $15M check (~$18B entry mark, mid of $14-21B secondary range Sep-26); Base 25%/Bull 40%/Bear -5%/Shock -12% — volume/fee leverage + US expansion convexity, with regulatory/competitive risk in Bear/Shock. Goat Group and Stripe were added Sep-26: Goat Group's last priced round is its Series F (24-Jun-21, $3.73B post, $195M raise); Forge Global shows no active secondary match for it, so — like Made In and Plunge — it is an unpriced, stale mark and among the first names to re-underwrite. Stripe is the opposite end of the confidence spectrum: MARKET-PRICED off a live, recurring employee tender ($159B post, 24-Feb-26, up from ~$140B guided 9-Feb-26 and ~$91.5B in the Feb-25 tender), with payment volume +34% YoY — the most liquid, best-evidenced mark in the sleeve. Both checks were funded by trimming the other seven positions pro-rata (×0.7× of prior check size) so total sleeve checks stay at exactly $200M, matching the Holdco Summary sleeve cap.</t>
  </si>
  <si>
    <t>PME, DPI &amp; PROBABILITY PRESSURE TEST</t>
  </si>
  <si>
    <t>PUBLIC-MARKET BENCHMARK ASSUMPTIONS (blue = lever)</t>
  </si>
  <si>
    <t>Long-run total-return assumptions; edit to your house view. KS-PME&gt;1.0x = beat the index.</t>
  </si>
  <si>
    <t>Method: single terminal exit -&gt; KS-PME = Net MOIC / index total-return multiple over the hold; Direct Alpha = KS-PME^(1/Hold)-1 (annualized outperformance). Paid-in assumed fully drawn = committed, so Net DPI = Net MOIC and RVPI=0 at exit (TVPI=DPI).</t>
  </si>
  <si>
    <t>Net DPI (to LP; =TVPI at exit)</t>
  </si>
  <si>
    <t>Gross DPI (deal-level)</t>
  </si>
  <si>
    <t>SPX total-return multiple</t>
  </si>
  <si>
    <t>Net KS-PME vs SPX</t>
  </si>
  <si>
    <t>Direct Alpha vs SPX (ann.)</t>
  </si>
  <si>
    <t>NDX total-return multiple</t>
  </si>
  <si>
    <t>Net KS-PME vs NDX</t>
  </si>
  <si>
    <t>Direct Alpha vs NDX (ann.)</t>
  </si>
  <si>
    <t>memo: Gross KS-PME vs SPX</t>
  </si>
  <si>
    <t>memo: Gross KS-PME vs NDX</t>
  </si>
  <si>
    <t>Shock probability</t>
  </si>
  <si>
    <t>5-yr Net IRR</t>
  </si>
  <si>
    <t>7-yr Net IRR</t>
  </si>
  <si>
    <t>10-yr Net IRR</t>
  </si>
  <si>
    <t>Note</t>
  </si>
  <si>
    <t>shock excluded</t>
  </si>
  <si>
    <t>IQT-MIRROR SLEEVE — SCENARIO SUMMARY</t>
  </si>
  <si>
    <t>IQT-mirror sleeve ($250M) net-to-LP across 5/7/10-yr vehicles, four cases + probability-weighted Expected. Holdco-level results are on the IC Summary / Holdco Summary tabs. Green links to Fund Economics.</t>
  </si>
  <si>
    <t>NET IRR TO LP</t>
  </si>
  <si>
    <t>NET MOIC TO LP</t>
  </si>
  <si>
    <t>NET PROCEEDS TO LP ($M)</t>
  </si>
  <si>
    <t>• Expected (prob-weighted) is the number to underwrite to; the four scenario columns show the distribution around it.</t>
  </si>
  <si>
    <t>• TSMC-Shock is the convexity leg — it lifts Expected returns materially precisely because the book is overweight the US sovereign-chokepoint core (Substrate, EUV Tech, ThinTronics). Dial its probability on the Supercycle tab.</t>
  </si>
  <si>
    <t>• Base still clears a mid-teens net IRR; Bear is cushioned by the rev-generating semis names; seed names approach write-off in Bear but are sized small.</t>
  </si>
  <si>
    <t>The Ellwood Group</t>
  </si>
  <si>
    <t>FAMILY-OWNED private (Ellwood City, PA) — minority/structured pref; missile-casing &amp; naval open/closed-die forgings</t>
  </si>
  <si>
    <t>Superior &amp; Grand Valley</t>
  </si>
  <si>
    <t>Private forger — missile procurement metal forging; entry mark unverified (placeholder)</t>
  </si>
  <si>
    <t>PLACEHOLDER — no disclosed mark</t>
  </si>
  <si>
    <t>TOTAL (=$390M)</t>
  </si>
  <si>
    <t>LEVIATHAN — CORE PE HOLDCO ($840M) — TRIPARTITE ROLL-UP</t>
  </si>
  <si>
    <t>TOTAL (must = $840M)</t>
  </si>
  <si>
    <t>Weapons: Epirus, Elta, Israel Aerospace Industries, Saronic, Helicon Chemical, Applied Research Associates, Heckler &amp; Koch, The Ellwood Group, Superior &amp; Grand Valley</t>
  </si>
  <si>
    <t>WEAPONS SLEEVE — BOTTOM-UP ($390M)</t>
  </si>
  <si>
    <t>$840M tripartite holdco (IQT-mirror / Weapons / Consumer-Value). USD $M. Expected = probability-weighted across Base/Bull/Bear/TSMC-Shock (weights on Defense Supercycle tab). Every figure links live to the model — no inputs on this page.</t>
  </si>
  <si>
    <t>Holdco size = $840M</t>
  </si>
  <si>
    <t>MUNITIONS / FMS OVERLAY — CAGR UPLIFT PER EXPOSURE POINT</t>
  </si>
  <si>
    <t>Base uplift / pt</t>
  </si>
  <si>
    <t>Bull uplift / pt</t>
  </si>
  <si>
    <t>Bear uplift / pt (backlog cushion)</t>
  </si>
  <si>
    <t>Shock uplift / pt</t>
  </si>
  <si>
    <t>Munitions shortage (0-5)</t>
  </si>
  <si>
    <t>FMS / export backlog (0-5)</t>
  </si>
  <si>
    <t>Exposure score</t>
  </si>
  <si>
    <t>Adj. Base</t>
  </si>
  <si>
    <t>Adj. Bull</t>
  </si>
  <si>
    <t>Adj. Bear</t>
  </si>
  <si>
    <t>Adj. Shock</t>
  </si>
  <si>
    <t>Leviathan's core PE holdco is an $840M vehicle across THREE sub-funds: IQT-mirror deep-tech ($250M), Weapons ($390M), and Consumer/Value ($200M). All three sleeves are modeled bottom-up from individual holdings — IQT-mirror (nine In-Q-Tel names), Weapons (nine physical-layer holdings, incl. The Ellwood Group and Superior &amp; Grand Valley for missile-procurement metal forging), Consumer/Value (nine DTC/spending-cycle names) — each across four scenarios, 5/7/10-yr holds, gross-to-net waterfall, and PME, and roll up to a blended holdco return on the Holdco Summary tab. Start there for the top-down view; the sleeve tabs hold the detail.</t>
  </si>
  <si>
    <t>Proceeds = Check x (1 + CAGR)^Hold x Retention (IQT-mirror retention 0.85/0.78/0.68 and Weapons 0.92/0.88/0.82 at 5/7/10yr, for dilution net of the follow-on reserve). TSMC-Shock CAGR = Base CAGR + (Composite score − Pivot) x Premium-per-point. Weapons CAGRs additionally carry a Munitions/FMS overlay (Weapons Sleeve P4:V20): Adj. CAGR = input CAGR + exposure score (avg of munitions-shortage and FMS-backlog scores, 0-5) x uplift per point. Sovereign-chokepoint names (Substrate, EUV Tech, ThinTronics) re-rate up hard; TSMC-dependent / foreign-nexus names (EdgeCortix, DefendEye) get little or negative uplift. Expected = probability-weighted across the four scenarios.</t>
  </si>
  <si>
    <t>Physical-layer defense holdings. Blue = input. Most entry marks are estimates; several names are access-constrained (see flags). Proceeds use munitions/FMS-adjusted CAGRs (cols S:V).</t>
  </si>
  <si>
    <t>Grounded sleeve assumptions (Base/Bull/Bear/Shock gross CAGR): Weapons 22/34/5/32% (original sleeve memo, reference only — model runs bottom-up per name with the munitions/FMS overlay); Consumer modeled bottom-up per-name, two now market-priced via Forge secondary (Quince 28/45/2/-18%, Whoop 27/42/-3/-16%, The Farmer's Dog 22/34/10/-5% @ $3.76B Forge-implied, Made In Cookware 14/26/-10/-14% est., Thrive Market 7/16/-5/-8% @ ~$945M Forge-implied (down from $1.29B Series C), Plunge 20/50/-22/-28% est.); thematic basket 15% fwd. IQT-mirror is bottom-up.</t>
  </si>
  <si>
    <t>Scope: Leviathan runs four vehicles (~$1.5B AUM total); this workbook models only the core PE holdco vehicle ($840M) and its equity targets — not the other three vehicles.</t>
  </si>
  <si>
    <t>Post-money $1.2B (user input); ~0.9x sales on &gt;$1.3B (AIST)</t>
  </si>
  <si>
    <t>DPI/TVPI, KS-PME &amp; Direct Alpha vs SPX/NDX, and Expected Net IRR sensitivity to the TSMC-Shock probability. Rows 11-69 = IQT-mirror sleeve ($250M) only; rows 72+ = total $840M holdco (all three sleeves) — ties to IC Summary headline.</t>
  </si>
  <si>
    <t>IQT-MIRROR SLEEVE ($250M) — 5-YEAR DPI &amp; PME</t>
  </si>
  <si>
    <t>IQT-MIRROR SLEEVE ($250M) — 7-YEAR DPI &amp; PME</t>
  </si>
  <si>
    <t>IQT-MIRROR SLEEVE ($250M) — 10-YEAR DPI &amp; PME</t>
  </si>
  <si>
    <t>IQT-MIRROR SLEEVE ($250M) — TSMC-SHOCK PROBABILITY PRESSURE TEST</t>
  </si>
  <si>
    <t>Expected Net IRR to LP (IQT-mirror sleeve only) as the TSMC-Shock probability varies. Base/Bull/Bear keep their current relative weights; shock takes the remainder. The row flagged 'current base case' matches Defense Supercycle!B20.</t>
  </si>
  <si>
    <t>TOTAL HOLDCO ($840M) — DPI &amp; PME BY HOLD (Expected, probability-weighted)</t>
  </si>
  <si>
    <t>5-yr</t>
  </si>
  <si>
    <t>7-yr</t>
  </si>
  <si>
    <t>10-yr</t>
  </si>
  <si>
    <t>Net KS-PME vs Defense+Semis basket</t>
  </si>
  <si>
    <t>Links to Holdco Summary roll-ups (rows 38-44 / 59-65 / 80-86). Holdco = IQT-mirror + Weapons + Consumer/Value, 2%/8%/20% on $840M.</t>
  </si>
  <si>
    <t>TOTAL HOLDCO ($840M) — TSMC-SHOCK PROBABILITY PRESSURE TEST</t>
  </si>
  <si>
    <t>Expected holdco Net IRR to LP as the TSMC-Shock probability varies (all three sleeves). Base/Bull/Bear keep their current relative weights; shock takes the remainder.</t>
  </si>
  <si>
    <t>WEAPONS BOOK SLEEVE ($390M) — DPI &amp; PME BY HOLD (Expected, probability-weighted)</t>
  </si>
  <si>
    <t>Gross = sleeve proceeds from Weapons Sleeve tab. Net = gross × holdco expected net/gross ratio (pro-rata allocation of carry + fees; fees/carry are charged at holdco level).</t>
  </si>
  <si>
    <t>Hold period (yrs)</t>
  </si>
  <si>
    <t>Capital committed ($M)</t>
  </si>
  <si>
    <t>Expected gross proceeds ($M)</t>
  </si>
  <si>
    <t>Net/gross allocation factor (holdco)</t>
  </si>
  <si>
    <t>Allocated net proceeds to LP ($M)</t>
  </si>
  <si>
    <t>Net MOIC / DPI (=TVPI at exit)</t>
  </si>
  <si>
    <t>WEAPONS BOOK SLEEVE — 7-YR BY SCENARIO (Gross)</t>
  </si>
  <si>
    <t>Scenario weight</t>
  </si>
  <si>
    <t>Gross proceeds ($M)</t>
  </si>
  <si>
    <t>Gross KS-PME vs Defense+Semis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</si>
</sst>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;&quot;($&quot;#,##0\);\-"/>
    <numFmt numFmtId="165" formatCode="0.0%"/>
    <numFmt numFmtId="166" formatCode="\$#,##0.0;&quot;($&quot;#,##0.0\);\-"/>
    <numFmt numFmtId="167" formatCode="0.00\x"/>
    <numFmt numFmtId="168" formatCode="0.0%;\(0.0%\);\-"/>
    <numFmt numFmtId="169" formatCode="\$#,##0.0;\(\$#,##0.0\);\-"/>
    <numFmt numFmtId="170" formatCode="\$#,##0;\(\$#,##0\);\-"/>
    <numFmt numFmtId="171" formatCode="\$#,##0.0"/>
    <numFmt numFmtId="172" formatCode="0.0"/>
    <numFmt numFmtId="173" formatCode="&quot;$&quot;#,##0.0"/>
    <numFmt numFmtId="174" formatCode="0.000"/>
  </numFmts>
  <fonts count="44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5"/>
      <color rgb="FF1F2A44"/>
      <name val="Arial"/>
      <family val="2"/>
    </font>
    <font>
      <b/>
      <sz val="11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5"/>
      <color rgb="FF1F2A44"/>
      <name val="Arial"/>
      <family val="2"/>
    </font>
    <font>
      <i/>
      <sz val="9"/>
      <color rgb="FF555555"/>
      <name val="Arial"/>
      <family val="2"/>
    </font>
    <font>
      <b/>
      <sz val="11"/>
      <color rgb="FF1F2A4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800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5"/>
      <color rgb="FF1F2A44"/>
      <name val="Arial"/>
      <family val="2"/>
    </font>
    <font>
      <b/>
      <sz val="11"/>
      <color rgb="FF1F2A44"/>
      <name val="Calibri"/>
      <family val="2"/>
      <charset val="1"/>
    </font>
    <font>
      <b/>
      <sz val="10"/>
      <color rgb="FF1F2A44"/>
      <name val="Arial"/>
      <family val="2"/>
    </font>
    <font>
      <b/>
      <sz val="11"/>
      <color rgb="FFFFFFFF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i/>
      <sz val="10"/>
      <color rgb="FF555555"/>
      <name val="Arial"/>
      <family val="2"/>
    </font>
    <font>
      <i/>
      <sz val="9"/>
      <color rgb="FF555555"/>
      <name val="Arial"/>
      <family val="2"/>
    </font>
    <font>
      <sz val="11"/>
      <color rgb="FF008000"/>
      <name val="Calibri"/>
      <family val="2"/>
      <charset val="1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1"/>
      <color rgb="FF000000"/>
      <name val="Calibri"/>
      <family val="2"/>
      <charset val="1"/>
    </font>
    <font>
      <i/>
      <sz val="11"/>
      <color rgb="FF555555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EAEEF5"/>
        <bgColor rgb="FFF2F2F2"/>
      </patternFill>
    </fill>
    <fill>
      <patternFill patternType="solid">
        <fgColor rgb="FFFCE9DD"/>
        <bgColor rgb="FFFCE4E4"/>
      </patternFill>
    </fill>
    <fill>
      <patternFill patternType="solid">
        <fgColor rgb="FFFFF2CC"/>
        <bgColor rgb="FFFCE9DD"/>
      </patternFill>
    </fill>
    <fill>
      <patternFill patternType="solid">
        <fgColor rgb="FF2E4374"/>
        <bgColor rgb="FF1F2A44"/>
      </patternFill>
    </fill>
    <fill>
      <patternFill patternType="solid">
        <fgColor rgb="FFE2EFDA"/>
        <bgColor rgb="FFEAF2E6"/>
      </patternFill>
    </fill>
    <fill>
      <patternFill patternType="solid">
        <fgColor rgb="FF7A3B2E"/>
        <bgColor rgb="FF993366"/>
      </patternFill>
    </fill>
    <fill>
      <patternFill patternType="solid">
        <fgColor rgb="FFF2F2F2"/>
        <bgColor rgb="FFEAEEF5"/>
      </patternFill>
    </fill>
    <fill>
      <patternFill patternType="solid">
        <fgColor rgb="FF3E5C3A"/>
        <bgColor rgb="FF3E5E3A"/>
      </patternFill>
    </fill>
    <fill>
      <patternFill patternType="solid">
        <fgColor rgb="FFEAF2E6"/>
        <bgColor rgb="FFEAEEF5"/>
      </patternFill>
    </fill>
    <fill>
      <patternFill patternType="solid">
        <fgColor rgb="FFFCE4E4"/>
        <bgColor rgb="FFFCE9DD"/>
      </patternFill>
    </fill>
    <fill>
      <patternFill patternType="solid">
        <fgColor rgb="FFD9E8D4"/>
        <bgColor rgb="FFE2EFDA"/>
      </patternFill>
    </fill>
    <fill>
      <patternFill patternType="solid">
        <fgColor rgb="FF2E437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EEF5"/>
        <bgColor indexed="64"/>
      </patternFill>
    </fill>
    <fill>
      <patternFill patternType="solid">
        <fgColor rgb="FFFCE9DD"/>
        <bgColor indexed="64"/>
      </patternFill>
    </fill>
    <fill>
      <patternFill patternType="solid">
        <fgColor rgb="FF2E437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A3B2E"/>
        <bgColor indexed="64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2A44"/>
      </top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8" fillId="4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8" borderId="1" xfId="0" applyNumberFormat="1" applyFont="1" applyFill="1" applyBorder="1" applyAlignment="1">
      <alignment horizontal="right" vertical="center"/>
    </xf>
    <xf numFmtId="0" fontId="6" fillId="0" borderId="0" xfId="0" applyFont="1"/>
    <xf numFmtId="165" fontId="9" fillId="0" borderId="1" xfId="0" applyNumberFormat="1" applyFont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7" fillId="9" borderId="1" xfId="0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right" vertical="center"/>
    </xf>
    <xf numFmtId="166" fontId="6" fillId="10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7" fontId="6" fillId="3" borderId="1" xfId="0" applyNumberFormat="1" applyFont="1" applyFill="1" applyBorder="1" applyAlignment="1">
      <alignment horizontal="right" vertical="center"/>
    </xf>
    <xf numFmtId="167" fontId="6" fillId="10" borderId="1" xfId="0" applyNumberFormat="1" applyFon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8" fillId="4" borderId="1" xfId="0" applyNumberFormat="1" applyFont="1" applyFill="1" applyBorder="1" applyAlignment="1">
      <alignment horizontal="right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right" vertical="center"/>
    </xf>
    <xf numFmtId="0" fontId="5" fillId="8" borderId="0" xfId="0" applyFont="1" applyFill="1"/>
    <xf numFmtId="2" fontId="5" fillId="8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165" fontId="5" fillId="6" borderId="0" xfId="0" applyNumberFormat="1" applyFont="1" applyFill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5" fillId="8" borderId="0" xfId="0" applyNumberFormat="1" applyFont="1" applyFill="1" applyAlignment="1">
      <alignment horizontal="right" vertical="center"/>
    </xf>
    <xf numFmtId="167" fontId="5" fillId="8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67" fontId="5" fillId="3" borderId="0" xfId="0" applyNumberFormat="1" applyFont="1" applyFill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166" fontId="5" fillId="12" borderId="1" xfId="0" applyNumberFormat="1" applyFont="1" applyFill="1" applyBorder="1" applyAlignment="1">
      <alignment horizontal="right" vertical="center"/>
    </xf>
    <xf numFmtId="167" fontId="5" fillId="12" borderId="1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167" fontId="5" fillId="8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right" vertical="center"/>
    </xf>
    <xf numFmtId="165" fontId="10" fillId="3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right" vertical="center"/>
    </xf>
    <xf numFmtId="167" fontId="11" fillId="3" borderId="1" xfId="0" applyNumberFormat="1" applyFont="1" applyFill="1" applyBorder="1" applyAlignment="1">
      <alignment horizontal="right" vertical="center"/>
    </xf>
    <xf numFmtId="165" fontId="11" fillId="3" borderId="1" xfId="0" applyNumberFormat="1" applyFont="1" applyFill="1" applyBorder="1" applyAlignment="1">
      <alignment horizontal="right" vertical="center"/>
    </xf>
    <xf numFmtId="0" fontId="3" fillId="3" borderId="0" xfId="0" applyFont="1" applyFill="1"/>
    <xf numFmtId="0" fontId="4" fillId="0" borderId="0" xfId="0" applyFont="1" applyAlignment="1">
      <alignment horizontal="left" vertical="center" wrapText="1"/>
    </xf>
    <xf numFmtId="165" fontId="8" fillId="12" borderId="1" xfId="0" applyNumberFormat="1" applyFont="1" applyFill="1" applyBorder="1" applyAlignment="1">
      <alignment horizontal="right" vertical="center"/>
    </xf>
    <xf numFmtId="165" fontId="6" fillId="1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5" fontId="9" fillId="12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7" fontId="9" fillId="3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top" wrapText="1"/>
    </xf>
    <xf numFmtId="0" fontId="12" fillId="0" borderId="0" xfId="0" applyFont="1"/>
    <xf numFmtId="0" fontId="14" fillId="0" borderId="5" xfId="0" applyFont="1" applyBorder="1"/>
    <xf numFmtId="0" fontId="1" fillId="0" borderId="5" xfId="0" applyFont="1" applyBorder="1"/>
    <xf numFmtId="0" fontId="15" fillId="13" borderId="0" xfId="0" applyFont="1" applyFill="1" applyAlignment="1">
      <alignment horizontal="left"/>
    </xf>
    <xf numFmtId="0" fontId="15" fillId="13" borderId="0" xfId="0" applyFont="1" applyFill="1" applyAlignment="1">
      <alignment horizontal="center"/>
    </xf>
    <xf numFmtId="0" fontId="16" fillId="0" borderId="0" xfId="0" applyFont="1"/>
    <xf numFmtId="168" fontId="17" fillId="14" borderId="0" xfId="0" applyNumberFormat="1" applyFont="1" applyFill="1" applyAlignment="1">
      <alignment horizontal="center"/>
    </xf>
    <xf numFmtId="167" fontId="17" fillId="14" borderId="0" xfId="0" applyNumberFormat="1" applyFont="1" applyFill="1" applyAlignment="1">
      <alignment horizontal="center"/>
    </xf>
    <xf numFmtId="169" fontId="17" fillId="14" borderId="0" xfId="0" applyNumberFormat="1" applyFont="1" applyFill="1" applyAlignment="1">
      <alignment horizontal="center"/>
    </xf>
    <xf numFmtId="0" fontId="18" fillId="0" borderId="0" xfId="0" applyFont="1"/>
    <xf numFmtId="168" fontId="19" fillId="0" borderId="0" xfId="0" applyNumberFormat="1" applyFont="1" applyAlignment="1">
      <alignment horizontal="center"/>
    </xf>
    <xf numFmtId="167" fontId="19" fillId="0" borderId="0" xfId="0" applyNumberFormat="1" applyFont="1" applyAlignment="1">
      <alignment horizontal="center"/>
    </xf>
    <xf numFmtId="169" fontId="19" fillId="0" borderId="0" xfId="0" applyNumberFormat="1" applyFont="1" applyAlignment="1">
      <alignment horizontal="center"/>
    </xf>
    <xf numFmtId="0" fontId="19" fillId="0" borderId="0" xfId="0" applyFont="1"/>
    <xf numFmtId="170" fontId="19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16" fillId="0" borderId="6" xfId="0" applyFont="1" applyBorder="1"/>
    <xf numFmtId="170" fontId="21" fillId="0" borderId="6" xfId="0" applyNumberFormat="1" applyFont="1" applyBorder="1" applyAlignment="1">
      <alignment horizontal="center"/>
    </xf>
    <xf numFmtId="168" fontId="21" fillId="0" borderId="6" xfId="0" applyNumberFormat="1" applyFont="1" applyBorder="1" applyAlignment="1">
      <alignment horizontal="center"/>
    </xf>
    <xf numFmtId="1" fontId="21" fillId="0" borderId="6" xfId="0" applyNumberFormat="1" applyFont="1" applyBorder="1" applyAlignment="1">
      <alignment horizontal="center"/>
    </xf>
    <xf numFmtId="167" fontId="20" fillId="0" borderId="0" xfId="0" applyNumberFormat="1" applyFont="1" applyAlignment="1">
      <alignment horizontal="center"/>
    </xf>
    <xf numFmtId="167" fontId="21" fillId="0" borderId="6" xfId="0" applyNumberFormat="1" applyFont="1" applyBorder="1" applyAlignment="1">
      <alignment horizontal="center"/>
    </xf>
    <xf numFmtId="168" fontId="21" fillId="0" borderId="0" xfId="0" applyNumberFormat="1" applyFont="1" applyAlignment="1">
      <alignment horizontal="center"/>
    </xf>
    <xf numFmtId="171" fontId="19" fillId="0" borderId="0" xfId="0" applyNumberFormat="1" applyFont="1" applyAlignment="1">
      <alignment horizontal="center"/>
    </xf>
    <xf numFmtId="171" fontId="22" fillId="15" borderId="0" xfId="0" applyNumberFormat="1" applyFont="1" applyFill="1" applyAlignment="1">
      <alignment horizontal="center"/>
    </xf>
    <xf numFmtId="0" fontId="21" fillId="0" borderId="0" xfId="0" applyFont="1" applyAlignment="1">
      <alignment horizontal="center"/>
    </xf>
    <xf numFmtId="168" fontId="22" fillId="15" borderId="0" xfId="0" applyNumberFormat="1" applyFont="1" applyFill="1" applyAlignment="1">
      <alignment horizontal="center"/>
    </xf>
    <xf numFmtId="0" fontId="1" fillId="0" borderId="6" xfId="0" applyFont="1" applyBorder="1"/>
    <xf numFmtId="0" fontId="21" fillId="14" borderId="6" xfId="0" applyFont="1" applyFill="1" applyBorder="1" applyAlignment="1">
      <alignment horizontal="center"/>
    </xf>
    <xf numFmtId="164" fontId="25" fillId="4" borderId="1" xfId="0" applyNumberFormat="1" applyFont="1" applyFill="1" applyBorder="1" applyAlignment="1">
      <alignment horizontal="right" vertical="center"/>
    </xf>
    <xf numFmtId="165" fontId="25" fillId="4" borderId="1" xfId="0" applyNumberFormat="1" applyFont="1" applyFill="1" applyBorder="1" applyAlignment="1">
      <alignment horizontal="right" vertical="center"/>
    </xf>
    <xf numFmtId="165" fontId="25" fillId="3" borderId="1" xfId="0" applyNumberFormat="1" applyFont="1" applyFill="1" applyBorder="1" applyAlignment="1">
      <alignment horizontal="right" vertical="center"/>
    </xf>
    <xf numFmtId="164" fontId="25" fillId="16" borderId="1" xfId="0" applyNumberFormat="1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left" vertical="center" wrapText="1"/>
    </xf>
    <xf numFmtId="164" fontId="26" fillId="4" borderId="1" xfId="0" applyNumberFormat="1" applyFont="1" applyFill="1" applyBorder="1" applyAlignment="1">
      <alignment horizontal="right" vertical="center"/>
    </xf>
    <xf numFmtId="0" fontId="27" fillId="0" borderId="0" xfId="0" applyFont="1"/>
    <xf numFmtId="165" fontId="29" fillId="0" borderId="0" xfId="0" applyNumberFormat="1" applyFont="1"/>
    <xf numFmtId="172" fontId="29" fillId="0" borderId="0" xfId="0" applyNumberFormat="1" applyFont="1" applyAlignment="1">
      <alignment horizontal="center"/>
    </xf>
    <xf numFmtId="165" fontId="28" fillId="17" borderId="0" xfId="0" applyNumberFormat="1" applyFont="1" applyFill="1"/>
    <xf numFmtId="1" fontId="28" fillId="17" borderId="0" xfId="0" applyNumberFormat="1" applyFont="1" applyFill="1" applyAlignment="1">
      <alignment horizontal="center"/>
    </xf>
    <xf numFmtId="0" fontId="30" fillId="0" borderId="0" xfId="0" applyFont="1"/>
    <xf numFmtId="0" fontId="31" fillId="18" borderId="0" xfId="0" applyFont="1" applyFill="1"/>
    <xf numFmtId="0" fontId="32" fillId="18" borderId="0" xfId="0" applyFont="1" applyFill="1"/>
    <xf numFmtId="0" fontId="32" fillId="19" borderId="0" xfId="0" applyFont="1" applyFill="1"/>
    <xf numFmtId="0" fontId="38" fillId="0" borderId="0" xfId="0" applyFont="1"/>
    <xf numFmtId="0" fontId="36" fillId="0" borderId="4" xfId="0" applyFont="1" applyBorder="1"/>
    <xf numFmtId="0" fontId="36" fillId="0" borderId="2" xfId="0" applyFont="1" applyBorder="1"/>
    <xf numFmtId="9" fontId="25" fillId="17" borderId="4" xfId="0" applyNumberFormat="1" applyFont="1" applyFill="1" applyBorder="1"/>
    <xf numFmtId="0" fontId="37" fillId="0" borderId="4" xfId="0" applyFont="1" applyBorder="1"/>
    <xf numFmtId="9" fontId="25" fillId="17" borderId="2" xfId="0" applyNumberFormat="1" applyFont="1" applyFill="1" applyBorder="1"/>
    <xf numFmtId="0" fontId="37" fillId="0" borderId="2" xfId="0" applyFont="1" applyBorder="1"/>
    <xf numFmtId="0" fontId="34" fillId="20" borderId="7" xfId="0" applyFont="1" applyFill="1" applyBorder="1" applyAlignment="1">
      <alignment horizontal="center"/>
    </xf>
    <xf numFmtId="0" fontId="33" fillId="20" borderId="0" xfId="0" applyFont="1" applyFill="1" applyAlignment="1">
      <alignment horizontal="center"/>
    </xf>
    <xf numFmtId="165" fontId="35" fillId="0" borderId="4" xfId="0" applyNumberFormat="1" applyFont="1" applyBorder="1" applyAlignment="1">
      <alignment horizontal="right"/>
    </xf>
    <xf numFmtId="168" fontId="35" fillId="0" borderId="4" xfId="0" applyNumberFormat="1" applyFont="1" applyBorder="1" applyAlignment="1">
      <alignment horizontal="right"/>
    </xf>
    <xf numFmtId="168" fontId="36" fillId="0" borderId="2" xfId="0" applyNumberFormat="1" applyFont="1" applyBorder="1" applyAlignment="1">
      <alignment horizontal="right"/>
    </xf>
    <xf numFmtId="165" fontId="36" fillId="0" borderId="4" xfId="0" applyNumberFormat="1" applyFont="1" applyBorder="1" applyAlignment="1">
      <alignment horizontal="right"/>
    </xf>
    <xf numFmtId="165" fontId="36" fillId="0" borderId="2" xfId="0" applyNumberFormat="1" applyFont="1" applyBorder="1" applyAlignment="1">
      <alignment horizontal="right"/>
    </xf>
    <xf numFmtId="173" fontId="39" fillId="0" borderId="0" xfId="0" applyNumberFormat="1" applyFont="1" applyAlignment="1">
      <alignment horizontal="right"/>
    </xf>
    <xf numFmtId="167" fontId="29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right"/>
    </xf>
    <xf numFmtId="174" fontId="29" fillId="0" borderId="0" xfId="0" applyNumberFormat="1" applyFont="1" applyAlignment="1">
      <alignment horizontal="right"/>
    </xf>
    <xf numFmtId="173" fontId="29" fillId="0" borderId="0" xfId="0" applyNumberFormat="1" applyFont="1" applyAlignment="1">
      <alignment horizontal="right"/>
    </xf>
    <xf numFmtId="165" fontId="39" fillId="0" borderId="0" xfId="0" applyNumberFormat="1" applyFont="1" applyAlignment="1">
      <alignment horizontal="right"/>
    </xf>
    <xf numFmtId="167" fontId="39" fillId="0" borderId="0" xfId="0" applyNumberFormat="1" applyFont="1" applyAlignment="1">
      <alignment horizontal="right"/>
    </xf>
    <xf numFmtId="167" fontId="35" fillId="0" borderId="4" xfId="0" applyNumberFormat="1" applyFont="1" applyBorder="1" applyAlignment="1">
      <alignment horizontal="right"/>
    </xf>
    <xf numFmtId="168" fontId="29" fillId="0" borderId="0" xfId="0" applyNumberFormat="1" applyFont="1" applyAlignment="1">
      <alignment horizontal="right"/>
    </xf>
    <xf numFmtId="0" fontId="40" fillId="21" borderId="4" xfId="0" applyFont="1" applyFill="1" applyBorder="1"/>
    <xf numFmtId="167" fontId="41" fillId="21" borderId="4" xfId="0" applyNumberFormat="1" applyFont="1" applyFill="1" applyBorder="1" applyAlignment="1">
      <alignment horizontal="right"/>
    </xf>
    <xf numFmtId="0" fontId="27" fillId="21" borderId="0" xfId="0" applyFont="1" applyFill="1"/>
    <xf numFmtId="167" fontId="42" fillId="21" borderId="0" xfId="0" applyNumberFormat="1" applyFont="1" applyFill="1" applyAlignment="1">
      <alignment horizontal="right"/>
    </xf>
    <xf numFmtId="0" fontId="33" fillId="22" borderId="0" xfId="0" applyFont="1" applyFill="1" applyAlignment="1">
      <alignment horizontal="center"/>
    </xf>
    <xf numFmtId="165" fontId="39" fillId="19" borderId="0" xfId="0" applyNumberFormat="1" applyFont="1" applyFill="1" applyAlignment="1">
      <alignment horizontal="right"/>
    </xf>
    <xf numFmtId="165" fontId="29" fillId="19" borderId="0" xfId="0" applyNumberFormat="1" applyFont="1" applyFill="1" applyAlignment="1">
      <alignment horizontal="right"/>
    </xf>
    <xf numFmtId="173" fontId="39" fillId="19" borderId="0" xfId="0" applyNumberFormat="1" applyFont="1" applyFill="1" applyAlignment="1">
      <alignment horizontal="right"/>
    </xf>
    <xf numFmtId="173" fontId="29" fillId="19" borderId="0" xfId="0" applyNumberFormat="1" applyFont="1" applyFill="1" applyAlignment="1">
      <alignment horizontal="right"/>
    </xf>
    <xf numFmtId="167" fontId="39" fillId="19" borderId="0" xfId="0" applyNumberFormat="1" applyFont="1" applyFill="1" applyAlignment="1">
      <alignment horizontal="right"/>
    </xf>
    <xf numFmtId="167" fontId="29" fillId="19" borderId="0" xfId="0" applyNumberFormat="1" applyFont="1" applyFill="1" applyAlignment="1">
      <alignment horizontal="right"/>
    </xf>
    <xf numFmtId="1" fontId="28" fillId="17" borderId="0" xfId="0" applyNumberFormat="1" applyFont="1" applyFill="1" applyAlignment="1">
      <alignment horizontal="right"/>
    </xf>
    <xf numFmtId="0" fontId="43" fillId="0" borderId="0" xfId="0" applyFont="1"/>
    <xf numFmtId="0" fontId="18" fillId="0" borderId="0" xfId="0" applyFont="1" applyAlignment="1">
      <alignment vertical="top" wrapText="1"/>
    </xf>
    <xf numFmtId="0" fontId="1" fillId="0" borderId="0" xfId="0" applyFont="1"/>
    <xf numFmtId="0" fontId="1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3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2E6"/>
      <rgbColor rgb="FF660066"/>
      <rgbColor rgb="FFFF8080"/>
      <rgbColor rgb="FF0066CC"/>
      <rgbColor rgb="FFD9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E2EFDA"/>
      <rgbColor rgb="FFFCE9DD"/>
      <rgbColor rgb="FFF2F2F2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E5E3A"/>
      <rgbColor rgb="FF003300"/>
      <rgbColor rgb="FF3E5C3A"/>
      <rgbColor rgb="FF7A3B2E"/>
      <rgbColor rgb="FF993366"/>
      <rgbColor rgb="FF2E4374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9B843-E101-5241-B9B9-F779AA31DAC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6dd3b325-1ea9-40d6-9f17-2207808bdf68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A1:B27"/>
  <sheetViews>
    <sheetView showGridLines="0" zoomScale="90" zoomScaleNormal="100" workbookViewId="0"/>
  </sheetViews>
  <sheetFormatPr baseColWidth="10" defaultColWidth="8.6640625" defaultRowHeight="15" x14ac:dyDescent="0.2"/>
  <cols>
    <col min="1" max="1" width="2" customWidth="1"/>
    <col min="2" max="2" width="106" customWidth="1"/>
  </cols>
  <sheetData>
    <row r="1" spans="1:2" ht="21.75" customHeight="1" x14ac:dyDescent="0.2">
      <c r="A1" s="1"/>
      <c r="B1" s="2" t="s">
        <v>55</v>
      </c>
    </row>
    <row r="2" spans="1:2" ht="30.75" customHeight="1" x14ac:dyDescent="0.2">
      <c r="A2" s="1"/>
      <c r="B2" s="3" t="s">
        <v>56</v>
      </c>
    </row>
    <row r="3" spans="1:2" ht="15" customHeight="1" x14ac:dyDescent="0.2">
      <c r="A3" s="1"/>
      <c r="B3" s="4" t="s">
        <v>57</v>
      </c>
    </row>
    <row r="4" spans="1:2" ht="15" customHeight="1" x14ac:dyDescent="0.2">
      <c r="A4" s="1"/>
      <c r="B4" s="1"/>
    </row>
    <row r="5" spans="1:2" ht="15" customHeight="1" x14ac:dyDescent="0.2">
      <c r="A5" s="1"/>
      <c r="B5" s="5" t="s">
        <v>58</v>
      </c>
    </row>
    <row r="6" spans="1:2" ht="78.75" customHeight="1" x14ac:dyDescent="0.2">
      <c r="A6" s="1"/>
      <c r="B6" s="6" t="s">
        <v>510</v>
      </c>
    </row>
    <row r="7" spans="1:2" ht="25.5" customHeight="1" x14ac:dyDescent="0.2">
      <c r="A7" s="1"/>
      <c r="B7" s="4" t="s">
        <v>514</v>
      </c>
    </row>
    <row r="8" spans="1:2" ht="15" customHeight="1" x14ac:dyDescent="0.2">
      <c r="A8" s="1"/>
      <c r="B8" s="7" t="s">
        <v>59</v>
      </c>
    </row>
    <row r="9" spans="1:2" ht="66" customHeight="1" x14ac:dyDescent="0.2">
      <c r="A9" s="1"/>
      <c r="B9" s="6" t="s">
        <v>60</v>
      </c>
    </row>
    <row r="10" spans="1:2" ht="15" customHeight="1" x14ac:dyDescent="0.2">
      <c r="A10" s="1"/>
      <c r="B10" s="1"/>
    </row>
    <row r="11" spans="1:2" ht="15" customHeight="1" x14ac:dyDescent="0.2">
      <c r="A11" s="1"/>
      <c r="B11" s="5" t="s">
        <v>61</v>
      </c>
    </row>
    <row r="12" spans="1:2" ht="27.75" customHeight="1" x14ac:dyDescent="0.2">
      <c r="A12" s="1"/>
      <c r="B12" s="95" t="s">
        <v>62</v>
      </c>
    </row>
    <row r="13" spans="1:2" ht="27.75" customHeight="1" x14ac:dyDescent="0.2">
      <c r="A13" s="1"/>
      <c r="B13" s="6" t="s">
        <v>63</v>
      </c>
    </row>
    <row r="14" spans="1:2" ht="15" customHeight="1" x14ac:dyDescent="0.2">
      <c r="A14" s="1"/>
      <c r="B14" s="6" t="s">
        <v>64</v>
      </c>
    </row>
    <row r="15" spans="1:2" ht="15" customHeight="1" x14ac:dyDescent="0.2">
      <c r="A15" s="1"/>
      <c r="B15" s="6" t="s">
        <v>65</v>
      </c>
    </row>
    <row r="16" spans="1:2" ht="27.75" customHeight="1" x14ac:dyDescent="0.2">
      <c r="A16" s="1"/>
      <c r="B16" s="6" t="s">
        <v>66</v>
      </c>
    </row>
    <row r="17" spans="1:2" ht="15" customHeight="1" x14ac:dyDescent="0.2">
      <c r="A17" s="1"/>
      <c r="B17" s="6" t="s">
        <v>67</v>
      </c>
    </row>
    <row r="18" spans="1:2" ht="15" customHeight="1" x14ac:dyDescent="0.2">
      <c r="A18" s="1"/>
      <c r="B18" s="1"/>
    </row>
    <row r="19" spans="1:2" ht="15" customHeight="1" x14ac:dyDescent="0.2">
      <c r="A19" s="1"/>
      <c r="B19" s="5" t="s">
        <v>68</v>
      </c>
    </row>
    <row r="20" spans="1:2" ht="66" customHeight="1" x14ac:dyDescent="0.2">
      <c r="A20" s="1"/>
      <c r="B20" s="6" t="s">
        <v>511</v>
      </c>
    </row>
    <row r="21" spans="1:2" ht="15" customHeight="1" x14ac:dyDescent="0.2">
      <c r="A21" s="1"/>
      <c r="B21" s="1"/>
    </row>
    <row r="22" spans="1:2" ht="15" customHeight="1" x14ac:dyDescent="0.2">
      <c r="A22" s="1"/>
      <c r="B22" s="8" t="s">
        <v>69</v>
      </c>
    </row>
    <row r="23" spans="1:2" ht="40.5" customHeight="1" x14ac:dyDescent="0.2">
      <c r="A23" s="1"/>
      <c r="B23" s="6" t="s">
        <v>70</v>
      </c>
    </row>
    <row r="24" spans="1:2" ht="27.75" customHeight="1" x14ac:dyDescent="0.2">
      <c r="A24" s="1"/>
      <c r="B24" s="6" t="s">
        <v>71</v>
      </c>
    </row>
    <row r="25" spans="1:2" ht="27.75" customHeight="1" x14ac:dyDescent="0.2">
      <c r="A25" s="1"/>
      <c r="B25" s="6" t="s">
        <v>72</v>
      </c>
    </row>
    <row r="26" spans="1:2" ht="40.5" customHeight="1" x14ac:dyDescent="0.2">
      <c r="A26" s="1"/>
      <c r="B26" s="6" t="s">
        <v>73</v>
      </c>
    </row>
    <row r="27" spans="1:2" ht="27.75" customHeight="1" x14ac:dyDescent="0.2">
      <c r="A27" s="1"/>
      <c r="B27" s="6" t="s">
        <v>74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A44"/>
    <pageSetUpPr fitToPage="1"/>
  </sheetPr>
  <dimension ref="A1:G87"/>
  <sheetViews>
    <sheetView showGridLines="0" zoomScale="9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7" width="13" customWidth="1"/>
  </cols>
  <sheetData>
    <row r="1" spans="1:7" ht="19" x14ac:dyDescent="0.2">
      <c r="A1" s="96" t="s">
        <v>0</v>
      </c>
      <c r="B1" s="1"/>
      <c r="C1" s="1"/>
      <c r="D1" s="1"/>
      <c r="E1" s="1"/>
      <c r="F1" s="1"/>
      <c r="G1" s="1"/>
    </row>
    <row r="2" spans="1:7" ht="26" customHeight="1" x14ac:dyDescent="0.2">
      <c r="A2" s="178" t="s">
        <v>496</v>
      </c>
      <c r="B2" s="177"/>
      <c r="C2" s="177"/>
      <c r="D2" s="177"/>
      <c r="E2" s="177"/>
      <c r="F2" s="177"/>
      <c r="G2" s="177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97" t="s">
        <v>1</v>
      </c>
      <c r="B4" s="98"/>
      <c r="C4" s="98"/>
      <c r="D4" s="98"/>
      <c r="E4" s="98"/>
      <c r="F4" s="98"/>
      <c r="G4" s="98"/>
    </row>
    <row r="5" spans="1:7" x14ac:dyDescent="0.2">
      <c r="A5" s="99" t="s">
        <v>2</v>
      </c>
      <c r="B5" s="100" t="s">
        <v>3</v>
      </c>
      <c r="C5" s="100" t="s">
        <v>4</v>
      </c>
      <c r="D5" s="100" t="s">
        <v>5</v>
      </c>
      <c r="E5" s="100" t="s">
        <v>6</v>
      </c>
      <c r="F5" s="100" t="s">
        <v>7</v>
      </c>
      <c r="G5" s="100"/>
    </row>
    <row r="6" spans="1:7" x14ac:dyDescent="0.2">
      <c r="A6" s="101" t="s">
        <v>8</v>
      </c>
      <c r="B6" s="102">
        <f>'Holdco Summary'!F61</f>
        <v>0.19426402458728487</v>
      </c>
      <c r="C6" s="103">
        <f>'Holdco Summary'!F59</f>
        <v>3.4649937071415819</v>
      </c>
      <c r="D6" s="104">
        <f>'Holdco Summary'!F58</f>
        <v>2910.5947139989289</v>
      </c>
      <c r="E6" s="103">
        <f>'Holdco Summary'!F64</f>
        <v>1.3026194776149498</v>
      </c>
      <c r="F6" s="103">
        <f>'Holdco Summary'!F62</f>
        <v>1.8954702159730417</v>
      </c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97" t="s">
        <v>9</v>
      </c>
      <c r="B8" s="98"/>
      <c r="C8" s="98"/>
      <c r="D8" s="98"/>
      <c r="E8" s="98"/>
      <c r="F8" s="98"/>
      <c r="G8" s="98"/>
    </row>
    <row r="9" spans="1:7" x14ac:dyDescent="0.2">
      <c r="A9" s="99" t="s">
        <v>10</v>
      </c>
      <c r="B9" s="100" t="s">
        <v>11</v>
      </c>
      <c r="C9" s="100" t="s">
        <v>12</v>
      </c>
      <c r="D9" s="100" t="s">
        <v>13</v>
      </c>
      <c r="E9" s="100" t="s">
        <v>14</v>
      </c>
      <c r="F9" s="100" t="s">
        <v>15</v>
      </c>
      <c r="G9" s="100"/>
    </row>
    <row r="10" spans="1:7" x14ac:dyDescent="0.2">
      <c r="A10" s="105" t="s">
        <v>16</v>
      </c>
      <c r="B10" s="106">
        <f>'Holdco Summary'!B40</f>
        <v>0.15720590493778119</v>
      </c>
      <c r="C10" s="106">
        <f>'Holdco Summary'!C40</f>
        <v>0.27359115771197207</v>
      </c>
      <c r="D10" s="106">
        <f>'Holdco Summary'!D40</f>
        <v>-5.0898914789661465E-2</v>
      </c>
      <c r="E10" s="106">
        <f>'Holdco Summary'!E40</f>
        <v>0.21353414052194197</v>
      </c>
      <c r="F10" s="102">
        <f>'Holdco Summary'!F40</f>
        <v>0.17938727284114453</v>
      </c>
      <c r="G10" s="1"/>
    </row>
    <row r="11" spans="1:7" x14ac:dyDescent="0.2">
      <c r="A11" s="105" t="s">
        <v>17</v>
      </c>
      <c r="B11" s="106">
        <f>'Holdco Summary'!B61</f>
        <v>0.16118040072490736</v>
      </c>
      <c r="C11" s="106">
        <f>'Holdco Summary'!C61</f>
        <v>0.28239253959682675</v>
      </c>
      <c r="D11" s="106">
        <f>'Holdco Summary'!D61</f>
        <v>-4.7979024991621211E-2</v>
      </c>
      <c r="E11" s="106">
        <f>'Holdco Summary'!E61</f>
        <v>0.23354547909264811</v>
      </c>
      <c r="F11" s="102">
        <f>'Holdco Summary'!F61</f>
        <v>0.19426402458728487</v>
      </c>
      <c r="G11" s="1"/>
    </row>
    <row r="12" spans="1:7" x14ac:dyDescent="0.2">
      <c r="A12" s="105" t="s">
        <v>18</v>
      </c>
      <c r="B12" s="106">
        <f>'Holdco Summary'!B82</f>
        <v>0.16686833685174807</v>
      </c>
      <c r="C12" s="106">
        <f>'Holdco Summary'!C82</f>
        <v>0.29352545843197819</v>
      </c>
      <c r="D12" s="106">
        <f>'Holdco Summary'!D82</f>
        <v>-4.3413004769649599E-2</v>
      </c>
      <c r="E12" s="106">
        <f>'Holdco Summary'!E82</f>
        <v>0.25657131195466709</v>
      </c>
      <c r="F12" s="102">
        <f>'Holdco Summary'!F82</f>
        <v>0.21399415564936652</v>
      </c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97" t="s">
        <v>19</v>
      </c>
      <c r="B14" s="98"/>
      <c r="C14" s="98"/>
      <c r="D14" s="98"/>
      <c r="E14" s="98"/>
      <c r="F14" s="98"/>
      <c r="G14" s="98"/>
    </row>
    <row r="15" spans="1:7" x14ac:dyDescent="0.2">
      <c r="A15" s="99" t="s">
        <v>10</v>
      </c>
      <c r="B15" s="100" t="s">
        <v>11</v>
      </c>
      <c r="C15" s="100" t="s">
        <v>12</v>
      </c>
      <c r="D15" s="100" t="s">
        <v>13</v>
      </c>
      <c r="E15" s="100" t="s">
        <v>14</v>
      </c>
      <c r="F15" s="100" t="s">
        <v>15</v>
      </c>
      <c r="G15" s="100"/>
    </row>
    <row r="16" spans="1:7" x14ac:dyDescent="0.2">
      <c r="A16" s="105" t="s">
        <v>16</v>
      </c>
      <c r="B16" s="107">
        <f>'Holdco Summary'!B38</f>
        <v>2.0751677305949379</v>
      </c>
      <c r="C16" s="107">
        <f>'Holdco Summary'!C38</f>
        <v>3.3508128783738456</v>
      </c>
      <c r="D16" s="107">
        <f>'Holdco Summary'!D38</f>
        <v>0.77012700037548032</v>
      </c>
      <c r="E16" s="107">
        <f>'Holdco Summary'!E38</f>
        <v>2.631843098318146</v>
      </c>
      <c r="F16" s="103">
        <f>'Holdco Summary'!F38</f>
        <v>2.2818242131652275</v>
      </c>
      <c r="G16" s="1"/>
    </row>
    <row r="17" spans="1:7" x14ac:dyDescent="0.2">
      <c r="A17" s="105" t="s">
        <v>17</v>
      </c>
      <c r="B17" s="107">
        <f>'Holdco Summary'!B59</f>
        <v>2.8464127632508611</v>
      </c>
      <c r="C17" s="107">
        <f>'Holdco Summary'!C59</f>
        <v>5.7035713618595008</v>
      </c>
      <c r="D17" s="107">
        <f>'Holdco Summary'!D59</f>
        <v>0.70880311635921378</v>
      </c>
      <c r="E17" s="107">
        <f>'Holdco Summary'!E59</f>
        <v>4.3459643717329115</v>
      </c>
      <c r="F17" s="103">
        <f>'Holdco Summary'!F59</f>
        <v>3.4649937071415819</v>
      </c>
      <c r="G17" s="1"/>
    </row>
    <row r="18" spans="1:7" x14ac:dyDescent="0.2">
      <c r="A18" s="105" t="s">
        <v>18</v>
      </c>
      <c r="B18" s="107">
        <f>'Holdco Summary'!B80</f>
        <v>4.6797058269893768</v>
      </c>
      <c r="C18" s="107">
        <f>'Holdco Summary'!C80</f>
        <v>13.114441698029852</v>
      </c>
      <c r="D18" s="107">
        <f>'Holdco Summary'!D80</f>
        <v>0.64157099797050521</v>
      </c>
      <c r="E18" s="107">
        <f>'Holdco Summary'!E80</f>
        <v>9.8145728662692679</v>
      </c>
      <c r="F18" s="103">
        <f>'Holdco Summary'!F80</f>
        <v>6.9528996262886498</v>
      </c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97" t="s">
        <v>20</v>
      </c>
      <c r="B20" s="98"/>
      <c r="C20" s="98"/>
      <c r="D20" s="98"/>
      <c r="E20" s="98"/>
      <c r="F20" s="98"/>
      <c r="G20" s="98"/>
    </row>
    <row r="21" spans="1:7" x14ac:dyDescent="0.2">
      <c r="A21" s="99" t="s">
        <v>10</v>
      </c>
      <c r="B21" s="100" t="s">
        <v>11</v>
      </c>
      <c r="C21" s="100" t="s">
        <v>12</v>
      </c>
      <c r="D21" s="100" t="s">
        <v>13</v>
      </c>
      <c r="E21" s="100" t="s">
        <v>14</v>
      </c>
      <c r="F21" s="100" t="s">
        <v>15</v>
      </c>
      <c r="G21" s="100"/>
    </row>
    <row r="22" spans="1:7" x14ac:dyDescent="0.2">
      <c r="A22" s="105" t="s">
        <v>16</v>
      </c>
      <c r="B22" s="108">
        <f>'Holdco Summary'!B37</f>
        <v>1743.1408936997477</v>
      </c>
      <c r="C22" s="108">
        <f>'Holdco Summary'!C37</f>
        <v>2814.6828178340302</v>
      </c>
      <c r="D22" s="108">
        <f>'Holdco Summary'!D37</f>
        <v>646.90668031540349</v>
      </c>
      <c r="E22" s="108">
        <f>'Holdco Summary'!E37</f>
        <v>2210.7482025872428</v>
      </c>
      <c r="F22" s="104">
        <f>'Holdco Summary'!F37</f>
        <v>1916.7323390587912</v>
      </c>
      <c r="G22" s="1"/>
    </row>
    <row r="23" spans="1:7" x14ac:dyDescent="0.2">
      <c r="A23" s="105" t="s">
        <v>17</v>
      </c>
      <c r="B23" s="108">
        <f>'Holdco Summary'!B58</f>
        <v>2390.9867211307233</v>
      </c>
      <c r="C23" s="108">
        <f>'Holdco Summary'!C58</f>
        <v>4790.9999439619805</v>
      </c>
      <c r="D23" s="108">
        <f>'Holdco Summary'!D58</f>
        <v>595.39461774173958</v>
      </c>
      <c r="E23" s="108">
        <f>'Holdco Summary'!E58</f>
        <v>3650.6100722556457</v>
      </c>
      <c r="F23" s="104">
        <f>'Holdco Summary'!F58</f>
        <v>2910.5947139989289</v>
      </c>
      <c r="G23" s="1"/>
    </row>
    <row r="24" spans="1:7" x14ac:dyDescent="0.2">
      <c r="A24" s="105" t="s">
        <v>18</v>
      </c>
      <c r="B24" s="108">
        <f>'Holdco Summary'!B79</f>
        <v>3930.9528946710761</v>
      </c>
      <c r="C24" s="108">
        <f>'Holdco Summary'!C79</f>
        <v>11016.131026345076</v>
      </c>
      <c r="D24" s="108">
        <f>'Holdco Summary'!D79</f>
        <v>538.91963829522433</v>
      </c>
      <c r="E24" s="108">
        <f>'Holdco Summary'!E79</f>
        <v>8244.2412076661858</v>
      </c>
      <c r="F24" s="104">
        <f>'Holdco Summary'!F79</f>
        <v>5840.4356860824655</v>
      </c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97" t="s">
        <v>21</v>
      </c>
      <c r="B26" s="98"/>
      <c r="C26" s="98"/>
      <c r="D26" s="98"/>
      <c r="E26" s="98"/>
      <c r="F26" s="98"/>
      <c r="G26" s="98"/>
    </row>
    <row r="27" spans="1:7" x14ac:dyDescent="0.2">
      <c r="A27" s="99" t="s">
        <v>10</v>
      </c>
      <c r="B27" s="100" t="s">
        <v>11</v>
      </c>
      <c r="C27" s="100" t="s">
        <v>12</v>
      </c>
      <c r="D27" s="100" t="s">
        <v>13</v>
      </c>
      <c r="E27" s="100" t="s">
        <v>14</v>
      </c>
      <c r="F27" s="100" t="s">
        <v>15</v>
      </c>
      <c r="G27" s="100"/>
    </row>
    <row r="28" spans="1:7" x14ac:dyDescent="0.2">
      <c r="A28" s="105" t="s">
        <v>16</v>
      </c>
      <c r="B28" s="107">
        <f>'Holdco Summary'!B43</f>
        <v>1.0317251174935524</v>
      </c>
      <c r="C28" s="107">
        <f>'Holdco Summary'!C43</f>
        <v>1.6659462074653741</v>
      </c>
      <c r="D28" s="107">
        <f>'Holdco Summary'!D43</f>
        <v>0.38288922781174617</v>
      </c>
      <c r="E28" s="107">
        <f>'Holdco Summary'!E43</f>
        <v>1.308491159439152</v>
      </c>
      <c r="F28" s="103">
        <f>'Holdco Summary'!F43</f>
        <v>1.1344699128260769</v>
      </c>
      <c r="G28" s="1"/>
    </row>
    <row r="29" spans="1:7" x14ac:dyDescent="0.2">
      <c r="A29" s="105" t="s">
        <v>17</v>
      </c>
      <c r="B29" s="107">
        <f>'Holdco Summary'!B64</f>
        <v>1.0700719886158394</v>
      </c>
      <c r="C29" s="107">
        <f>'Holdco Summary'!C64</f>
        <v>2.1441837347675832</v>
      </c>
      <c r="D29" s="107">
        <f>'Holdco Summary'!D64</f>
        <v>0.26646534545234624</v>
      </c>
      <c r="E29" s="107">
        <f>'Holdco Summary'!E64</f>
        <v>1.6338089815204939</v>
      </c>
      <c r="F29" s="103">
        <f>'Holdco Summary'!F64</f>
        <v>1.3026194776149498</v>
      </c>
      <c r="G29" s="1"/>
    </row>
    <row r="30" spans="1:7" x14ac:dyDescent="0.2">
      <c r="A30" s="105" t="s">
        <v>18</v>
      </c>
      <c r="B30" s="107">
        <f>'Holdco Summary'!B85</f>
        <v>1.1567517095811524</v>
      </c>
      <c r="C30" s="107">
        <f>'Holdco Summary'!C85</f>
        <v>3.2416894170798525</v>
      </c>
      <c r="D30" s="107">
        <f>'Holdco Summary'!D85</f>
        <v>0.15858653858965152</v>
      </c>
      <c r="E30" s="107">
        <f>'Holdco Summary'!E85</f>
        <v>2.4260123096604076</v>
      </c>
      <c r="F30" s="103">
        <f>'Holdco Summary'!F85</f>
        <v>1.7186504508189908</v>
      </c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97" t="s">
        <v>22</v>
      </c>
      <c r="B32" s="98"/>
      <c r="C32" s="98"/>
      <c r="D32" s="98"/>
      <c r="E32" s="98"/>
      <c r="F32" s="98"/>
      <c r="G32" s="98"/>
    </row>
    <row r="33" spans="1:7" x14ac:dyDescent="0.2">
      <c r="A33" s="99" t="s">
        <v>10</v>
      </c>
      <c r="B33" s="100" t="s">
        <v>11</v>
      </c>
      <c r="C33" s="100" t="s">
        <v>12</v>
      </c>
      <c r="D33" s="100" t="s">
        <v>13</v>
      </c>
      <c r="E33" s="100" t="s">
        <v>14</v>
      </c>
      <c r="F33" s="100" t="s">
        <v>15</v>
      </c>
      <c r="G33" s="100"/>
    </row>
    <row r="34" spans="1:7" x14ac:dyDescent="0.2">
      <c r="A34" s="105" t="s">
        <v>16</v>
      </c>
      <c r="B34" s="107">
        <f>'Holdco Summary'!B41</f>
        <v>1.3487166399471591</v>
      </c>
      <c r="C34" s="107">
        <f>'Holdco Summary'!C41</f>
        <v>2.1777984592678621</v>
      </c>
      <c r="D34" s="107">
        <f>'Holdco Summary'!D41</f>
        <v>0.50052970897982219</v>
      </c>
      <c r="E34" s="107">
        <f>'Holdco Summary'!E41</f>
        <v>1.7105174334096449</v>
      </c>
      <c r="F34" s="103">
        <f>'Holdco Summary'!F41</f>
        <v>1.4830291741516073</v>
      </c>
      <c r="G34" s="1"/>
    </row>
    <row r="35" spans="1:7" x14ac:dyDescent="0.2">
      <c r="A35" s="105" t="s">
        <v>17</v>
      </c>
      <c r="B35" s="107">
        <f>'Holdco Summary'!B62</f>
        <v>1.5570852564573148</v>
      </c>
      <c r="C35" s="107">
        <f>'Holdco Summary'!C62</f>
        <v>3.1200488528447829</v>
      </c>
      <c r="D35" s="107">
        <f>'Holdco Summary'!D62</f>
        <v>0.38773957750015248</v>
      </c>
      <c r="E35" s="107">
        <f>'Holdco Summary'!E62</f>
        <v>2.3773913382068752</v>
      </c>
      <c r="F35" s="103">
        <f>'Holdco Summary'!F62</f>
        <v>1.8954702159730417</v>
      </c>
      <c r="G35" s="1"/>
    </row>
    <row r="36" spans="1:7" x14ac:dyDescent="0.2">
      <c r="A36" s="105" t="s">
        <v>18</v>
      </c>
      <c r="B36" s="107">
        <f>'Holdco Summary'!B83</f>
        <v>1.9767583144130398</v>
      </c>
      <c r="C36" s="107">
        <f>'Holdco Summary'!C83</f>
        <v>5.5396818996512582</v>
      </c>
      <c r="D36" s="107">
        <f>'Holdco Summary'!D83</f>
        <v>0.27100652293359351</v>
      </c>
      <c r="E36" s="107">
        <f>'Holdco Summary'!E83</f>
        <v>4.1457816437773358</v>
      </c>
      <c r="F36" s="103">
        <f>'Holdco Summary'!F83</f>
        <v>2.9369799414053226</v>
      </c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97" t="s">
        <v>23</v>
      </c>
      <c r="B38" s="98"/>
      <c r="C38" s="98"/>
      <c r="D38" s="98"/>
      <c r="E38" s="98"/>
      <c r="F38" s="98"/>
      <c r="G38" s="98"/>
    </row>
    <row r="39" spans="1:7" x14ac:dyDescent="0.2">
      <c r="A39" s="99" t="s">
        <v>24</v>
      </c>
      <c r="B39" s="100" t="s">
        <v>25</v>
      </c>
      <c r="C39" s="100" t="s">
        <v>26</v>
      </c>
      <c r="D39" s="100" t="s">
        <v>27</v>
      </c>
      <c r="E39" s="100"/>
      <c r="F39" s="100"/>
      <c r="G39" s="100"/>
    </row>
    <row r="40" spans="1:7" x14ac:dyDescent="0.2">
      <c r="A40" s="109" t="str">
        <f>'Holdco Summary'!A6</f>
        <v>IQT-mirror (deep-tech)</v>
      </c>
      <c r="B40" s="110">
        <f>'Holdco Summary'!B6</f>
        <v>250</v>
      </c>
      <c r="C40" s="106">
        <f>'Holdco Summary'!C6</f>
        <v>0.29761904761904762</v>
      </c>
      <c r="D40" s="111">
        <f>COUNT(Assumptions!C18:C26)</f>
        <v>9</v>
      </c>
      <c r="E40" s="1"/>
      <c r="F40" s="1"/>
      <c r="G40" s="1"/>
    </row>
    <row r="41" spans="1:7" x14ac:dyDescent="0.2">
      <c r="A41" s="109" t="str">
        <f>'Holdco Summary'!A7</f>
        <v>Weapons (physical layer)</v>
      </c>
      <c r="B41" s="110">
        <f>'Holdco Summary'!B7</f>
        <v>390</v>
      </c>
      <c r="C41" s="106">
        <f>'Holdco Summary'!C7</f>
        <v>0.4642857142857143</v>
      </c>
      <c r="D41" s="111">
        <f>COUNT('Weapons Sleeve'!C12:C20)</f>
        <v>9</v>
      </c>
      <c r="E41" s="1"/>
      <c r="F41" s="1"/>
      <c r="G41" s="1"/>
    </row>
    <row r="42" spans="1:7" x14ac:dyDescent="0.2">
      <c r="A42" s="109" t="str">
        <f>'Holdco Summary'!A8</f>
        <v>Consumer / Value</v>
      </c>
      <c r="B42" s="110">
        <f>'Holdco Summary'!B8</f>
        <v>200</v>
      </c>
      <c r="C42" s="106">
        <f>'Holdco Summary'!C8</f>
        <v>0.23809523809523808</v>
      </c>
      <c r="D42" s="111">
        <f>COUNT('Consumer Sleeve'!C12:C20)</f>
        <v>9</v>
      </c>
      <c r="E42" s="1"/>
      <c r="F42" s="1"/>
      <c r="G42" s="1"/>
    </row>
    <row r="43" spans="1:7" x14ac:dyDescent="0.2">
      <c r="A43" s="112" t="s">
        <v>28</v>
      </c>
      <c r="B43" s="113">
        <f>SUM(B40:B42)</f>
        <v>840</v>
      </c>
      <c r="C43" s="114">
        <f>SUM(C40:C42)</f>
        <v>1</v>
      </c>
      <c r="D43" s="115">
        <f>SUM(D40:D42)</f>
        <v>27</v>
      </c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97" t="s">
        <v>29</v>
      </c>
      <c r="B45" s="98"/>
      <c r="C45" s="98"/>
      <c r="D45" s="98"/>
      <c r="E45" s="98"/>
      <c r="F45" s="98"/>
      <c r="G45" s="98"/>
    </row>
    <row r="46" spans="1:7" x14ac:dyDescent="0.2">
      <c r="A46" s="99" t="s">
        <v>24</v>
      </c>
      <c r="B46" s="100" t="s">
        <v>11</v>
      </c>
      <c r="C46" s="100" t="s">
        <v>12</v>
      </c>
      <c r="D46" s="100" t="s">
        <v>13</v>
      </c>
      <c r="E46" s="100" t="s">
        <v>14</v>
      </c>
      <c r="F46" s="100" t="s">
        <v>15</v>
      </c>
      <c r="G46" s="100"/>
    </row>
    <row r="47" spans="1:7" x14ac:dyDescent="0.2">
      <c r="A47" s="105" t="s">
        <v>30</v>
      </c>
      <c r="B47" s="116">
        <f>'Holdco Summary'!B28/'Holdco Summary'!$B$6</f>
        <v>2.2633231190210203</v>
      </c>
      <c r="C47" s="116">
        <f>'Holdco Summary'!C28/'Holdco Summary'!$B$6</f>
        <v>3.61744566519502</v>
      </c>
      <c r="D47" s="116">
        <f>'Holdco Summary'!D28/'Holdco Summary'!$B$6</f>
        <v>0.50517410275635</v>
      </c>
      <c r="E47" s="116">
        <f>'Holdco Summary'!E28/'Holdco Summary'!$B$6</f>
        <v>3.6616252550008577</v>
      </c>
      <c r="F47" s="116">
        <f>'Holdco Summary'!F28/'Holdco Summary'!$B$6</f>
        <v>2.5478767235217954</v>
      </c>
      <c r="G47" s="1"/>
    </row>
    <row r="48" spans="1:7" x14ac:dyDescent="0.2">
      <c r="A48" s="105" t="s">
        <v>31</v>
      </c>
      <c r="B48" s="116">
        <f>'Holdco Summary'!B29/'Holdco Summary'!$B$7</f>
        <v>2.399293084936998</v>
      </c>
      <c r="C48" s="116">
        <f>'Holdco Summary'!C29/'Holdco Summary'!$B$7</f>
        <v>3.965243517835598</v>
      </c>
      <c r="D48" s="116">
        <f>'Holdco Summary'!D29/'Holdco Summary'!$B$7</f>
        <v>1.1367544572504003</v>
      </c>
      <c r="E48" s="116">
        <f>'Holdco Summary'!E29/'Holdco Summary'!$B$7</f>
        <v>3.9733722556479081</v>
      </c>
      <c r="F48" s="116">
        <f>'Holdco Summary'!F29/'Holdco Summary'!$B$7</f>
        <v>2.8375117746152951</v>
      </c>
      <c r="G48" s="1"/>
    </row>
    <row r="49" spans="1:7" x14ac:dyDescent="0.2">
      <c r="A49" s="105" t="s">
        <v>32</v>
      </c>
      <c r="B49" s="116">
        <f>'Holdco Summary'!B30/'Holdco Summary'!$B$8</f>
        <v>2.3690606905800005</v>
      </c>
      <c r="C49" s="116">
        <f>'Holdco Summary'!C30/'Holdco Summary'!$B$8</f>
        <v>4.3199411895494997</v>
      </c>
      <c r="D49" s="116">
        <f>'Holdco Summary'!D30/'Holdco Summary'!$B$8</f>
        <v>0.80639458149330012</v>
      </c>
      <c r="E49" s="116">
        <f>'Holdco Summary'!E30/'Holdco Summary'!$B$8</f>
        <v>0.47427431826577504</v>
      </c>
      <c r="F49" s="116">
        <f>'Holdco Summary'!F30/'Holdco Summary'!$B$8</f>
        <v>2.3381629431122364</v>
      </c>
      <c r="G49" s="1"/>
    </row>
    <row r="50" spans="1:7" x14ac:dyDescent="0.2">
      <c r="A50" s="112" t="s">
        <v>33</v>
      </c>
      <c r="B50" s="117">
        <f>'Holdco Summary'!B31/'Holdco Summary'!$B$9</f>
        <v>2.3516276440436723</v>
      </c>
      <c r="C50" s="117">
        <f>'Holdco Summary'!C31/'Holdco Summary'!$B$9</f>
        <v>3.946184078767307</v>
      </c>
      <c r="D50" s="117">
        <f>'Holdco Summary'!D31/'Holdco Summary'!$B$9</f>
        <v>0.8701270003754803</v>
      </c>
      <c r="E50" s="117">
        <f>'Holdco Summary'!E31/'Holdco Summary'!$B$9</f>
        <v>3.0474718536976826</v>
      </c>
      <c r="F50" s="117">
        <f>'Holdco Summary'!F31/'Holdco Summary'!$B$9</f>
        <v>2.6324182876224542</v>
      </c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97" t="s">
        <v>34</v>
      </c>
      <c r="B52" s="98"/>
      <c r="C52" s="98"/>
      <c r="D52" s="98"/>
      <c r="E52" s="98"/>
      <c r="F52" s="98"/>
      <c r="G52" s="98"/>
    </row>
    <row r="53" spans="1:7" x14ac:dyDescent="0.2">
      <c r="A53" s="99" t="s">
        <v>24</v>
      </c>
      <c r="B53" s="100" t="s">
        <v>11</v>
      </c>
      <c r="C53" s="100" t="s">
        <v>12</v>
      </c>
      <c r="D53" s="100" t="s">
        <v>13</v>
      </c>
      <c r="E53" s="100" t="s">
        <v>14</v>
      </c>
      <c r="F53" s="100" t="s">
        <v>15</v>
      </c>
      <c r="G53" s="100"/>
    </row>
    <row r="54" spans="1:7" x14ac:dyDescent="0.2">
      <c r="A54" s="105" t="s">
        <v>30</v>
      </c>
      <c r="B54" s="116">
        <f>'Holdco Summary'!B49/'Holdco Summary'!$B$6</f>
        <v>3.1125230859055297</v>
      </c>
      <c r="C54" s="116">
        <f>'Holdco Summary'!C49/'Holdco Summary'!$B$6</f>
        <v>5.9880211863812454</v>
      </c>
      <c r="D54" s="116">
        <f>'Holdco Summary'!D49/'Holdco Summary'!$B$6</f>
        <v>0.40013475277443156</v>
      </c>
      <c r="E54" s="116">
        <f>'Holdco Summary'!E49/'Holdco Summary'!$B$6</f>
        <v>6.1697900973432676</v>
      </c>
      <c r="F54" s="116">
        <f>'Holdco Summary'!F49/'Holdco Summary'!$B$6</f>
        <v>3.883129412770455</v>
      </c>
      <c r="G54" s="1"/>
    </row>
    <row r="55" spans="1:7" x14ac:dyDescent="0.2">
      <c r="A55" s="105" t="s">
        <v>31</v>
      </c>
      <c r="B55" s="116">
        <f>'Holdco Summary'!B50/'Holdco Summary'!$B$7</f>
        <v>3.4248339997842434</v>
      </c>
      <c r="C55" s="116">
        <f>'Holdco Summary'!C50/'Holdco Summary'!$B$7</f>
        <v>7.0110454332294241</v>
      </c>
      <c r="D55" s="116">
        <f>'Holdco Summary'!D50/'Holdco Summary'!$B$7</f>
        <v>1.1890350851011569</v>
      </c>
      <c r="E55" s="116">
        <f>'Holdco Summary'!E50/'Holdco Summary'!$B$7</f>
        <v>7.0198185406838558</v>
      </c>
      <c r="F55" s="116">
        <f>'Holdco Summary'!F50/'Holdco Summary'!$B$7</f>
        <v>4.5252647020780179</v>
      </c>
      <c r="G55" s="1"/>
    </row>
    <row r="56" spans="1:7" x14ac:dyDescent="0.2">
      <c r="A56" s="105" t="s">
        <v>32</v>
      </c>
      <c r="B56" s="116">
        <f>'Holdco Summary'!B51/'Holdco Summary'!$B$8</f>
        <v>3.3100713678873381</v>
      </c>
      <c r="C56" s="116">
        <f>'Holdco Summary'!C51/'Holdco Summary'!$B$8</f>
        <v>7.7226690897699477</v>
      </c>
      <c r="D56" s="116">
        <f>'Holdco Summary'!D51/'Holdco Summary'!$B$8</f>
        <v>0.74618623179340249</v>
      </c>
      <c r="E56" s="116">
        <f>'Holdco Summary'!E51/'Holdco Summary'!$B$8</f>
        <v>0.35091369336668427</v>
      </c>
      <c r="F56" s="116">
        <f>'Holdco Summary'!F51/'Holdco Summary'!$B$8</f>
        <v>3.5847643767658024</v>
      </c>
      <c r="G56" s="1"/>
    </row>
    <row r="57" spans="1:7" x14ac:dyDescent="0.2">
      <c r="A57" s="112" t="s">
        <v>33</v>
      </c>
      <c r="B57" s="117">
        <f>'Holdco Summary'!B52/'Holdco Summary'!$B$9</f>
        <v>3.3045598868686961</v>
      </c>
      <c r="C57" s="117">
        <f>'Holdco Summary'!C52/'Holdco Summary'!$B$9</f>
        <v>6.8760081351294957</v>
      </c>
      <c r="D57" s="117">
        <f>'Holdco Summary'!D52/'Holdco Summary'!$B$9</f>
        <v>0.84880311635921379</v>
      </c>
      <c r="E57" s="117">
        <f>'Holdco Summary'!E52/'Holdco Summary'!$B$9</f>
        <v>5.1789993974712596</v>
      </c>
      <c r="F57" s="117">
        <f>'Holdco Summary'!F52/'Holdco Summary'!$B$9</f>
        <v>4.1102243599478587</v>
      </c>
      <c r="G57" s="1"/>
    </row>
    <row r="58" spans="1:7" x14ac:dyDescent="0.2">
      <c r="A58" s="1"/>
      <c r="B58" s="1"/>
      <c r="C58" s="1"/>
      <c r="D58" s="1"/>
      <c r="E58" s="1"/>
      <c r="F58" s="1"/>
      <c r="G58" s="1"/>
    </row>
    <row r="59" spans="1:7" x14ac:dyDescent="0.2">
      <c r="A59" s="97" t="s">
        <v>35</v>
      </c>
      <c r="B59" s="98"/>
      <c r="C59" s="98"/>
      <c r="D59" s="98"/>
      <c r="E59" s="98"/>
      <c r="F59" s="98"/>
      <c r="G59" s="98"/>
    </row>
    <row r="60" spans="1:7" x14ac:dyDescent="0.2">
      <c r="A60" s="99" t="s">
        <v>24</v>
      </c>
      <c r="B60" s="100" t="s">
        <v>11</v>
      </c>
      <c r="C60" s="100" t="s">
        <v>12</v>
      </c>
      <c r="D60" s="100" t="s">
        <v>13</v>
      </c>
      <c r="E60" s="100" t="s">
        <v>14</v>
      </c>
      <c r="F60" s="100" t="s">
        <v>15</v>
      </c>
      <c r="G60" s="100"/>
    </row>
    <row r="61" spans="1:7" x14ac:dyDescent="0.2">
      <c r="A61" s="105" t="s">
        <v>30</v>
      </c>
      <c r="B61" s="116">
        <f>'Holdco Summary'!B70/'Holdco Summary'!$B$6</f>
        <v>5.0458237438435809</v>
      </c>
      <c r="C61" s="116">
        <f>'Holdco Summary'!C70/'Holdco Summary'!$B$6</f>
        <v>12.790788755975607</v>
      </c>
      <c r="D61" s="116">
        <f>'Holdco Summary'!D70/'Holdco Summary'!$B$6</f>
        <v>0.29585341576521507</v>
      </c>
      <c r="E61" s="116">
        <f>'Holdco Summary'!E70/'Holdco Summary'!$B$6</f>
        <v>13.672405824477588</v>
      </c>
      <c r="F61" s="116">
        <f>'Holdco Summary'!F70/'Holdco Summary'!$B$6</f>
        <v>7.5635567597599351</v>
      </c>
      <c r="G61" s="1"/>
    </row>
    <row r="62" spans="1:7" x14ac:dyDescent="0.2">
      <c r="A62" s="105" t="s">
        <v>31</v>
      </c>
      <c r="B62" s="116">
        <f>'Holdco Summary'!B71/'Holdco Summary'!$B$7</f>
        <v>5.9219052436664992</v>
      </c>
      <c r="C62" s="116">
        <f>'Holdco Summary'!C71/'Holdco Summary'!$B$7</f>
        <v>16.921765430213007</v>
      </c>
      <c r="D62" s="116">
        <f>'Holdco Summary'!D71/'Holdco Summary'!$B$7</f>
        <v>1.2731274011063314</v>
      </c>
      <c r="E62" s="116">
        <f>'Holdco Summary'!E71/'Holdco Summary'!$B$7</f>
        <v>16.919487946193975</v>
      </c>
      <c r="F62" s="116">
        <f>'Holdco Summary'!F71/'Holdco Summary'!$B$7</f>
        <v>9.6241910192982214</v>
      </c>
      <c r="G62" s="1"/>
    </row>
    <row r="63" spans="1:7" x14ac:dyDescent="0.2">
      <c r="A63" s="105" t="s">
        <v>32</v>
      </c>
      <c r="B63" s="116">
        <f>'Holdco Summary'!B72/'Holdco Summary'!$B$8</f>
        <v>5.4965894396036443</v>
      </c>
      <c r="C63" s="116">
        <f>'Holdco Summary'!C72/'Holdco Summary'!$B$8</f>
        <v>18.64801913363543</v>
      </c>
      <c r="D63" s="116">
        <f>'Holdco Summary'!D72/'Holdco Summary'!$B$8</f>
        <v>0.68218298961225632</v>
      </c>
      <c r="E63" s="116">
        <f>'Holdco Summary'!E72/'Holdco Summary'!$B$8</f>
        <v>0.2261275251020036</v>
      </c>
      <c r="F63" s="116">
        <f>'Holdco Summary'!F72/'Holdco Summary'!$B$8</f>
        <v>7.2717166084376359</v>
      </c>
      <c r="G63" s="1"/>
    </row>
    <row r="64" spans="1:7" x14ac:dyDescent="0.2">
      <c r="A64" s="112" t="s">
        <v>33</v>
      </c>
      <c r="B64" s="117">
        <f>'Holdco Summary'!B73/'Holdco Summary'!$B$9</f>
        <v>5.5599010344185231</v>
      </c>
      <c r="C64" s="117">
        <f>'Holdco Summary'!C73/'Holdco Summary'!$B$9</f>
        <v>16.103320873219118</v>
      </c>
      <c r="D64" s="117">
        <f>'Holdco Summary'!D73/'Holdco Summary'!$B$9</f>
        <v>0.84157099797050516</v>
      </c>
      <c r="E64" s="117">
        <f>'Holdco Summary'!E73/'Holdco Summary'!$B$9</f>
        <v>11.97848483351839</v>
      </c>
      <c r="F64" s="117">
        <f>'Holdco Summary'!F73/'Holdco Summary'!$B$9</f>
        <v>8.4507940585164505</v>
      </c>
      <c r="G64" s="1"/>
    </row>
    <row r="65" spans="1:7" x14ac:dyDescent="0.2">
      <c r="A65" s="1"/>
      <c r="B65" s="1"/>
      <c r="C65" s="1"/>
      <c r="D65" s="1"/>
      <c r="E65" s="1"/>
      <c r="F65" s="1"/>
      <c r="G65" s="1"/>
    </row>
    <row r="66" spans="1:7" x14ac:dyDescent="0.2">
      <c r="A66" s="97" t="s">
        <v>36</v>
      </c>
      <c r="B66" s="98"/>
      <c r="C66" s="98"/>
      <c r="D66" s="98"/>
      <c r="E66" s="98"/>
      <c r="F66" s="98"/>
      <c r="G66" s="98"/>
    </row>
    <row r="67" spans="1:7" x14ac:dyDescent="0.2">
      <c r="A67" s="99"/>
      <c r="B67" s="100" t="s">
        <v>11</v>
      </c>
      <c r="C67" s="100" t="s">
        <v>12</v>
      </c>
      <c r="D67" s="100" t="s">
        <v>13</v>
      </c>
      <c r="E67" s="100" t="s">
        <v>14</v>
      </c>
      <c r="F67" s="100" t="s">
        <v>37</v>
      </c>
      <c r="G67" s="100"/>
    </row>
    <row r="68" spans="1:7" x14ac:dyDescent="0.2">
      <c r="A68" s="105" t="s">
        <v>38</v>
      </c>
      <c r="B68" s="106">
        <f>'Defense Supercycle'!B17</f>
        <v>0.45</v>
      </c>
      <c r="C68" s="106">
        <f>'Defense Supercycle'!B18</f>
        <v>0.25</v>
      </c>
      <c r="D68" s="106">
        <f>'Defense Supercycle'!B19</f>
        <v>0.15</v>
      </c>
      <c r="E68" s="106">
        <f>'Defense Supercycle'!B20</f>
        <v>0.15</v>
      </c>
      <c r="F68" s="118">
        <f>SUM(B68:E68)</f>
        <v>1</v>
      </c>
      <c r="G68" s="1"/>
    </row>
    <row r="69" spans="1:7" x14ac:dyDescent="0.2">
      <c r="A69" s="1"/>
      <c r="B69" s="1"/>
      <c r="C69" s="1"/>
      <c r="D69" s="1"/>
      <c r="E69" s="1"/>
      <c r="F69" s="1"/>
      <c r="G69" s="1"/>
    </row>
    <row r="70" spans="1:7" x14ac:dyDescent="0.2">
      <c r="A70" s="97" t="s">
        <v>39</v>
      </c>
      <c r="B70" s="98"/>
      <c r="C70" s="98"/>
      <c r="D70" s="98"/>
      <c r="E70" s="98"/>
      <c r="F70" s="98"/>
      <c r="G70" s="98"/>
    </row>
    <row r="71" spans="1:7" x14ac:dyDescent="0.2">
      <c r="A71" s="99" t="s">
        <v>40</v>
      </c>
      <c r="B71" s="100" t="s">
        <v>41</v>
      </c>
      <c r="C71" s="100" t="s">
        <v>42</v>
      </c>
      <c r="D71" s="100" t="s">
        <v>43</v>
      </c>
      <c r="E71" s="100"/>
      <c r="F71" s="100"/>
      <c r="G71" s="100"/>
    </row>
    <row r="72" spans="1:7" x14ac:dyDescent="0.2">
      <c r="A72" s="105" t="s">
        <v>497</v>
      </c>
      <c r="B72" s="119">
        <f>'Holdco Summary'!B9</f>
        <v>840</v>
      </c>
      <c r="C72" s="120">
        <v>840</v>
      </c>
      <c r="D72" s="121" t="str">
        <f t="shared" ref="D72:D79" si="0">IF(ABS(B72-C72)&lt;0.001,"OK","CHECK")</f>
        <v>OK</v>
      </c>
      <c r="E72" s="1"/>
      <c r="F72" s="1"/>
      <c r="G72" s="1"/>
    </row>
    <row r="73" spans="1:7" x14ac:dyDescent="0.2">
      <c r="A73" s="105" t="s">
        <v>44</v>
      </c>
      <c r="B73" s="119">
        <f>Assumptions!C27</f>
        <v>250</v>
      </c>
      <c r="C73" s="119">
        <f>Assumptions!B5</f>
        <v>250</v>
      </c>
      <c r="D73" s="121" t="str">
        <f t="shared" si="0"/>
        <v>OK</v>
      </c>
      <c r="E73" s="1"/>
      <c r="F73" s="1"/>
      <c r="G73" s="1"/>
    </row>
    <row r="74" spans="1:7" x14ac:dyDescent="0.2">
      <c r="A74" s="105" t="s">
        <v>45</v>
      </c>
      <c r="B74" s="119">
        <f>'Weapons Sleeve'!C21</f>
        <v>390</v>
      </c>
      <c r="C74" s="119">
        <f>'Weapons Sleeve'!B5</f>
        <v>390</v>
      </c>
      <c r="D74" s="121" t="str">
        <f t="shared" si="0"/>
        <v>OK</v>
      </c>
      <c r="E74" s="1"/>
      <c r="F74" s="1"/>
      <c r="G74" s="1"/>
    </row>
    <row r="75" spans="1:7" x14ac:dyDescent="0.2">
      <c r="A75" s="105" t="s">
        <v>46</v>
      </c>
      <c r="B75" s="119">
        <f>'Consumer Sleeve'!C21</f>
        <v>200</v>
      </c>
      <c r="C75" s="119">
        <f>'Consumer Sleeve'!B5</f>
        <v>200</v>
      </c>
      <c r="D75" s="121" t="str">
        <f t="shared" si="0"/>
        <v>OK</v>
      </c>
      <c r="E75" s="1"/>
      <c r="F75" s="1"/>
      <c r="G75" s="1"/>
    </row>
    <row r="76" spans="1:7" x14ac:dyDescent="0.2">
      <c r="A76" s="105" t="s">
        <v>47</v>
      </c>
      <c r="B76" s="106">
        <f>'Defense Supercycle'!B21</f>
        <v>1</v>
      </c>
      <c r="C76" s="122">
        <v>1</v>
      </c>
      <c r="D76" s="121" t="str">
        <f t="shared" si="0"/>
        <v>OK</v>
      </c>
      <c r="E76" s="1"/>
      <c r="F76" s="1"/>
      <c r="G76" s="1"/>
    </row>
    <row r="77" spans="1:7" x14ac:dyDescent="0.2">
      <c r="A77" s="105" t="s">
        <v>48</v>
      </c>
      <c r="B77" s="106">
        <f>'Defense Supercycle'!B10</f>
        <v>1</v>
      </c>
      <c r="C77" s="122">
        <v>1</v>
      </c>
      <c r="D77" s="121" t="str">
        <f t="shared" si="0"/>
        <v>OK</v>
      </c>
      <c r="E77" s="1"/>
      <c r="F77" s="1"/>
      <c r="G77" s="1"/>
    </row>
    <row r="78" spans="1:7" x14ac:dyDescent="0.2">
      <c r="A78" s="105" t="s">
        <v>49</v>
      </c>
      <c r="B78" s="106">
        <f>Allocation!D14</f>
        <v>1</v>
      </c>
      <c r="C78" s="122">
        <v>1</v>
      </c>
      <c r="D78" s="121" t="str">
        <f t="shared" si="0"/>
        <v>OK</v>
      </c>
      <c r="E78" s="1"/>
      <c r="F78" s="1"/>
      <c r="G78" s="1"/>
    </row>
    <row r="79" spans="1:7" x14ac:dyDescent="0.2">
      <c r="A79" s="105" t="s">
        <v>50</v>
      </c>
      <c r="B79" s="119">
        <f>'Holdco Summary'!F52</f>
        <v>3452.588462356201</v>
      </c>
      <c r="C79" s="119">
        <f>'Fund Economics'!F22+'Holdco Summary'!F50+'Holdco Summary'!F51</f>
        <v>3452.588462356201</v>
      </c>
      <c r="D79" s="121" t="str">
        <f t="shared" si="0"/>
        <v>OK</v>
      </c>
      <c r="E79" s="1"/>
      <c r="F79" s="1"/>
      <c r="G79" s="1"/>
    </row>
    <row r="80" spans="1:7" x14ac:dyDescent="0.2">
      <c r="A80" s="112" t="s">
        <v>51</v>
      </c>
      <c r="B80" s="123"/>
      <c r="C80" s="123"/>
      <c r="D80" s="124" t="str">
        <f>IF(COUNTIF(D72:D79,"OK")=8,"ALL PASS","REVIEW")</f>
        <v>ALL PASS</v>
      </c>
      <c r="E80" s="1"/>
      <c r="F80" s="1"/>
      <c r="G80" s="1"/>
    </row>
    <row r="81" spans="1:7" x14ac:dyDescent="0.2">
      <c r="A81" s="1"/>
      <c r="B81" s="1"/>
      <c r="C81" s="1"/>
      <c r="D81" s="1"/>
      <c r="E81" s="1"/>
      <c r="F81" s="1"/>
      <c r="G81" s="1"/>
    </row>
    <row r="82" spans="1:7" x14ac:dyDescent="0.2">
      <c r="A82" s="97" t="s">
        <v>52</v>
      </c>
      <c r="B82" s="98"/>
      <c r="C82" s="98"/>
      <c r="D82" s="98"/>
      <c r="E82" s="98"/>
      <c r="F82" s="98"/>
      <c r="G82" s="98"/>
    </row>
    <row r="83" spans="1:7" ht="27" customHeight="1" x14ac:dyDescent="0.2">
      <c r="A83" s="176" t="str">
        <f>"• Underwrite to Expected: 7-yr holdco net IRR "&amp;TEXT('Holdco Summary'!F61,"0.0%")&amp;" / "&amp;TEXT('Holdco Summary'!F59,"0.00")&amp;"x net MOIC; Base "&amp;TEXT('Holdco Summary'!B61,"0.0%")&amp;", Bear "&amp;TEXT('Holdco Summary'!D61,"0.0%")&amp;"."</f>
        <v>• Underwrite to Expected: 7-yr holdco net IRR 19.4% / 3.46x net MOIC; Base 16.1%, Bear -4.8%.</v>
      </c>
      <c r="B83" s="177"/>
      <c r="C83" s="177"/>
      <c r="D83" s="177"/>
      <c r="E83" s="177"/>
      <c r="F83" s="177"/>
      <c r="G83" s="177"/>
    </row>
    <row r="84" spans="1:7" ht="27" customHeight="1" x14ac:dyDescent="0.2">
      <c r="A84" s="176" t="str">
        <f>"• Thematic scoreboard: 7-yr Expected KS-PME vs Defense+Semis basket "&amp;TEXT('Holdco Summary'!F64,"0.00")&amp;"x (Base "&amp;TEXT('Holdco Summary'!B64,"0.00")&amp;"x) — &gt;1.00x means the holdco beats owning ITA/SOXX."</f>
        <v>• Thematic scoreboard: 7-yr Expected KS-PME vs Defense+Semis basket 1.30x (Base 1.07x) — &gt;1.00x means the holdco beats owning ITA/SOXX.</v>
      </c>
      <c r="B84" s="177"/>
      <c r="C84" s="177"/>
      <c r="D84" s="177"/>
      <c r="E84" s="177"/>
      <c r="F84" s="177"/>
      <c r="G84" s="177"/>
    </row>
    <row r="85" spans="1:7" ht="27" customHeight="1" x14ac:dyDescent="0.2">
      <c r="A85" s="176" t="s">
        <v>53</v>
      </c>
      <c r="B85" s="177"/>
      <c r="C85" s="177"/>
      <c r="D85" s="177"/>
      <c r="E85" s="177"/>
      <c r="F85" s="177"/>
      <c r="G85" s="177"/>
    </row>
    <row r="86" spans="1:7" ht="27" customHeight="1" x14ac:dyDescent="0.2">
      <c r="A86" s="176" t="str">
        <f>"• TSMC-Shock is a low-probability tail ("&amp;TEXT('Defense Supercycle'!B20,"0%")&amp;") that lifts Expected because the book is overweight US sovereign-chokepoint names; Consumer is the one sleeve hurt in that case."</f>
        <v>• TSMC-Shock is a low-probability tail (15%) that lifts Expected because the book is overweight US sovereign-chokepoint names; Consumer is the one sleeve hurt in that case.</v>
      </c>
      <c r="B86" s="177"/>
      <c r="C86" s="177"/>
      <c r="D86" s="177"/>
      <c r="E86" s="177"/>
      <c r="F86" s="177"/>
      <c r="G86" s="177"/>
    </row>
    <row r="87" spans="1:7" ht="27" customHeight="1" x14ac:dyDescent="0.2">
      <c r="A87" s="176" t="s">
        <v>54</v>
      </c>
      <c r="B87" s="177"/>
      <c r="C87" s="177"/>
      <c r="D87" s="177"/>
      <c r="E87" s="177"/>
      <c r="F87" s="177"/>
      <c r="G87" s="177"/>
    </row>
  </sheetData>
  <mergeCells count="6">
    <mergeCell ref="A84:G84"/>
    <mergeCell ref="A83:G83"/>
    <mergeCell ref="A87:G87"/>
    <mergeCell ref="A2:G2"/>
    <mergeCell ref="A86:G86"/>
    <mergeCell ref="A85:G85"/>
  </mergeCells>
  <printOptions horizontalCentered="1"/>
  <pageMargins left="0.4" right="0.4" top="1" bottom="1" header="0.5" footer="0.5"/>
  <pageSetup fitToHeight="0" orientation="landscape"/>
  <headerFooter>
    <oddFooter>&amp;LLeviathan Core PE Holdco — Internal / Confidential&amp;R&amp;A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2A44"/>
    <pageSetUpPr fitToPage="1"/>
  </sheetPr>
  <dimension ref="A1:F93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42" customWidth="1"/>
    <col min="2" max="2" width="13" customWidth="1"/>
    <col min="3" max="3" width="11" customWidth="1"/>
    <col min="4" max="4" width="24" customWidth="1"/>
    <col min="5" max="5" width="12" customWidth="1"/>
    <col min="6" max="6" width="30" customWidth="1"/>
  </cols>
  <sheetData>
    <row r="1" spans="1:6" ht="18" customHeight="1" x14ac:dyDescent="0.2">
      <c r="A1" s="9" t="s">
        <v>492</v>
      </c>
      <c r="B1" s="1"/>
      <c r="C1" s="1"/>
      <c r="D1" s="1"/>
      <c r="E1" s="1"/>
      <c r="F1" s="1"/>
    </row>
    <row r="2" spans="1:6" ht="15" customHeight="1" x14ac:dyDescent="0.2">
      <c r="A2" s="10" t="s">
        <v>75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11" t="s">
        <v>76</v>
      </c>
      <c r="B4" s="1"/>
      <c r="C4" s="1"/>
      <c r="D4" s="1"/>
      <c r="E4" s="1"/>
      <c r="F4" s="1"/>
    </row>
    <row r="5" spans="1:6" ht="15" customHeight="1" x14ac:dyDescent="0.2">
      <c r="A5" s="12" t="s">
        <v>77</v>
      </c>
      <c r="B5" s="12" t="s">
        <v>25</v>
      </c>
      <c r="C5" s="12" t="s">
        <v>26</v>
      </c>
      <c r="D5" s="12" t="s">
        <v>78</v>
      </c>
      <c r="E5" s="12" t="s">
        <v>79</v>
      </c>
      <c r="F5" s="12" t="s">
        <v>80</v>
      </c>
    </row>
    <row r="6" spans="1:6" ht="27.75" customHeight="1" x14ac:dyDescent="0.2">
      <c r="A6" s="13" t="s">
        <v>81</v>
      </c>
      <c r="B6" s="14">
        <v>250</v>
      </c>
      <c r="C6" s="15">
        <f>B6/$B$9</f>
        <v>0.29761904761904762</v>
      </c>
      <c r="D6" s="16" t="s">
        <v>82</v>
      </c>
      <c r="E6" s="17" t="s">
        <v>83</v>
      </c>
      <c r="F6" s="16" t="s">
        <v>84</v>
      </c>
    </row>
    <row r="7" spans="1:6" ht="27.75" customHeight="1" x14ac:dyDescent="0.2">
      <c r="A7" s="13" t="s">
        <v>85</v>
      </c>
      <c r="B7" s="130">
        <v>390</v>
      </c>
      <c r="C7" s="15">
        <f>B7/$B$9</f>
        <v>0.4642857142857143</v>
      </c>
      <c r="D7" s="16" t="s">
        <v>86</v>
      </c>
      <c r="E7" s="17" t="s">
        <v>87</v>
      </c>
      <c r="F7" s="16" t="s">
        <v>88</v>
      </c>
    </row>
    <row r="8" spans="1:6" ht="27.75" customHeight="1" x14ac:dyDescent="0.2">
      <c r="A8" s="13" t="s">
        <v>32</v>
      </c>
      <c r="B8" s="14">
        <v>200</v>
      </c>
      <c r="C8" s="15">
        <f>B8/$B$9</f>
        <v>0.23809523809523808</v>
      </c>
      <c r="D8" s="16" t="s">
        <v>89</v>
      </c>
      <c r="E8" s="17" t="s">
        <v>90</v>
      </c>
      <c r="F8" s="16" t="s">
        <v>91</v>
      </c>
    </row>
    <row r="9" spans="1:6" ht="15" customHeight="1" x14ac:dyDescent="0.2">
      <c r="A9" s="18" t="s">
        <v>493</v>
      </c>
      <c r="B9" s="19">
        <f>SUM(B6:B8)</f>
        <v>840</v>
      </c>
      <c r="C9" s="20">
        <f>SUM(C6:C8)</f>
        <v>1</v>
      </c>
      <c r="D9" s="1"/>
      <c r="E9" s="1"/>
      <c r="F9" s="1"/>
    </row>
    <row r="10" spans="1:6" ht="15" customHeight="1" x14ac:dyDescent="0.2">
      <c r="A10" s="180" t="s">
        <v>92</v>
      </c>
      <c r="B10" s="177"/>
      <c r="C10" s="177"/>
      <c r="D10" s="177"/>
      <c r="E10" s="177"/>
      <c r="F10" s="177"/>
    </row>
    <row r="11" spans="1:6" ht="15" customHeight="1" x14ac:dyDescent="0.2">
      <c r="A11" s="180" t="s">
        <v>494</v>
      </c>
      <c r="B11" s="177"/>
      <c r="C11" s="177"/>
      <c r="D11" s="177"/>
      <c r="E11" s="177"/>
      <c r="F11" s="177"/>
    </row>
    <row r="12" spans="1:6" ht="15" customHeight="1" x14ac:dyDescent="0.2">
      <c r="A12" s="180" t="s">
        <v>93</v>
      </c>
      <c r="B12" s="177"/>
      <c r="C12" s="177"/>
      <c r="D12" s="177"/>
      <c r="E12" s="177"/>
      <c r="F12" s="177"/>
    </row>
    <row r="13" spans="1:6" ht="15" customHeight="1" x14ac:dyDescent="0.2">
      <c r="A13" s="1"/>
      <c r="B13" s="1"/>
      <c r="C13" s="1"/>
      <c r="D13" s="1"/>
      <c r="E13" s="1"/>
      <c r="F13" s="1"/>
    </row>
    <row r="14" spans="1:6" ht="15" customHeight="1" x14ac:dyDescent="0.2">
      <c r="A14" s="11" t="s">
        <v>94</v>
      </c>
      <c r="B14" s="1"/>
      <c r="C14" s="1"/>
      <c r="D14" s="1"/>
      <c r="E14" s="1"/>
      <c r="F14" s="1"/>
    </row>
    <row r="15" spans="1:6" ht="15" customHeight="1" x14ac:dyDescent="0.2">
      <c r="A15" s="12" t="s">
        <v>24</v>
      </c>
      <c r="B15" s="12" t="s">
        <v>11</v>
      </c>
      <c r="C15" s="12" t="s">
        <v>12</v>
      </c>
      <c r="D15" s="12" t="s">
        <v>13</v>
      </c>
      <c r="E15" s="21" t="s">
        <v>14</v>
      </c>
      <c r="F15" s="22"/>
    </row>
    <row r="16" spans="1:6" ht="15" customHeight="1" x14ac:dyDescent="0.2">
      <c r="A16" s="23" t="s">
        <v>95</v>
      </c>
      <c r="B16" s="24">
        <v>0.22</v>
      </c>
      <c r="C16" s="24">
        <v>0.34</v>
      </c>
      <c r="D16" s="24">
        <v>0.05</v>
      </c>
      <c r="E16" s="24">
        <v>0.32</v>
      </c>
      <c r="F16" s="1"/>
    </row>
    <row r="17" spans="1:6" ht="15" customHeight="1" x14ac:dyDescent="0.2">
      <c r="A17" s="23" t="s">
        <v>96</v>
      </c>
      <c r="B17" s="24">
        <v>0.14000000000000001</v>
      </c>
      <c r="C17" s="24">
        <v>0.25</v>
      </c>
      <c r="D17" s="24">
        <v>-0.1</v>
      </c>
      <c r="E17" s="24">
        <v>-0.04</v>
      </c>
      <c r="F17" s="1"/>
    </row>
    <row r="18" spans="1:6" ht="25.5" customHeight="1" x14ac:dyDescent="0.2">
      <c r="A18" s="179" t="s">
        <v>97</v>
      </c>
      <c r="B18" s="177"/>
      <c r="C18" s="177"/>
      <c r="D18" s="177"/>
      <c r="E18" s="177"/>
      <c r="F18" s="177"/>
    </row>
    <row r="19" spans="1:6" ht="15" customHeight="1" x14ac:dyDescent="0.2">
      <c r="A19" s="1"/>
      <c r="B19" s="1"/>
      <c r="C19" s="1"/>
      <c r="D19" s="1"/>
      <c r="E19" s="1"/>
      <c r="F19" s="1"/>
    </row>
    <row r="20" spans="1:6" ht="15" customHeight="1" x14ac:dyDescent="0.2">
      <c r="A20" s="11" t="s">
        <v>98</v>
      </c>
      <c r="B20" s="1"/>
      <c r="C20" s="1"/>
      <c r="D20" s="1"/>
      <c r="E20" s="1"/>
      <c r="F20" s="1"/>
    </row>
    <row r="21" spans="1:6" ht="15" customHeight="1" x14ac:dyDescent="0.2">
      <c r="A21" s="25" t="s">
        <v>99</v>
      </c>
      <c r="B21" s="26">
        <f>'PME, DPI &amp; Sensitivity'!$B$5</f>
        <v>0.09</v>
      </c>
      <c r="C21" s="1"/>
      <c r="D21" s="1"/>
      <c r="E21" s="1"/>
      <c r="F21" s="1"/>
    </row>
    <row r="22" spans="1:6" ht="15" customHeight="1" x14ac:dyDescent="0.2">
      <c r="A22" s="25" t="s">
        <v>100</v>
      </c>
      <c r="B22" s="26">
        <f>'PME, DPI &amp; Sensitivity'!$B$6</f>
        <v>0.13</v>
      </c>
      <c r="C22" s="1"/>
      <c r="D22" s="1"/>
      <c r="E22" s="1"/>
      <c r="F22" s="1"/>
    </row>
    <row r="23" spans="1:6" ht="15" customHeight="1" x14ac:dyDescent="0.2">
      <c r="A23" s="25" t="s">
        <v>101</v>
      </c>
      <c r="B23" s="27">
        <v>0.15</v>
      </c>
      <c r="C23" s="1"/>
      <c r="D23" s="1"/>
      <c r="E23" s="1"/>
      <c r="F23" s="1"/>
    </row>
    <row r="24" spans="1:6" ht="25.5" customHeight="1" x14ac:dyDescent="0.2">
      <c r="A24" s="179" t="s">
        <v>102</v>
      </c>
      <c r="B24" s="177"/>
      <c r="C24" s="177"/>
      <c r="D24" s="177"/>
      <c r="E24" s="177"/>
      <c r="F24" s="177"/>
    </row>
    <row r="25" spans="1:6" ht="15" customHeight="1" x14ac:dyDescent="0.2">
      <c r="A25" s="1"/>
      <c r="B25" s="1"/>
      <c r="C25" s="1"/>
      <c r="D25" s="1"/>
      <c r="E25" s="1"/>
      <c r="F25" s="1"/>
    </row>
    <row r="26" spans="1:6" ht="15" customHeight="1" x14ac:dyDescent="0.2">
      <c r="A26" s="28" t="s">
        <v>103</v>
      </c>
      <c r="B26" s="1"/>
      <c r="C26" s="1"/>
      <c r="D26" s="1"/>
      <c r="E26" s="1"/>
      <c r="F26" s="1"/>
    </row>
    <row r="27" spans="1:6" ht="15" customHeight="1" x14ac:dyDescent="0.2">
      <c r="A27" s="12" t="s">
        <v>104</v>
      </c>
      <c r="B27" s="12" t="s">
        <v>11</v>
      </c>
      <c r="C27" s="12" t="s">
        <v>12</v>
      </c>
      <c r="D27" s="12" t="s">
        <v>13</v>
      </c>
      <c r="E27" s="21" t="s">
        <v>14</v>
      </c>
      <c r="F27" s="29" t="s">
        <v>15</v>
      </c>
    </row>
    <row r="28" spans="1:6" ht="15" customHeight="1" x14ac:dyDescent="0.2">
      <c r="A28" s="13" t="s">
        <v>105</v>
      </c>
      <c r="B28" s="30">
        <f>'Fund Economics'!B6</f>
        <v>565.83077975525509</v>
      </c>
      <c r="C28" s="30">
        <f>'Fund Economics'!C6</f>
        <v>904.36141629875499</v>
      </c>
      <c r="D28" s="30">
        <f>'Fund Economics'!D6</f>
        <v>126.2935256890875</v>
      </c>
      <c r="E28" s="31">
        <f>'Fund Economics'!E6</f>
        <v>915.40631375021439</v>
      </c>
      <c r="F28" s="32">
        <f>'Fund Economics'!F6</f>
        <v>636.9691808804489</v>
      </c>
    </row>
    <row r="29" spans="1:6" ht="15" customHeight="1" x14ac:dyDescent="0.2">
      <c r="A29" s="13" t="s">
        <v>106</v>
      </c>
      <c r="B29" s="30">
        <f>'Weapons Sleeve'!C34</f>
        <v>935.72430312542929</v>
      </c>
      <c r="C29" s="30">
        <f>'Weapons Sleeve'!F34</f>
        <v>1546.4449719558831</v>
      </c>
      <c r="D29" s="30">
        <f>'Weapons Sleeve'!I34</f>
        <v>443.33423832765607</v>
      </c>
      <c r="E29" s="31">
        <f>'Weapons Sleeve'!L34</f>
        <v>1549.6151797026841</v>
      </c>
      <c r="F29" s="32">
        <f>B29*'Defense Supercycle'!$B$17+C29*'Defense Supercycle'!$B$18+D29*'Defense Supercycle'!$B$19+E29*'Defense Supercycle'!$B$20</f>
        <v>1106.6295920999651</v>
      </c>
    </row>
    <row r="30" spans="1:6" ht="15" customHeight="1" x14ac:dyDescent="0.2">
      <c r="A30" s="13" t="s">
        <v>107</v>
      </c>
      <c r="B30" s="30">
        <f>'Consumer Sleeve'!C34</f>
        <v>473.81213811600009</v>
      </c>
      <c r="C30" s="30">
        <f>'Consumer Sleeve'!F34</f>
        <v>863.98823790990002</v>
      </c>
      <c r="D30" s="30">
        <f>'Consumer Sleeve'!I34</f>
        <v>161.27891629866002</v>
      </c>
      <c r="E30" s="31">
        <f>'Consumer Sleeve'!L34</f>
        <v>94.854863653155007</v>
      </c>
      <c r="F30" s="32">
        <f>B30*'Defense Supercycle'!$B$17+C30*'Defense Supercycle'!$B$18+D30*'Defense Supercycle'!$B$19+E30*'Defense Supercycle'!$B$20</f>
        <v>467.63258862244726</v>
      </c>
    </row>
    <row r="31" spans="1:6" ht="15" customHeight="1" x14ac:dyDescent="0.2">
      <c r="A31" s="33" t="s">
        <v>108</v>
      </c>
      <c r="B31" s="34">
        <f>B28+B29+B30</f>
        <v>1975.3672209966846</v>
      </c>
      <c r="C31" s="34">
        <f>C28+C29+C30</f>
        <v>3314.7946261645379</v>
      </c>
      <c r="D31" s="34">
        <f>D28+D29+D30</f>
        <v>730.90668031540349</v>
      </c>
      <c r="E31" s="34">
        <f>E28+E29+E30</f>
        <v>2559.8763571060535</v>
      </c>
      <c r="F31" s="34">
        <f>F28+F29+F30</f>
        <v>2211.2313616028614</v>
      </c>
    </row>
    <row r="32" spans="1:6" ht="15" customHeight="1" x14ac:dyDescent="0.2">
      <c r="A32" s="13" t="s">
        <v>109</v>
      </c>
      <c r="B32" s="30">
        <f>-'Holdco Summary'!$B$9</f>
        <v>-840</v>
      </c>
      <c r="C32" s="30">
        <f>-'Holdco Summary'!$B$9</f>
        <v>-840</v>
      </c>
      <c r="D32" s="30">
        <f>-'Holdco Summary'!$B$9</f>
        <v>-840</v>
      </c>
      <c r="E32" s="31">
        <f>-'Holdco Summary'!$B$9</f>
        <v>-840</v>
      </c>
      <c r="F32" s="32">
        <f>-'Holdco Summary'!$B$9</f>
        <v>-840</v>
      </c>
    </row>
    <row r="33" spans="1:6" ht="15" customHeight="1" x14ac:dyDescent="0.2">
      <c r="A33" s="13" t="s">
        <v>110</v>
      </c>
      <c r="B33" s="30">
        <f>-'Holdco Summary'!$B$9*((1+Assumptions!$B$10)^5-1)</f>
        <v>-394.23558451200029</v>
      </c>
      <c r="C33" s="30">
        <f>-'Holdco Summary'!$B$9*((1+Assumptions!$B$10)^5-1)</f>
        <v>-394.23558451200029</v>
      </c>
      <c r="D33" s="30">
        <f>-'Holdco Summary'!$B$9*((1+Assumptions!$B$10)^5-1)</f>
        <v>-394.23558451200029</v>
      </c>
      <c r="E33" s="31">
        <f>-'Holdco Summary'!$B$9*((1+Assumptions!$B$10)^5-1)</f>
        <v>-394.23558451200029</v>
      </c>
      <c r="F33" s="32">
        <f>-'Holdco Summary'!$B$9*((1+Assumptions!$B$10)^5-1)</f>
        <v>-394.23558451200029</v>
      </c>
    </row>
    <row r="34" spans="1:6" ht="15" customHeight="1" x14ac:dyDescent="0.2">
      <c r="A34" s="13" t="s">
        <v>111</v>
      </c>
      <c r="B34" s="30">
        <f>MAX(0,B31+B32+B33)</f>
        <v>741.13163648468435</v>
      </c>
      <c r="C34" s="30">
        <f>MAX(0,C31+C32+C33)</f>
        <v>2080.5590416525374</v>
      </c>
      <c r="D34" s="30">
        <f>MAX(0,D31+D32+D33)</f>
        <v>0</v>
      </c>
      <c r="E34" s="31">
        <f>MAX(0,E31+E32+E33)</f>
        <v>1325.6407725940533</v>
      </c>
      <c r="F34" s="32">
        <f>B34*'Defense Supercycle'!$B$17+C34*'Defense Supercycle'!$B$18+D34*'Defense Supercycle'!$B$19+E34*'Defense Supercycle'!$B$20</f>
        <v>1052.4951127203503</v>
      </c>
    </row>
    <row r="35" spans="1:6" ht="15" customHeight="1" x14ac:dyDescent="0.2">
      <c r="A35" s="13" t="s">
        <v>112</v>
      </c>
      <c r="B35" s="30">
        <f>-Assumptions!$B$9*B34</f>
        <v>-148.22632729693689</v>
      </c>
      <c r="C35" s="30">
        <f>-Assumptions!$B$9*C34</f>
        <v>-416.11180833050753</v>
      </c>
      <c r="D35" s="30">
        <f>-Assumptions!$B$9*D34</f>
        <v>0</v>
      </c>
      <c r="E35" s="31">
        <f>-Assumptions!$B$9*E34</f>
        <v>-265.12815451881067</v>
      </c>
      <c r="F35" s="32">
        <f>B35*'Defense Supercycle'!$B$17+C35*'Defense Supercycle'!$B$18+D35*'Defense Supercycle'!$B$19+E35*'Defense Supercycle'!$B$20</f>
        <v>-210.49902254407007</v>
      </c>
    </row>
    <row r="36" spans="1:6" ht="15" customHeight="1" x14ac:dyDescent="0.2">
      <c r="A36" s="13" t="s">
        <v>113</v>
      </c>
      <c r="B36" s="30">
        <f>-'Holdco Summary'!$B$9*Assumptions!$B$8*5</f>
        <v>-84</v>
      </c>
      <c r="C36" s="30">
        <f>-'Holdco Summary'!$B$9*Assumptions!$B$8*5</f>
        <v>-84</v>
      </c>
      <c r="D36" s="30">
        <f>-'Holdco Summary'!$B$9*Assumptions!$B$8*5</f>
        <v>-84</v>
      </c>
      <c r="E36" s="31">
        <f>-'Holdco Summary'!$B$9*Assumptions!$B$8*5</f>
        <v>-84</v>
      </c>
      <c r="F36" s="32">
        <f>-'Holdco Summary'!$B$9*Assumptions!$B$8*5</f>
        <v>-84</v>
      </c>
    </row>
    <row r="37" spans="1:6" ht="15" customHeight="1" x14ac:dyDescent="0.2">
      <c r="A37" s="33" t="s">
        <v>114</v>
      </c>
      <c r="B37" s="34">
        <f>B31+B35+B36</f>
        <v>1743.1408936997477</v>
      </c>
      <c r="C37" s="34">
        <f>C31+C35+C36</f>
        <v>2814.6828178340302</v>
      </c>
      <c r="D37" s="34">
        <f>D31+D35+D36</f>
        <v>646.90668031540349</v>
      </c>
      <c r="E37" s="34">
        <f>E31+E35+E36</f>
        <v>2210.7482025872428</v>
      </c>
      <c r="F37" s="34">
        <f>F31+F35+F36</f>
        <v>1916.7323390587912</v>
      </c>
    </row>
    <row r="38" spans="1:6" ht="15" customHeight="1" x14ac:dyDescent="0.2">
      <c r="A38" s="33" t="s">
        <v>4</v>
      </c>
      <c r="B38" s="35">
        <f>B37/'Holdco Summary'!$B$9</f>
        <v>2.0751677305949379</v>
      </c>
      <c r="C38" s="35">
        <f>C37/'Holdco Summary'!$B$9</f>
        <v>3.3508128783738456</v>
      </c>
      <c r="D38" s="35">
        <f>D37/'Holdco Summary'!$B$9</f>
        <v>0.77012700037548032</v>
      </c>
      <c r="E38" s="35">
        <f>E37/'Holdco Summary'!$B$9</f>
        <v>2.631843098318146</v>
      </c>
      <c r="F38" s="35">
        <f>F37/'Holdco Summary'!$B$9</f>
        <v>2.2818242131652275</v>
      </c>
    </row>
    <row r="39" spans="1:6" ht="15" customHeight="1" x14ac:dyDescent="0.2">
      <c r="A39" s="13" t="s">
        <v>115</v>
      </c>
      <c r="B39" s="36">
        <f>B37/'Holdco Summary'!$B$9</f>
        <v>2.0751677305949379</v>
      </c>
      <c r="C39" s="36">
        <f>C37/'Holdco Summary'!$B$9</f>
        <v>3.3508128783738456</v>
      </c>
      <c r="D39" s="36">
        <f>D37/'Holdco Summary'!$B$9</f>
        <v>0.77012700037548032</v>
      </c>
      <c r="E39" s="37">
        <f>E37/'Holdco Summary'!$B$9</f>
        <v>2.631843098318146</v>
      </c>
      <c r="F39" s="38">
        <f>F37/'Holdco Summary'!$B$9</f>
        <v>2.2818242131652275</v>
      </c>
    </row>
    <row r="40" spans="1:6" ht="15" customHeight="1" x14ac:dyDescent="0.2">
      <c r="A40" s="33" t="s">
        <v>3</v>
      </c>
      <c r="B40" s="20">
        <f>(B37/'Holdco Summary'!$B$9)^(1/5)-1</f>
        <v>0.15720590493778119</v>
      </c>
      <c r="C40" s="20">
        <f>(C37/'Holdco Summary'!$B$9)^(1/5)-1</f>
        <v>0.27359115771197207</v>
      </c>
      <c r="D40" s="20">
        <f>(D37/'Holdco Summary'!$B$9)^(1/5)-1</f>
        <v>-5.0898914789661465E-2</v>
      </c>
      <c r="E40" s="20">
        <f>(E37/'Holdco Summary'!$B$9)^(1/5)-1</f>
        <v>0.21353414052194197</v>
      </c>
      <c r="F40" s="20">
        <f>(F37/'Holdco Summary'!$B$9)^(1/5)-1</f>
        <v>0.17938727284114453</v>
      </c>
    </row>
    <row r="41" spans="1:6" ht="15" customHeight="1" x14ac:dyDescent="0.2">
      <c r="A41" s="13" t="s">
        <v>116</v>
      </c>
      <c r="B41" s="36">
        <f>B38/(1+'Holdco Summary'!$B$21)^5</f>
        <v>1.3487166399471591</v>
      </c>
      <c r="C41" s="36">
        <f>C38/(1+'Holdco Summary'!$B$21)^5</f>
        <v>2.1777984592678621</v>
      </c>
      <c r="D41" s="36">
        <f>D38/(1+'Holdco Summary'!$B$21)^5</f>
        <v>0.50052970897982219</v>
      </c>
      <c r="E41" s="37">
        <f>E38/(1+'Holdco Summary'!$B$21)^5</f>
        <v>1.7105174334096449</v>
      </c>
      <c r="F41" s="38">
        <f>F38/(1+'Holdco Summary'!$B$21)^5</f>
        <v>1.4830291741516073</v>
      </c>
    </row>
    <row r="42" spans="1:6" ht="15" customHeight="1" x14ac:dyDescent="0.2">
      <c r="A42" s="13" t="s">
        <v>117</v>
      </c>
      <c r="B42" s="36">
        <f>B38/(1+'Holdco Summary'!$B$22)^5</f>
        <v>1.1263179046458294</v>
      </c>
      <c r="C42" s="36">
        <f>C38/(1+'Holdco Summary'!$B$22)^5</f>
        <v>1.8186869834123165</v>
      </c>
      <c r="D42" s="36">
        <f>D38/(1+'Holdco Summary'!$B$22)^5</f>
        <v>0.41799408143524303</v>
      </c>
      <c r="E42" s="37">
        <f>E38/(1+'Holdco Summary'!$B$22)^5</f>
        <v>1.4284589916037473</v>
      </c>
      <c r="F42" s="38">
        <f>F38/(1+'Holdco Summary'!$B$22)^5</f>
        <v>1.238482763899551</v>
      </c>
    </row>
    <row r="43" spans="1:6" ht="15" customHeight="1" x14ac:dyDescent="0.2">
      <c r="A43" s="33" t="s">
        <v>118</v>
      </c>
      <c r="B43" s="35">
        <f>B38/(1+'Holdco Summary'!$B$23)^5</f>
        <v>1.0317251174935524</v>
      </c>
      <c r="C43" s="35">
        <f>C38/(1+'Holdco Summary'!$B$23)^5</f>
        <v>1.6659462074653741</v>
      </c>
      <c r="D43" s="35">
        <f>D38/(1+'Holdco Summary'!$B$23)^5</f>
        <v>0.38288922781174617</v>
      </c>
      <c r="E43" s="35">
        <f>E38/(1+'Holdco Summary'!$B$23)^5</f>
        <v>1.308491159439152</v>
      </c>
      <c r="F43" s="35">
        <f>F38/(1+'Holdco Summary'!$B$23)^5</f>
        <v>1.1344699128260769</v>
      </c>
    </row>
    <row r="44" spans="1:6" ht="15" customHeight="1" x14ac:dyDescent="0.2">
      <c r="A44" s="13" t="s">
        <v>119</v>
      </c>
      <c r="B44" s="15">
        <f>(B38/(1+'Holdco Summary'!$B$23)^5)^(1/5)-1</f>
        <v>6.2660042937228155E-3</v>
      </c>
      <c r="C44" s="15">
        <f>(C38/(1+'Holdco Summary'!$B$23)^5)^(1/5)-1</f>
        <v>0.10747057192345411</v>
      </c>
      <c r="D44" s="15">
        <f>(D38/(1+'Holdco Summary'!$B$23)^5)^(1/5)-1</f>
        <v>-0.17469470851274904</v>
      </c>
      <c r="E44" s="39">
        <f>(E38/(1+'Holdco Summary'!$B$23)^5)^(1/5)-1</f>
        <v>5.5247078714732112E-2</v>
      </c>
      <c r="F44" s="40">
        <f>(F38/(1+'Holdco Summary'!$B$23)^5)^(1/5)-1</f>
        <v>2.5554150296647427E-2</v>
      </c>
    </row>
    <row r="45" spans="1:6" ht="15" customHeight="1" x14ac:dyDescent="0.2">
      <c r="A45" s="1"/>
      <c r="B45" s="1"/>
      <c r="C45" s="1"/>
      <c r="D45" s="1"/>
      <c r="E45" s="1"/>
      <c r="F45" s="1"/>
    </row>
    <row r="46" spans="1:6" ht="15" customHeight="1" x14ac:dyDescent="0.2">
      <c r="A46" s="1"/>
      <c r="B46" s="1"/>
      <c r="C46" s="1"/>
      <c r="D46" s="1"/>
      <c r="E46" s="1"/>
      <c r="F46" s="1"/>
    </row>
    <row r="47" spans="1:6" ht="15" customHeight="1" x14ac:dyDescent="0.2">
      <c r="A47" s="28" t="s">
        <v>120</v>
      </c>
      <c r="B47" s="1"/>
      <c r="C47" s="1"/>
      <c r="D47" s="1"/>
      <c r="E47" s="1"/>
      <c r="F47" s="1"/>
    </row>
    <row r="48" spans="1:6" ht="15" customHeight="1" x14ac:dyDescent="0.2">
      <c r="A48" s="12" t="s">
        <v>104</v>
      </c>
      <c r="B48" s="12" t="s">
        <v>11</v>
      </c>
      <c r="C48" s="12" t="s">
        <v>12</v>
      </c>
      <c r="D48" s="12" t="s">
        <v>13</v>
      </c>
      <c r="E48" s="21" t="s">
        <v>14</v>
      </c>
      <c r="F48" s="29" t="s">
        <v>15</v>
      </c>
    </row>
    <row r="49" spans="1:6" ht="15" customHeight="1" x14ac:dyDescent="0.2">
      <c r="A49" s="13" t="s">
        <v>105</v>
      </c>
      <c r="B49" s="30">
        <f>'Fund Economics'!B22</f>
        <v>778.13077147638239</v>
      </c>
      <c r="C49" s="30">
        <f>'Fund Economics'!C22</f>
        <v>1497.0052965953114</v>
      </c>
      <c r="D49" s="30">
        <f>'Fund Economics'!D22</f>
        <v>100.03368819360789</v>
      </c>
      <c r="E49" s="31">
        <f>'Fund Economics'!E22</f>
        <v>1542.447524335817</v>
      </c>
      <c r="F49" s="32">
        <f>'Fund Economics'!F22</f>
        <v>970.78235319261375</v>
      </c>
    </row>
    <row r="50" spans="1:6" ht="15" customHeight="1" x14ac:dyDescent="0.2">
      <c r="A50" s="13" t="s">
        <v>106</v>
      </c>
      <c r="B50" s="30">
        <f>'Weapons Sleeve'!C48</f>
        <v>1335.6852599158549</v>
      </c>
      <c r="C50" s="30">
        <f>'Weapons Sleeve'!F48</f>
        <v>2734.3077189594756</v>
      </c>
      <c r="D50" s="30">
        <f>'Weapons Sleeve'!I48</f>
        <v>463.72368318945121</v>
      </c>
      <c r="E50" s="31">
        <f>'Weapons Sleeve'!L48</f>
        <v>2737.7292308667038</v>
      </c>
      <c r="F50" s="32">
        <f>B50*'Defense Supercycle'!$B$17+C50*'Defense Supercycle'!$B$18+D50*'Defense Supercycle'!$B$19+E50*'Defense Supercycle'!$B$20</f>
        <v>1764.8532338104269</v>
      </c>
    </row>
    <row r="51" spans="1:6" ht="15" customHeight="1" x14ac:dyDescent="0.2">
      <c r="A51" s="13" t="s">
        <v>107</v>
      </c>
      <c r="B51" s="30">
        <f>'Consumer Sleeve'!C48</f>
        <v>662.01427357746763</v>
      </c>
      <c r="C51" s="30">
        <f>'Consumer Sleeve'!F48</f>
        <v>1544.5338179539895</v>
      </c>
      <c r="D51" s="30">
        <f>'Consumer Sleeve'!I48</f>
        <v>149.23724635868049</v>
      </c>
      <c r="E51" s="31">
        <f>'Consumer Sleeve'!L48</f>
        <v>70.182738673336857</v>
      </c>
      <c r="F51" s="32">
        <f>B51*'Defense Supercycle'!$B$17+C51*'Defense Supercycle'!$B$18+D51*'Defense Supercycle'!$B$19+E51*'Defense Supercycle'!$B$20</f>
        <v>716.95287535316049</v>
      </c>
    </row>
    <row r="52" spans="1:6" ht="15" customHeight="1" x14ac:dyDescent="0.2">
      <c r="A52" s="33" t="s">
        <v>108</v>
      </c>
      <c r="B52" s="34">
        <f>B49+B50+B51</f>
        <v>2775.8303049697047</v>
      </c>
      <c r="C52" s="34">
        <f>C49+C50+C51</f>
        <v>5775.8468335087764</v>
      </c>
      <c r="D52" s="34">
        <f>D49+D50+D51</f>
        <v>712.9946177417396</v>
      </c>
      <c r="E52" s="34">
        <f>E49+E50+E51</f>
        <v>4350.3594938758579</v>
      </c>
      <c r="F52" s="34">
        <f>F49+F50+F51</f>
        <v>3452.588462356201</v>
      </c>
    </row>
    <row r="53" spans="1:6" ht="15" customHeight="1" x14ac:dyDescent="0.2">
      <c r="A53" s="13" t="s">
        <v>109</v>
      </c>
      <c r="B53" s="30">
        <f>-'Holdco Summary'!$B$9</f>
        <v>-840</v>
      </c>
      <c r="C53" s="30">
        <f>-'Holdco Summary'!$B$9</f>
        <v>-840</v>
      </c>
      <c r="D53" s="30">
        <f>-'Holdco Summary'!$B$9</f>
        <v>-840</v>
      </c>
      <c r="E53" s="31">
        <f>-'Holdco Summary'!$B$9</f>
        <v>-840</v>
      </c>
      <c r="F53" s="32">
        <f>-'Holdco Summary'!$B$9</f>
        <v>-840</v>
      </c>
    </row>
    <row r="54" spans="1:6" ht="15" customHeight="1" x14ac:dyDescent="0.2">
      <c r="A54" s="13" t="s">
        <v>110</v>
      </c>
      <c r="B54" s="30">
        <f>-'Holdco Summary'!$B$9*((1+Assumptions!$B$10)^7-1)</f>
        <v>-599.6123857747973</v>
      </c>
      <c r="C54" s="30">
        <f>-'Holdco Summary'!$B$9*((1+Assumptions!$B$10)^7-1)</f>
        <v>-599.6123857747973</v>
      </c>
      <c r="D54" s="30">
        <f>-'Holdco Summary'!$B$9*((1+Assumptions!$B$10)^7-1)</f>
        <v>-599.6123857747973</v>
      </c>
      <c r="E54" s="31">
        <f>-'Holdco Summary'!$B$9*((1+Assumptions!$B$10)^7-1)</f>
        <v>-599.6123857747973</v>
      </c>
      <c r="F54" s="32">
        <f>-'Holdco Summary'!$B$9*((1+Assumptions!$B$10)^7-1)</f>
        <v>-599.6123857747973</v>
      </c>
    </row>
    <row r="55" spans="1:6" ht="15" customHeight="1" x14ac:dyDescent="0.2">
      <c r="A55" s="13" t="s">
        <v>111</v>
      </c>
      <c r="B55" s="30">
        <f>MAX(0,B52+B53+B54)</f>
        <v>1336.2179191949074</v>
      </c>
      <c r="C55" s="30">
        <f>MAX(0,C52+C53+C54)</f>
        <v>4336.2344477339793</v>
      </c>
      <c r="D55" s="30">
        <f>MAX(0,D52+D53+D54)</f>
        <v>0</v>
      </c>
      <c r="E55" s="31">
        <f>MAX(0,E52+E53+E54)</f>
        <v>2910.7471081010608</v>
      </c>
      <c r="F55" s="32">
        <f>B55*'Defense Supercycle'!$B$17+C55*'Defense Supercycle'!$B$18+D55*'Defense Supercycle'!$B$19+E55*'Defense Supercycle'!$B$20</f>
        <v>2121.9687417863624</v>
      </c>
    </row>
    <row r="56" spans="1:6" ht="15" customHeight="1" x14ac:dyDescent="0.2">
      <c r="A56" s="13" t="s">
        <v>112</v>
      </c>
      <c r="B56" s="30">
        <f>-Assumptions!$B$9*B55</f>
        <v>-267.24358383898146</v>
      </c>
      <c r="C56" s="30">
        <f>-Assumptions!$B$9*C55</f>
        <v>-867.24688954679596</v>
      </c>
      <c r="D56" s="30">
        <f>-Assumptions!$B$9*D55</f>
        <v>0</v>
      </c>
      <c r="E56" s="31">
        <f>-Assumptions!$B$9*E55</f>
        <v>-582.14942162021214</v>
      </c>
      <c r="F56" s="32">
        <f>B56*'Defense Supercycle'!$B$17+C56*'Defense Supercycle'!$B$18+D56*'Defense Supercycle'!$B$19+E56*'Defense Supercycle'!$B$20</f>
        <v>-424.39374835727244</v>
      </c>
    </row>
    <row r="57" spans="1:6" ht="15" customHeight="1" x14ac:dyDescent="0.2">
      <c r="A57" s="13" t="s">
        <v>113</v>
      </c>
      <c r="B57" s="30">
        <f>-'Holdco Summary'!$B$9*Assumptions!$B$8*7</f>
        <v>-117.60000000000001</v>
      </c>
      <c r="C57" s="30">
        <f>-'Holdco Summary'!$B$9*Assumptions!$B$8*7</f>
        <v>-117.60000000000001</v>
      </c>
      <c r="D57" s="30">
        <f>-'Holdco Summary'!$B$9*Assumptions!$B$8*7</f>
        <v>-117.60000000000001</v>
      </c>
      <c r="E57" s="31">
        <f>-'Holdco Summary'!$B$9*Assumptions!$B$8*7</f>
        <v>-117.60000000000001</v>
      </c>
      <c r="F57" s="32">
        <f>-'Holdco Summary'!$B$9*Assumptions!$B$8*7</f>
        <v>-117.60000000000001</v>
      </c>
    </row>
    <row r="58" spans="1:6" ht="15" customHeight="1" x14ac:dyDescent="0.2">
      <c r="A58" s="33" t="s">
        <v>114</v>
      </c>
      <c r="B58" s="34">
        <f>B52+B56+B57</f>
        <v>2390.9867211307233</v>
      </c>
      <c r="C58" s="34">
        <f>C52+C56+C57</f>
        <v>4790.9999439619805</v>
      </c>
      <c r="D58" s="34">
        <f>D52+D56+D57</f>
        <v>595.39461774173958</v>
      </c>
      <c r="E58" s="34">
        <f>E52+E56+E57</f>
        <v>3650.6100722556457</v>
      </c>
      <c r="F58" s="34">
        <f>F52+F56+F57</f>
        <v>2910.5947139989289</v>
      </c>
    </row>
    <row r="59" spans="1:6" ht="15" customHeight="1" x14ac:dyDescent="0.2">
      <c r="A59" s="33" t="s">
        <v>4</v>
      </c>
      <c r="B59" s="35">
        <f>B58/'Holdco Summary'!$B$9</f>
        <v>2.8464127632508611</v>
      </c>
      <c r="C59" s="35">
        <f>C58/'Holdco Summary'!$B$9</f>
        <v>5.7035713618595008</v>
      </c>
      <c r="D59" s="35">
        <f>D58/'Holdco Summary'!$B$9</f>
        <v>0.70880311635921378</v>
      </c>
      <c r="E59" s="35">
        <f>E58/'Holdco Summary'!$B$9</f>
        <v>4.3459643717329115</v>
      </c>
      <c r="F59" s="35">
        <f>F58/'Holdco Summary'!$B$9</f>
        <v>3.4649937071415819</v>
      </c>
    </row>
    <row r="60" spans="1:6" ht="15" customHeight="1" x14ac:dyDescent="0.2">
      <c r="A60" s="13" t="s">
        <v>115</v>
      </c>
      <c r="B60" s="36">
        <f>B58/'Holdco Summary'!$B$9</f>
        <v>2.8464127632508611</v>
      </c>
      <c r="C60" s="36">
        <f>C58/'Holdco Summary'!$B$9</f>
        <v>5.7035713618595008</v>
      </c>
      <c r="D60" s="36">
        <f>D58/'Holdco Summary'!$B$9</f>
        <v>0.70880311635921378</v>
      </c>
      <c r="E60" s="37">
        <f>E58/'Holdco Summary'!$B$9</f>
        <v>4.3459643717329115</v>
      </c>
      <c r="F60" s="38">
        <f>F58/'Holdco Summary'!$B$9</f>
        <v>3.4649937071415819</v>
      </c>
    </row>
    <row r="61" spans="1:6" ht="15" customHeight="1" x14ac:dyDescent="0.2">
      <c r="A61" s="33" t="s">
        <v>3</v>
      </c>
      <c r="B61" s="20">
        <f>(B58/'Holdco Summary'!$B$9)^(1/7)-1</f>
        <v>0.16118040072490736</v>
      </c>
      <c r="C61" s="20">
        <f>(C58/'Holdco Summary'!$B$9)^(1/7)-1</f>
        <v>0.28239253959682675</v>
      </c>
      <c r="D61" s="20">
        <f>(D58/'Holdco Summary'!$B$9)^(1/7)-1</f>
        <v>-4.7979024991621211E-2</v>
      </c>
      <c r="E61" s="20">
        <f>(E58/'Holdco Summary'!$B$9)^(1/7)-1</f>
        <v>0.23354547909264811</v>
      </c>
      <c r="F61" s="20">
        <f>(F58/'Holdco Summary'!$B$9)^(1/7)-1</f>
        <v>0.19426402458728487</v>
      </c>
    </row>
    <row r="62" spans="1:6" ht="15" customHeight="1" x14ac:dyDescent="0.2">
      <c r="A62" s="13" t="s">
        <v>116</v>
      </c>
      <c r="B62" s="36">
        <f>B59/(1+'Holdco Summary'!$B$21)^7</f>
        <v>1.5570852564573148</v>
      </c>
      <c r="C62" s="36">
        <f>C59/(1+'Holdco Summary'!$B$21)^7</f>
        <v>3.1200488528447829</v>
      </c>
      <c r="D62" s="36">
        <f>D59/(1+'Holdco Summary'!$B$21)^7</f>
        <v>0.38773957750015248</v>
      </c>
      <c r="E62" s="37">
        <f>E59/(1+'Holdco Summary'!$B$21)^7</f>
        <v>2.3773913382068752</v>
      </c>
      <c r="F62" s="38">
        <f>F59/(1+'Holdco Summary'!$B$21)^7</f>
        <v>1.8954702159730417</v>
      </c>
    </row>
    <row r="63" spans="1:6" ht="15" customHeight="1" x14ac:dyDescent="0.2">
      <c r="A63" s="13" t="s">
        <v>117</v>
      </c>
      <c r="B63" s="36">
        <f>B59/(1+'Holdco Summary'!$B$22)^7</f>
        <v>1.2098980415146459</v>
      </c>
      <c r="C63" s="36">
        <f>C59/(1+'Holdco Summary'!$B$22)^7</f>
        <v>2.4243637147240591</v>
      </c>
      <c r="D63" s="36">
        <f>D59/(1+'Holdco Summary'!$B$22)^7</f>
        <v>0.301284308928919</v>
      </c>
      <c r="E63" s="37">
        <f>E59/(1+'Holdco Summary'!$B$22)^7</f>
        <v>1.8472984135465891</v>
      </c>
      <c r="F63" s="38">
        <f>F59/(1+'Holdco Summary'!$B$22)^7</f>
        <v>1.4728324557339318</v>
      </c>
    </row>
    <row r="64" spans="1:6" ht="15" customHeight="1" x14ac:dyDescent="0.2">
      <c r="A64" s="33" t="s">
        <v>118</v>
      </c>
      <c r="B64" s="35">
        <f>B59/(1+'Holdco Summary'!$B$23)^7</f>
        <v>1.0700719886158394</v>
      </c>
      <c r="C64" s="35">
        <f>C59/(1+'Holdco Summary'!$B$23)^7</f>
        <v>2.1441837347675832</v>
      </c>
      <c r="D64" s="35">
        <f>D59/(1+'Holdco Summary'!$B$23)^7</f>
        <v>0.26646534545234624</v>
      </c>
      <c r="E64" s="35">
        <f>E59/(1+'Holdco Summary'!$B$23)^7</f>
        <v>1.6338089815204939</v>
      </c>
      <c r="F64" s="35">
        <f>F59/(1+'Holdco Summary'!$B$23)^7</f>
        <v>1.3026194776149498</v>
      </c>
    </row>
    <row r="65" spans="1:6" ht="15" customHeight="1" x14ac:dyDescent="0.2">
      <c r="A65" s="13" t="s">
        <v>119</v>
      </c>
      <c r="B65" s="15">
        <f>(B59/(1+'Holdco Summary'!$B$23)^7)^(1/7)-1</f>
        <v>9.7220875868759826E-3</v>
      </c>
      <c r="C65" s="15">
        <f>(C59/(1+'Holdco Summary'!$B$23)^7)^(1/7)-1</f>
        <v>0.11512394747550148</v>
      </c>
      <c r="D65" s="15">
        <f>(D59/(1+'Holdco Summary'!$B$23)^7)^(1/7)-1</f>
        <v>-0.17215567390575748</v>
      </c>
      <c r="E65" s="39">
        <f>(E59/(1+'Holdco Summary'!$B$23)^7)^(1/7)-1</f>
        <v>7.2648242689259401E-2</v>
      </c>
      <c r="F65" s="40">
        <f>(F59/(1+'Holdco Summary'!$B$23)^7)^(1/7)-1</f>
        <v>3.8490456162856512E-2</v>
      </c>
    </row>
    <row r="66" spans="1:6" ht="15" customHeight="1" x14ac:dyDescent="0.2">
      <c r="A66" s="1"/>
      <c r="B66" s="1"/>
      <c r="C66" s="1"/>
      <c r="D66" s="1"/>
      <c r="E66" s="1"/>
      <c r="F66" s="1"/>
    </row>
    <row r="67" spans="1:6" ht="15" customHeight="1" x14ac:dyDescent="0.2">
      <c r="A67" s="1"/>
      <c r="B67" s="1"/>
      <c r="C67" s="1"/>
      <c r="D67" s="1"/>
      <c r="E67" s="1"/>
      <c r="F67" s="1"/>
    </row>
    <row r="68" spans="1:6" ht="15" customHeight="1" x14ac:dyDescent="0.2">
      <c r="A68" s="28" t="s">
        <v>121</v>
      </c>
      <c r="B68" s="1"/>
      <c r="C68" s="1"/>
      <c r="D68" s="1"/>
      <c r="E68" s="1"/>
      <c r="F68" s="1"/>
    </row>
    <row r="69" spans="1:6" ht="15" customHeight="1" x14ac:dyDescent="0.2">
      <c r="A69" s="12" t="s">
        <v>104</v>
      </c>
      <c r="B69" s="12" t="s">
        <v>11</v>
      </c>
      <c r="C69" s="12" t="s">
        <v>12</v>
      </c>
      <c r="D69" s="12" t="s">
        <v>13</v>
      </c>
      <c r="E69" s="21" t="s">
        <v>14</v>
      </c>
      <c r="F69" s="29" t="s">
        <v>15</v>
      </c>
    </row>
    <row r="70" spans="1:6" ht="15" customHeight="1" x14ac:dyDescent="0.2">
      <c r="A70" s="13" t="s">
        <v>105</v>
      </c>
      <c r="B70" s="30">
        <f>'Fund Economics'!B38</f>
        <v>1261.4559359608952</v>
      </c>
      <c r="C70" s="30">
        <f>'Fund Economics'!C38</f>
        <v>3197.6971889939018</v>
      </c>
      <c r="D70" s="30">
        <f>'Fund Economics'!D38</f>
        <v>73.963353941303765</v>
      </c>
      <c r="E70" s="31">
        <f>'Fund Economics'!E38</f>
        <v>3418.101456119397</v>
      </c>
      <c r="F70" s="32">
        <f>'Fund Economics'!F38</f>
        <v>1890.8891899399837</v>
      </c>
    </row>
    <row r="71" spans="1:6" ht="15" customHeight="1" x14ac:dyDescent="0.2">
      <c r="A71" s="13" t="s">
        <v>106</v>
      </c>
      <c r="B71" s="30">
        <f>'Weapons Sleeve'!C62</f>
        <v>2309.5430450299345</v>
      </c>
      <c r="C71" s="30">
        <f>'Weapons Sleeve'!F62</f>
        <v>6599.4885177830729</v>
      </c>
      <c r="D71" s="30">
        <f>'Weapons Sleeve'!I62</f>
        <v>496.51968643146927</v>
      </c>
      <c r="E71" s="31">
        <f>'Weapons Sleeve'!L62</f>
        <v>6598.6002990156503</v>
      </c>
      <c r="F71" s="32">
        <f>B71*'Defense Supercycle'!$B$17+C71*'Defense Supercycle'!$B$18+D71*'Defense Supercycle'!$B$19+E71*'Defense Supercycle'!$B$20</f>
        <v>3753.4344975263066</v>
      </c>
    </row>
    <row r="72" spans="1:6" ht="15" customHeight="1" x14ac:dyDescent="0.2">
      <c r="A72" s="13" t="s">
        <v>107</v>
      </c>
      <c r="B72" s="30">
        <f>'Consumer Sleeve'!C62</f>
        <v>1099.3178879207289</v>
      </c>
      <c r="C72" s="30">
        <f>'Consumer Sleeve'!F62</f>
        <v>3729.6038267270856</v>
      </c>
      <c r="D72" s="30">
        <f>'Consumer Sleeve'!I62</f>
        <v>136.43659792245126</v>
      </c>
      <c r="E72" s="31">
        <f>'Consumer Sleeve'!L62</f>
        <v>45.225505020400718</v>
      </c>
      <c r="F72" s="32">
        <f>B72*'Defense Supercycle'!$B$17+C72*'Defense Supercycle'!$B$18+D72*'Defense Supercycle'!$B$19+E72*'Defense Supercycle'!$B$20</f>
        <v>1454.3433216875271</v>
      </c>
    </row>
    <row r="73" spans="1:6" ht="15" customHeight="1" x14ac:dyDescent="0.2">
      <c r="A73" s="33" t="s">
        <v>108</v>
      </c>
      <c r="B73" s="34">
        <f>B70+B71+B72</f>
        <v>4670.3168689115591</v>
      </c>
      <c r="C73" s="34">
        <f>C70+C71+C72</f>
        <v>13526.789533504059</v>
      </c>
      <c r="D73" s="34">
        <f>D70+D71+D72</f>
        <v>706.91963829522433</v>
      </c>
      <c r="E73" s="34">
        <f>E70+E71+E72</f>
        <v>10061.927260155448</v>
      </c>
      <c r="F73" s="34">
        <f>F70+F71+F72</f>
        <v>7098.6670091538181</v>
      </c>
    </row>
    <row r="74" spans="1:6" ht="15" customHeight="1" x14ac:dyDescent="0.2">
      <c r="A74" s="13" t="s">
        <v>109</v>
      </c>
      <c r="B74" s="30">
        <f>-'Holdco Summary'!$B$9</f>
        <v>-840</v>
      </c>
      <c r="C74" s="30">
        <f>-'Holdco Summary'!$B$9</f>
        <v>-840</v>
      </c>
      <c r="D74" s="30">
        <f>-'Holdco Summary'!$B$9</f>
        <v>-840</v>
      </c>
      <c r="E74" s="31">
        <f>-'Holdco Summary'!$B$9</f>
        <v>-840</v>
      </c>
      <c r="F74" s="32">
        <f>-'Holdco Summary'!$B$9</f>
        <v>-840</v>
      </c>
    </row>
    <row r="75" spans="1:6" ht="15" customHeight="1" x14ac:dyDescent="0.2">
      <c r="A75" s="13" t="s">
        <v>110</v>
      </c>
      <c r="B75" s="30">
        <f>-'Holdco Summary'!$B$9*((1+Assumptions!$B$10)^10-1)</f>
        <v>-973.49699770914174</v>
      </c>
      <c r="C75" s="30">
        <f>-'Holdco Summary'!$B$9*((1+Assumptions!$B$10)^10-1)</f>
        <v>-973.49699770914174</v>
      </c>
      <c r="D75" s="30">
        <f>-'Holdco Summary'!$B$9*((1+Assumptions!$B$10)^10-1)</f>
        <v>-973.49699770914174</v>
      </c>
      <c r="E75" s="31">
        <f>-'Holdco Summary'!$B$9*((1+Assumptions!$B$10)^10-1)</f>
        <v>-973.49699770914174</v>
      </c>
      <c r="F75" s="32">
        <f>-'Holdco Summary'!$B$9*((1+Assumptions!$B$10)^10-1)</f>
        <v>-973.49699770914174</v>
      </c>
    </row>
    <row r="76" spans="1:6" ht="15" customHeight="1" x14ac:dyDescent="0.2">
      <c r="A76" s="13" t="s">
        <v>111</v>
      </c>
      <c r="B76" s="30">
        <f>MAX(0,B73+B74+B75)</f>
        <v>2856.8198712024173</v>
      </c>
      <c r="C76" s="30">
        <f>MAX(0,C73+C74+C75)</f>
        <v>11713.292535794917</v>
      </c>
      <c r="D76" s="30">
        <f>MAX(0,D73+D74+D75)</f>
        <v>0</v>
      </c>
      <c r="E76" s="31">
        <f>MAX(0,E73+E74+E75)</f>
        <v>8248.4302624463053</v>
      </c>
      <c r="F76" s="32">
        <f>B76*'Defense Supercycle'!$B$17+C76*'Defense Supercycle'!$B$18+D76*'Defense Supercycle'!$B$19+E76*'Defense Supercycle'!$B$20</f>
        <v>5451.1566153567628</v>
      </c>
    </row>
    <row r="77" spans="1:6" ht="15" customHeight="1" x14ac:dyDescent="0.2">
      <c r="A77" s="13" t="s">
        <v>112</v>
      </c>
      <c r="B77" s="30">
        <f>-Assumptions!$B$9*B76</f>
        <v>-571.36397424048346</v>
      </c>
      <c r="C77" s="30">
        <f>-Assumptions!$B$9*C76</f>
        <v>-2342.6585071589834</v>
      </c>
      <c r="D77" s="30">
        <f>-Assumptions!$B$9*D76</f>
        <v>0</v>
      </c>
      <c r="E77" s="31">
        <f>-Assumptions!$B$9*E76</f>
        <v>-1649.6860524892611</v>
      </c>
      <c r="F77" s="32">
        <f>B77*'Defense Supercycle'!$B$17+C77*'Defense Supercycle'!$B$18+D77*'Defense Supercycle'!$B$19+E77*'Defense Supercycle'!$B$20</f>
        <v>-1090.2313230713526</v>
      </c>
    </row>
    <row r="78" spans="1:6" ht="15" customHeight="1" x14ac:dyDescent="0.2">
      <c r="A78" s="13" t="s">
        <v>113</v>
      </c>
      <c r="B78" s="30">
        <f>-'Holdco Summary'!$B$9*Assumptions!$B$8*10</f>
        <v>-168</v>
      </c>
      <c r="C78" s="30">
        <f>-'Holdco Summary'!$B$9*Assumptions!$B$8*10</f>
        <v>-168</v>
      </c>
      <c r="D78" s="30">
        <f>-'Holdco Summary'!$B$9*Assumptions!$B$8*10</f>
        <v>-168</v>
      </c>
      <c r="E78" s="31">
        <f>-'Holdco Summary'!$B$9*Assumptions!$B$8*10</f>
        <v>-168</v>
      </c>
      <c r="F78" s="32">
        <f>-'Holdco Summary'!$B$9*Assumptions!$B$8*10</f>
        <v>-168</v>
      </c>
    </row>
    <row r="79" spans="1:6" ht="15" customHeight="1" x14ac:dyDescent="0.2">
      <c r="A79" s="33" t="s">
        <v>114</v>
      </c>
      <c r="B79" s="34">
        <f>B73+B77+B78</f>
        <v>3930.9528946710761</v>
      </c>
      <c r="C79" s="34">
        <f>C73+C77+C78</f>
        <v>11016.131026345076</v>
      </c>
      <c r="D79" s="34">
        <f>D73+D77+D78</f>
        <v>538.91963829522433</v>
      </c>
      <c r="E79" s="34">
        <f>E73+E77+E78</f>
        <v>8244.2412076661858</v>
      </c>
      <c r="F79" s="34">
        <f>F73+F77+F78</f>
        <v>5840.4356860824655</v>
      </c>
    </row>
    <row r="80" spans="1:6" ht="15" customHeight="1" x14ac:dyDescent="0.2">
      <c r="A80" s="33" t="s">
        <v>4</v>
      </c>
      <c r="B80" s="35">
        <f>B79/'Holdco Summary'!$B$9</f>
        <v>4.6797058269893768</v>
      </c>
      <c r="C80" s="35">
        <f>C79/'Holdco Summary'!$B$9</f>
        <v>13.114441698029852</v>
      </c>
      <c r="D80" s="35">
        <f>D79/'Holdco Summary'!$B$9</f>
        <v>0.64157099797050521</v>
      </c>
      <c r="E80" s="35">
        <f>E79/'Holdco Summary'!$B$9</f>
        <v>9.8145728662692679</v>
      </c>
      <c r="F80" s="35">
        <f>F79/'Holdco Summary'!$B$9</f>
        <v>6.9528996262886498</v>
      </c>
    </row>
    <row r="81" spans="1:6" ht="15" customHeight="1" x14ac:dyDescent="0.2">
      <c r="A81" s="13" t="s">
        <v>115</v>
      </c>
      <c r="B81" s="36">
        <f>B79/'Holdco Summary'!$B$9</f>
        <v>4.6797058269893768</v>
      </c>
      <c r="C81" s="36">
        <f>C79/'Holdco Summary'!$B$9</f>
        <v>13.114441698029852</v>
      </c>
      <c r="D81" s="36">
        <f>D79/'Holdco Summary'!$B$9</f>
        <v>0.64157099797050521</v>
      </c>
      <c r="E81" s="37">
        <f>E79/'Holdco Summary'!$B$9</f>
        <v>9.8145728662692679</v>
      </c>
      <c r="F81" s="38">
        <f>F79/'Holdco Summary'!$B$9</f>
        <v>6.9528996262886498</v>
      </c>
    </row>
    <row r="82" spans="1:6" ht="15" customHeight="1" x14ac:dyDescent="0.2">
      <c r="A82" s="33" t="s">
        <v>3</v>
      </c>
      <c r="B82" s="20">
        <f>(B79/'Holdco Summary'!$B$9)^(1/10)-1</f>
        <v>0.16686833685174807</v>
      </c>
      <c r="C82" s="20">
        <f>(C79/'Holdco Summary'!$B$9)^(1/10)-1</f>
        <v>0.29352545843197819</v>
      </c>
      <c r="D82" s="20">
        <f>(D79/'Holdco Summary'!$B$9)^(1/10)-1</f>
        <v>-4.3413004769649599E-2</v>
      </c>
      <c r="E82" s="20">
        <f>(E79/'Holdco Summary'!$B$9)^(1/10)-1</f>
        <v>0.25657131195466709</v>
      </c>
      <c r="F82" s="20">
        <f>(F79/'Holdco Summary'!$B$9)^(1/10)-1</f>
        <v>0.21399415564936652</v>
      </c>
    </row>
    <row r="83" spans="1:6" ht="15" customHeight="1" x14ac:dyDescent="0.2">
      <c r="A83" s="13" t="s">
        <v>116</v>
      </c>
      <c r="B83" s="36">
        <f>B80/(1+'Holdco Summary'!$B$21)^10</f>
        <v>1.9767583144130398</v>
      </c>
      <c r="C83" s="36">
        <f>C80/(1+'Holdco Summary'!$B$21)^10</f>
        <v>5.5396818996512582</v>
      </c>
      <c r="D83" s="36">
        <f>D80/(1+'Holdco Summary'!$B$21)^10</f>
        <v>0.27100652293359351</v>
      </c>
      <c r="E83" s="37">
        <f>E80/(1+'Holdco Summary'!$B$21)^10</f>
        <v>4.1457816437773358</v>
      </c>
      <c r="F83" s="38">
        <f>F80/(1+'Holdco Summary'!$B$21)^10</f>
        <v>2.9369799414053226</v>
      </c>
    </row>
    <row r="84" spans="1:6" ht="15" customHeight="1" x14ac:dyDescent="0.2">
      <c r="A84" s="13" t="s">
        <v>117</v>
      </c>
      <c r="B84" s="36">
        <f>B80/(1+'Holdco Summary'!$B$22)^10</f>
        <v>1.3785868092890046</v>
      </c>
      <c r="C84" s="36">
        <f>C80/(1+'Holdco Summary'!$B$22)^10</f>
        <v>3.8633617164189946</v>
      </c>
      <c r="D84" s="36">
        <f>D80/(1+'Holdco Summary'!$B$22)^10</f>
        <v>0.18899934049776096</v>
      </c>
      <c r="E84" s="37">
        <f>E80/(1+'Holdco Summary'!$B$22)^10</f>
        <v>2.8912588082377568</v>
      </c>
      <c r="F84" s="38">
        <f>F80/(1+'Holdco Summary'!$B$22)^10</f>
        <v>2.0482432155951287</v>
      </c>
    </row>
    <row r="85" spans="1:6" ht="15" customHeight="1" x14ac:dyDescent="0.2">
      <c r="A85" s="33" t="s">
        <v>118</v>
      </c>
      <c r="B85" s="35">
        <f>B80/(1+'Holdco Summary'!$B$23)^10</f>
        <v>1.1567517095811524</v>
      </c>
      <c r="C85" s="35">
        <f>C80/(1+'Holdco Summary'!$B$23)^10</f>
        <v>3.2416894170798525</v>
      </c>
      <c r="D85" s="35">
        <f>D80/(1+'Holdco Summary'!$B$23)^10</f>
        <v>0.15858653858965152</v>
      </c>
      <c r="E85" s="35">
        <f>E80/(1+'Holdco Summary'!$B$23)^10</f>
        <v>2.4260123096604076</v>
      </c>
      <c r="F85" s="35">
        <f>F80/(1+'Holdco Summary'!$B$23)^10</f>
        <v>1.7186504508189908</v>
      </c>
    </row>
    <row r="86" spans="1:6" ht="15" customHeight="1" x14ac:dyDescent="0.2">
      <c r="A86" s="13" t="s">
        <v>119</v>
      </c>
      <c r="B86" s="15">
        <f>(B80/(1+'Holdco Summary'!$B$23)^10)^(1/10)-1</f>
        <v>1.4668119001520319E-2</v>
      </c>
      <c r="C86" s="15">
        <f>(C80/(1+'Holdco Summary'!$B$23)^10)^(1/10)-1</f>
        <v>0.12480474646258988</v>
      </c>
      <c r="D86" s="15">
        <f>(D80/(1+'Holdco Summary'!$B$23)^10)^(1/10)-1</f>
        <v>-0.16818522153882576</v>
      </c>
      <c r="E86" s="39">
        <f>(E80/(1+'Holdco Summary'!$B$23)^10)^(1/10)-1</f>
        <v>9.2670706047536688E-2</v>
      </c>
      <c r="F86" s="40">
        <f>(F80/(1+'Holdco Summary'!$B$23)^10)^(1/10)-1</f>
        <v>5.5647091869014398E-2</v>
      </c>
    </row>
    <row r="87" spans="1:6" ht="15" customHeight="1" x14ac:dyDescent="0.2">
      <c r="A87" s="1"/>
      <c r="B87" s="1"/>
      <c r="C87" s="1"/>
      <c r="D87" s="1"/>
      <c r="E87" s="1"/>
      <c r="F87" s="1"/>
    </row>
    <row r="88" spans="1:6" ht="15" customHeight="1" x14ac:dyDescent="0.2">
      <c r="A88" s="1"/>
      <c r="B88" s="1"/>
      <c r="C88" s="1"/>
      <c r="D88" s="1"/>
      <c r="E88" s="1"/>
      <c r="F88" s="1"/>
    </row>
    <row r="89" spans="1:6" ht="15" customHeight="1" x14ac:dyDescent="0.2">
      <c r="A89" s="11" t="s">
        <v>52</v>
      </c>
      <c r="B89" s="1"/>
      <c r="C89" s="1"/>
      <c r="D89" s="1"/>
      <c r="E89" s="1"/>
      <c r="F89" s="1"/>
    </row>
    <row r="90" spans="1:6" ht="27.75" customHeight="1" x14ac:dyDescent="0.2">
      <c r="A90" s="181" t="s">
        <v>122</v>
      </c>
      <c r="B90" s="177"/>
      <c r="C90" s="177"/>
      <c r="D90" s="177"/>
      <c r="E90" s="177"/>
      <c r="F90" s="177"/>
    </row>
    <row r="91" spans="1:6" ht="27.75" customHeight="1" x14ac:dyDescent="0.2">
      <c r="A91" s="181" t="s">
        <v>123</v>
      </c>
      <c r="B91" s="177"/>
      <c r="C91" s="177"/>
      <c r="D91" s="177"/>
      <c r="E91" s="177"/>
      <c r="F91" s="177"/>
    </row>
    <row r="92" spans="1:6" ht="27.75" customHeight="1" x14ac:dyDescent="0.2">
      <c r="A92" s="181" t="s">
        <v>124</v>
      </c>
      <c r="B92" s="177"/>
      <c r="C92" s="177"/>
      <c r="D92" s="177"/>
      <c r="E92" s="177"/>
      <c r="F92" s="177"/>
    </row>
    <row r="93" spans="1:6" ht="27.75" customHeight="1" x14ac:dyDescent="0.2">
      <c r="A93" s="181" t="s">
        <v>125</v>
      </c>
      <c r="B93" s="177"/>
      <c r="C93" s="177"/>
      <c r="D93" s="177"/>
      <c r="E93" s="177"/>
      <c r="F93" s="177"/>
    </row>
  </sheetData>
  <mergeCells count="9">
    <mergeCell ref="A24:F24"/>
    <mergeCell ref="A11:F11"/>
    <mergeCell ref="A10:F10"/>
    <mergeCell ref="A93:F93"/>
    <mergeCell ref="A90:F90"/>
    <mergeCell ref="A12:F12"/>
    <mergeCell ref="A18:F18"/>
    <mergeCell ref="A92:F92"/>
    <mergeCell ref="A91:F91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  <pageSetUpPr fitToPage="1"/>
  </sheetPr>
  <dimension ref="A1:D56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32" customWidth="1"/>
    <col min="2" max="2" width="26" customWidth="1"/>
    <col min="3" max="3" width="24" customWidth="1"/>
    <col min="4" max="4" width="62" customWidth="1"/>
  </cols>
  <sheetData>
    <row r="1" spans="1:4" ht="18" customHeight="1" x14ac:dyDescent="0.2">
      <c r="A1" s="9" t="s">
        <v>126</v>
      </c>
      <c r="B1" s="1"/>
      <c r="C1" s="1"/>
      <c r="D1" s="1"/>
    </row>
    <row r="2" spans="1:4" ht="15" customHeight="1" x14ac:dyDescent="0.2">
      <c r="A2" s="10" t="s">
        <v>127</v>
      </c>
      <c r="B2" s="1"/>
      <c r="C2" s="1"/>
      <c r="D2" s="1"/>
    </row>
    <row r="3" spans="1:4" ht="15" customHeight="1" x14ac:dyDescent="0.2">
      <c r="A3" s="1"/>
      <c r="B3" s="1"/>
      <c r="C3" s="1"/>
      <c r="D3" s="1"/>
    </row>
    <row r="4" spans="1:4" ht="15" customHeight="1" x14ac:dyDescent="0.2">
      <c r="A4" s="11" t="s">
        <v>128</v>
      </c>
      <c r="B4" s="1"/>
      <c r="C4" s="1"/>
      <c r="D4" s="1"/>
    </row>
    <row r="5" spans="1:4" ht="15" customHeight="1" x14ac:dyDescent="0.2">
      <c r="A5" s="12" t="s">
        <v>129</v>
      </c>
      <c r="B5" s="12" t="s">
        <v>2</v>
      </c>
      <c r="C5" s="12" t="s">
        <v>130</v>
      </c>
      <c r="D5" s="12" t="s">
        <v>131</v>
      </c>
    </row>
    <row r="6" spans="1:4" ht="15" customHeight="1" x14ac:dyDescent="0.2">
      <c r="A6" s="16" t="s">
        <v>132</v>
      </c>
      <c r="B6" s="16" t="s">
        <v>133</v>
      </c>
      <c r="C6" s="41" t="s">
        <v>134</v>
      </c>
      <c r="D6" s="42" t="s">
        <v>135</v>
      </c>
    </row>
    <row r="7" spans="1:4" ht="15" customHeight="1" x14ac:dyDescent="0.2">
      <c r="A7" s="16" t="s">
        <v>136</v>
      </c>
      <c r="B7" s="16" t="s">
        <v>133</v>
      </c>
      <c r="C7" s="41" t="s">
        <v>137</v>
      </c>
      <c r="D7" s="42" t="s">
        <v>138</v>
      </c>
    </row>
    <row r="8" spans="1:4" ht="15" customHeight="1" x14ac:dyDescent="0.2">
      <c r="A8" s="16" t="s">
        <v>139</v>
      </c>
      <c r="B8" s="16" t="s">
        <v>140</v>
      </c>
      <c r="C8" s="41" t="s">
        <v>141</v>
      </c>
      <c r="D8" s="42" t="s">
        <v>142</v>
      </c>
    </row>
    <row r="9" spans="1:4" ht="15" customHeight="1" x14ac:dyDescent="0.2">
      <c r="A9" s="16" t="s">
        <v>143</v>
      </c>
      <c r="B9" s="16" t="s">
        <v>144</v>
      </c>
      <c r="C9" s="41" t="s">
        <v>145</v>
      </c>
      <c r="D9" s="42" t="s">
        <v>146</v>
      </c>
    </row>
    <row r="10" spans="1:4" ht="27.75" customHeight="1" x14ac:dyDescent="0.2">
      <c r="A10" s="16" t="s">
        <v>147</v>
      </c>
      <c r="B10" s="16" t="s">
        <v>148</v>
      </c>
      <c r="C10" s="41" t="s">
        <v>149</v>
      </c>
      <c r="D10" s="42" t="s">
        <v>150</v>
      </c>
    </row>
    <row r="11" spans="1:4" ht="15" customHeight="1" x14ac:dyDescent="0.2">
      <c r="A11" s="16" t="s">
        <v>151</v>
      </c>
      <c r="B11" s="16" t="s">
        <v>152</v>
      </c>
      <c r="C11" s="41" t="s">
        <v>153</v>
      </c>
      <c r="D11" s="42" t="s">
        <v>154</v>
      </c>
    </row>
    <row r="12" spans="1:4" ht="15" customHeight="1" x14ac:dyDescent="0.2">
      <c r="A12" s="16" t="s">
        <v>155</v>
      </c>
      <c r="B12" s="16" t="s">
        <v>156</v>
      </c>
      <c r="C12" s="41" t="s">
        <v>157</v>
      </c>
      <c r="D12" s="42" t="s">
        <v>158</v>
      </c>
    </row>
    <row r="13" spans="1:4" ht="15" customHeight="1" x14ac:dyDescent="0.2">
      <c r="A13" s="16" t="s">
        <v>159</v>
      </c>
      <c r="B13" s="16" t="s">
        <v>160</v>
      </c>
      <c r="C13" s="41" t="s">
        <v>161</v>
      </c>
      <c r="D13" s="42" t="s">
        <v>162</v>
      </c>
    </row>
    <row r="14" spans="1:4" ht="15" customHeight="1" x14ac:dyDescent="0.2">
      <c r="A14" s="16" t="s">
        <v>163</v>
      </c>
      <c r="B14" s="16" t="s">
        <v>160</v>
      </c>
      <c r="C14" s="41" t="s">
        <v>164</v>
      </c>
      <c r="D14" s="42" t="s">
        <v>165</v>
      </c>
    </row>
    <row r="15" spans="1:4" ht="15" customHeight="1" x14ac:dyDescent="0.2">
      <c r="A15" s="16" t="s">
        <v>166</v>
      </c>
      <c r="B15" s="16" t="s">
        <v>167</v>
      </c>
      <c r="C15" s="41" t="s">
        <v>168</v>
      </c>
      <c r="D15" s="42" t="s">
        <v>169</v>
      </c>
    </row>
    <row r="16" spans="1:4" ht="48" customHeight="1" x14ac:dyDescent="0.2">
      <c r="A16" s="179" t="s">
        <v>513</v>
      </c>
      <c r="B16" s="177"/>
      <c r="C16" s="177"/>
      <c r="D16" s="177"/>
    </row>
    <row r="17" spans="1:4" ht="15" customHeight="1" x14ac:dyDescent="0.2">
      <c r="A17" s="1"/>
      <c r="B17" s="1"/>
      <c r="C17" s="1"/>
      <c r="D17" s="1"/>
    </row>
    <row r="18" spans="1:4" ht="15" customHeight="1" x14ac:dyDescent="0.2">
      <c r="A18" s="11" t="s">
        <v>170</v>
      </c>
      <c r="B18" s="1"/>
      <c r="C18" s="1"/>
      <c r="D18" s="1"/>
    </row>
    <row r="19" spans="1:4" ht="27.75" customHeight="1" x14ac:dyDescent="0.2">
      <c r="A19" s="181" t="s">
        <v>171</v>
      </c>
      <c r="B19" s="177"/>
      <c r="C19" s="177"/>
      <c r="D19" s="177"/>
    </row>
    <row r="20" spans="1:4" ht="27.75" customHeight="1" x14ac:dyDescent="0.2">
      <c r="A20" s="181" t="s">
        <v>172</v>
      </c>
      <c r="B20" s="177"/>
      <c r="C20" s="177"/>
      <c r="D20" s="177"/>
    </row>
    <row r="21" spans="1:4" ht="27.75" customHeight="1" x14ac:dyDescent="0.2">
      <c r="A21" s="181" t="s">
        <v>173</v>
      </c>
      <c r="B21" s="177"/>
      <c r="C21" s="177"/>
      <c r="D21" s="177"/>
    </row>
    <row r="22" spans="1:4" ht="15" customHeight="1" x14ac:dyDescent="0.2">
      <c r="A22" s="1"/>
      <c r="B22" s="1"/>
      <c r="C22" s="1"/>
      <c r="D22" s="1"/>
    </row>
    <row r="23" spans="1:4" ht="15" customHeight="1" x14ac:dyDescent="0.2">
      <c r="A23" s="11" t="s">
        <v>174</v>
      </c>
      <c r="B23" s="1"/>
      <c r="C23" s="1"/>
      <c r="D23" s="1"/>
    </row>
    <row r="24" spans="1:4" ht="27.75" customHeight="1" x14ac:dyDescent="0.2">
      <c r="A24" s="181" t="s">
        <v>175</v>
      </c>
      <c r="B24" s="177"/>
      <c r="C24" s="177"/>
      <c r="D24" s="177"/>
    </row>
    <row r="25" spans="1:4" ht="27.75" customHeight="1" x14ac:dyDescent="0.2">
      <c r="A25" s="181" t="s">
        <v>176</v>
      </c>
      <c r="B25" s="177"/>
      <c r="C25" s="177"/>
      <c r="D25" s="177"/>
    </row>
    <row r="26" spans="1:4" ht="27.75" customHeight="1" x14ac:dyDescent="0.2">
      <c r="A26" s="181" t="s">
        <v>177</v>
      </c>
      <c r="B26" s="177"/>
      <c r="C26" s="177"/>
      <c r="D26" s="177"/>
    </row>
    <row r="27" spans="1:4" ht="15" customHeight="1" x14ac:dyDescent="0.2">
      <c r="A27" s="1"/>
      <c r="B27" s="1"/>
      <c r="C27" s="1"/>
      <c r="D27" s="1"/>
    </row>
    <row r="28" spans="1:4" ht="15" customHeight="1" x14ac:dyDescent="0.2">
      <c r="A28" s="11" t="s">
        <v>178</v>
      </c>
      <c r="B28" s="1"/>
      <c r="C28" s="1"/>
      <c r="D28" s="1"/>
    </row>
    <row r="29" spans="1:4" ht="27.75" customHeight="1" x14ac:dyDescent="0.2">
      <c r="A29" s="181" t="s">
        <v>179</v>
      </c>
      <c r="B29" s="177"/>
      <c r="C29" s="177"/>
      <c r="D29" s="177"/>
    </row>
    <row r="30" spans="1:4" ht="40.5" customHeight="1" x14ac:dyDescent="0.2">
      <c r="A30" s="181" t="s">
        <v>180</v>
      </c>
      <c r="B30" s="177"/>
      <c r="C30" s="177"/>
      <c r="D30" s="177"/>
    </row>
    <row r="31" spans="1:4" ht="27.75" customHeight="1" x14ac:dyDescent="0.2">
      <c r="A31" s="181" t="s">
        <v>181</v>
      </c>
      <c r="B31" s="177"/>
      <c r="C31" s="177"/>
      <c r="D31" s="177"/>
    </row>
    <row r="32" spans="1:4" ht="15" customHeight="1" x14ac:dyDescent="0.2">
      <c r="A32" s="1"/>
      <c r="B32" s="1"/>
      <c r="C32" s="1"/>
      <c r="D32" s="1"/>
    </row>
    <row r="33" spans="1:4" ht="15" customHeight="1" x14ac:dyDescent="0.2">
      <c r="A33" s="11" t="s">
        <v>182</v>
      </c>
      <c r="B33" s="1"/>
      <c r="C33" s="1"/>
      <c r="D33" s="1"/>
    </row>
    <row r="34" spans="1:4" ht="27.75" customHeight="1" x14ac:dyDescent="0.2">
      <c r="A34" s="181" t="s">
        <v>183</v>
      </c>
      <c r="B34" s="177"/>
      <c r="C34" s="177"/>
      <c r="D34" s="177"/>
    </row>
    <row r="35" spans="1:4" ht="40.5" customHeight="1" x14ac:dyDescent="0.2">
      <c r="A35" s="181" t="s">
        <v>184</v>
      </c>
      <c r="B35" s="177"/>
      <c r="C35" s="177"/>
      <c r="D35" s="177"/>
    </row>
    <row r="36" spans="1:4" ht="40.5" customHeight="1" x14ac:dyDescent="0.2">
      <c r="A36" s="181" t="s">
        <v>185</v>
      </c>
      <c r="B36" s="177"/>
      <c r="C36" s="177"/>
      <c r="D36" s="177"/>
    </row>
    <row r="37" spans="1:4" ht="27.75" customHeight="1" x14ac:dyDescent="0.2">
      <c r="A37" s="181" t="s">
        <v>186</v>
      </c>
      <c r="B37" s="177"/>
      <c r="C37" s="177"/>
      <c r="D37" s="177"/>
    </row>
    <row r="38" spans="1:4" ht="15" customHeight="1" x14ac:dyDescent="0.2">
      <c r="A38" s="1"/>
      <c r="B38" s="1"/>
      <c r="C38" s="1"/>
      <c r="D38" s="1"/>
    </row>
    <row r="39" spans="1:4" ht="15" customHeight="1" x14ac:dyDescent="0.2">
      <c r="A39" s="11" t="s">
        <v>187</v>
      </c>
      <c r="B39" s="1"/>
      <c r="C39" s="1"/>
      <c r="D39" s="1"/>
    </row>
    <row r="40" spans="1:4" ht="15" customHeight="1" x14ac:dyDescent="0.2">
      <c r="A40" s="12" t="s">
        <v>188</v>
      </c>
      <c r="B40" s="12" t="s">
        <v>30</v>
      </c>
      <c r="C40" s="12" t="s">
        <v>31</v>
      </c>
      <c r="D40" s="12" t="s">
        <v>32</v>
      </c>
    </row>
    <row r="41" spans="1:4" ht="15" customHeight="1" x14ac:dyDescent="0.2">
      <c r="A41" s="16" t="s">
        <v>189</v>
      </c>
      <c r="B41" s="43" t="s">
        <v>190</v>
      </c>
      <c r="C41" s="43" t="s">
        <v>191</v>
      </c>
      <c r="D41" s="41" t="s">
        <v>192</v>
      </c>
    </row>
    <row r="42" spans="1:4" ht="27.75" customHeight="1" x14ac:dyDescent="0.2">
      <c r="A42" s="16" t="s">
        <v>193</v>
      </c>
      <c r="B42" s="43" t="s">
        <v>190</v>
      </c>
      <c r="C42" s="43" t="s">
        <v>191</v>
      </c>
      <c r="D42" s="41" t="s">
        <v>192</v>
      </c>
    </row>
    <row r="43" spans="1:4" ht="27.75" customHeight="1" x14ac:dyDescent="0.2">
      <c r="A43" s="16" t="s">
        <v>194</v>
      </c>
      <c r="B43" s="43" t="s">
        <v>195</v>
      </c>
      <c r="C43" s="43" t="s">
        <v>191</v>
      </c>
      <c r="D43" s="41" t="s">
        <v>192</v>
      </c>
    </row>
    <row r="44" spans="1:4" ht="27.75" customHeight="1" x14ac:dyDescent="0.2">
      <c r="A44" s="16" t="s">
        <v>196</v>
      </c>
      <c r="B44" s="43" t="s">
        <v>191</v>
      </c>
      <c r="C44" s="43" t="s">
        <v>190</v>
      </c>
      <c r="D44" s="44" t="s">
        <v>197</v>
      </c>
    </row>
    <row r="45" spans="1:4" ht="15" customHeight="1" x14ac:dyDescent="0.2">
      <c r="A45" s="16" t="s">
        <v>198</v>
      </c>
      <c r="B45" s="43" t="s">
        <v>199</v>
      </c>
      <c r="C45" s="43" t="s">
        <v>200</v>
      </c>
      <c r="D45" s="44" t="s">
        <v>201</v>
      </c>
    </row>
    <row r="46" spans="1:4" ht="15" customHeight="1" x14ac:dyDescent="0.2">
      <c r="A46" s="16" t="s">
        <v>202</v>
      </c>
      <c r="B46" s="43" t="s">
        <v>191</v>
      </c>
      <c r="C46" s="43" t="s">
        <v>190</v>
      </c>
      <c r="D46" s="41" t="s">
        <v>192</v>
      </c>
    </row>
    <row r="47" spans="1:4" ht="15" customHeight="1" x14ac:dyDescent="0.2">
      <c r="A47" s="16" t="s">
        <v>203</v>
      </c>
      <c r="B47" s="44" t="s">
        <v>204</v>
      </c>
      <c r="C47" s="44" t="s">
        <v>205</v>
      </c>
      <c r="D47" s="44" t="s">
        <v>197</v>
      </c>
    </row>
    <row r="48" spans="1:4" ht="15" customHeight="1" x14ac:dyDescent="0.2">
      <c r="A48" s="16" t="s">
        <v>206</v>
      </c>
      <c r="B48" s="41" t="s">
        <v>207</v>
      </c>
      <c r="C48" s="41" t="s">
        <v>192</v>
      </c>
      <c r="D48" s="44" t="s">
        <v>208</v>
      </c>
    </row>
    <row r="49" spans="1:4" ht="15" customHeight="1" x14ac:dyDescent="0.2">
      <c r="A49" s="16" t="s">
        <v>209</v>
      </c>
      <c r="B49" s="41" t="s">
        <v>192</v>
      </c>
      <c r="C49" s="41" t="s">
        <v>192</v>
      </c>
      <c r="D49" s="43" t="s">
        <v>210</v>
      </c>
    </row>
    <row r="50" spans="1:4" ht="15" customHeight="1" x14ac:dyDescent="0.2">
      <c r="A50" s="1"/>
      <c r="B50" s="1"/>
      <c r="C50" s="1"/>
      <c r="D50" s="1"/>
    </row>
    <row r="51" spans="1:4" ht="15" customHeight="1" x14ac:dyDescent="0.2">
      <c r="A51" s="11" t="s">
        <v>211</v>
      </c>
      <c r="B51" s="1"/>
      <c r="C51" s="1"/>
      <c r="D51" s="1"/>
    </row>
    <row r="52" spans="1:4" ht="27.75" customHeight="1" x14ac:dyDescent="0.2">
      <c r="A52" s="181" t="s">
        <v>212</v>
      </c>
      <c r="B52" s="177"/>
      <c r="C52" s="177"/>
      <c r="D52" s="177"/>
    </row>
    <row r="53" spans="1:4" ht="40.5" customHeight="1" x14ac:dyDescent="0.2">
      <c r="A53" s="181" t="s">
        <v>213</v>
      </c>
      <c r="B53" s="177"/>
      <c r="C53" s="177"/>
      <c r="D53" s="177"/>
    </row>
    <row r="54" spans="1:4" ht="27.75" customHeight="1" x14ac:dyDescent="0.2">
      <c r="A54" s="181" t="s">
        <v>214</v>
      </c>
      <c r="B54" s="177"/>
      <c r="C54" s="177"/>
      <c r="D54" s="177"/>
    </row>
    <row r="55" spans="1:4" ht="15" customHeight="1" x14ac:dyDescent="0.2">
      <c r="A55" s="1"/>
      <c r="B55" s="1"/>
      <c r="C55" s="1"/>
      <c r="D55" s="1"/>
    </row>
    <row r="56" spans="1:4" ht="36.75" customHeight="1" x14ac:dyDescent="0.2">
      <c r="A56" s="179" t="s">
        <v>215</v>
      </c>
      <c r="B56" s="177"/>
      <c r="C56" s="177"/>
      <c r="D56" s="177"/>
    </row>
  </sheetData>
  <mergeCells count="18">
    <mergeCell ref="A19:D19"/>
    <mergeCell ref="A16:D16"/>
    <mergeCell ref="A36:D36"/>
    <mergeCell ref="A20:D20"/>
    <mergeCell ref="A21:D21"/>
    <mergeCell ref="A26:D26"/>
    <mergeCell ref="A30:D30"/>
    <mergeCell ref="A29:D29"/>
    <mergeCell ref="A25:D25"/>
    <mergeCell ref="A24:D24"/>
    <mergeCell ref="A37:D37"/>
    <mergeCell ref="A56:D56"/>
    <mergeCell ref="A31:D31"/>
    <mergeCell ref="A53:D53"/>
    <mergeCell ref="A34:D34"/>
    <mergeCell ref="A35:D35"/>
    <mergeCell ref="A52:D52"/>
    <mergeCell ref="A54:D54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65911"/>
    <pageSetUpPr fitToPage="1"/>
  </sheetPr>
  <dimension ref="A1:J28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30" customWidth="1"/>
    <col min="2" max="2" width="13" customWidth="1"/>
    <col min="3" max="3" width="12" customWidth="1"/>
    <col min="4" max="4" width="11" customWidth="1"/>
    <col min="5" max="5" width="17" customWidth="1"/>
    <col min="6" max="8" width="11" customWidth="1"/>
    <col min="9" max="9" width="12" customWidth="1"/>
    <col min="10" max="10" width="42" customWidth="1"/>
  </cols>
  <sheetData>
    <row r="1" spans="1:10" ht="18" customHeight="1" x14ac:dyDescent="0.2">
      <c r="A1" s="9" t="s">
        <v>216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217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218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">
      <c r="A5" s="25" t="s">
        <v>219</v>
      </c>
      <c r="B5" s="45">
        <f>'Holdco Summary'!$B$6</f>
        <v>250</v>
      </c>
      <c r="C5" s="10" t="s">
        <v>220</v>
      </c>
      <c r="D5" s="1"/>
      <c r="E5" s="1"/>
      <c r="F5" s="1"/>
      <c r="G5" s="1"/>
      <c r="H5" s="1"/>
      <c r="I5" s="1"/>
      <c r="J5" s="1"/>
    </row>
    <row r="6" spans="1:10" ht="15" customHeight="1" x14ac:dyDescent="0.2">
      <c r="A6" s="25" t="s">
        <v>221</v>
      </c>
      <c r="B6" s="14">
        <v>225</v>
      </c>
      <c r="C6" s="10" t="s">
        <v>222</v>
      </c>
      <c r="D6" s="1"/>
      <c r="E6" s="1"/>
      <c r="F6" s="1"/>
      <c r="G6" s="1"/>
      <c r="H6" s="1"/>
      <c r="I6" s="1"/>
      <c r="J6" s="1"/>
    </row>
    <row r="7" spans="1:10" ht="15" customHeight="1" x14ac:dyDescent="0.2">
      <c r="A7" s="25" t="s">
        <v>223</v>
      </c>
      <c r="B7" s="14">
        <v>25</v>
      </c>
      <c r="C7" s="10" t="s">
        <v>224</v>
      </c>
      <c r="D7" s="1"/>
      <c r="E7" s="1"/>
      <c r="F7" s="1"/>
      <c r="G7" s="1"/>
      <c r="H7" s="1"/>
      <c r="I7" s="1"/>
      <c r="J7" s="1"/>
    </row>
    <row r="8" spans="1:10" ht="15" customHeight="1" x14ac:dyDescent="0.2">
      <c r="A8" s="25" t="s">
        <v>225</v>
      </c>
      <c r="B8" s="27">
        <v>0.02</v>
      </c>
      <c r="C8" s="10" t="s">
        <v>226</v>
      </c>
      <c r="D8" s="1"/>
      <c r="E8" s="1"/>
      <c r="F8" s="1"/>
      <c r="G8" s="1"/>
      <c r="H8" s="1"/>
      <c r="I8" s="1"/>
      <c r="J8" s="1"/>
    </row>
    <row r="9" spans="1:10" ht="15" customHeight="1" x14ac:dyDescent="0.2">
      <c r="A9" s="25" t="s">
        <v>227</v>
      </c>
      <c r="B9" s="27">
        <v>0.2</v>
      </c>
      <c r="C9" s="10" t="s">
        <v>228</v>
      </c>
      <c r="D9" s="1"/>
      <c r="E9" s="1"/>
      <c r="F9" s="1"/>
      <c r="G9" s="1"/>
      <c r="H9" s="1"/>
      <c r="I9" s="1"/>
      <c r="J9" s="1"/>
    </row>
    <row r="10" spans="1:10" ht="15" customHeight="1" x14ac:dyDescent="0.2">
      <c r="A10" s="25" t="s">
        <v>229</v>
      </c>
      <c r="B10" s="27">
        <v>0.08</v>
      </c>
      <c r="C10" s="10" t="s">
        <v>230</v>
      </c>
      <c r="D10" s="1"/>
      <c r="E10" s="1"/>
      <c r="F10" s="1"/>
      <c r="G10" s="1"/>
      <c r="H10" s="1"/>
      <c r="I10" s="1"/>
      <c r="J10" s="1"/>
    </row>
    <row r="11" spans="1:10" ht="15" customHeight="1" x14ac:dyDescent="0.2">
      <c r="A11" s="25" t="s">
        <v>231</v>
      </c>
      <c r="B11" s="27">
        <v>0.85</v>
      </c>
      <c r="C11" s="10" t="s">
        <v>232</v>
      </c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25" t="s">
        <v>233</v>
      </c>
      <c r="B12" s="27">
        <v>0.78</v>
      </c>
      <c r="C12" s="10"/>
      <c r="D12" s="1"/>
      <c r="E12" s="1"/>
      <c r="F12" s="1"/>
      <c r="G12" s="1"/>
      <c r="H12" s="1"/>
      <c r="I12" s="1"/>
      <c r="J12" s="1"/>
    </row>
    <row r="13" spans="1:10" ht="15" customHeight="1" x14ac:dyDescent="0.2">
      <c r="A13" s="25" t="s">
        <v>234</v>
      </c>
      <c r="B13" s="27">
        <v>0.68</v>
      </c>
      <c r="C13" s="10"/>
      <c r="D13" s="1"/>
      <c r="E13" s="1"/>
      <c r="F13" s="1"/>
      <c r="G13" s="1"/>
      <c r="H13" s="1"/>
      <c r="I13" s="1"/>
      <c r="J13" s="1"/>
    </row>
    <row r="14" spans="1:10" ht="1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">
      <c r="A16" s="11" t="s">
        <v>235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7.75" customHeight="1" x14ac:dyDescent="0.2">
      <c r="A17" s="12" t="s">
        <v>236</v>
      </c>
      <c r="B17" s="12" t="s">
        <v>237</v>
      </c>
      <c r="C17" s="12" t="s">
        <v>238</v>
      </c>
      <c r="D17" s="12" t="s">
        <v>239</v>
      </c>
      <c r="E17" s="12" t="s">
        <v>240</v>
      </c>
      <c r="F17" s="12" t="s">
        <v>241</v>
      </c>
      <c r="G17" s="12" t="s">
        <v>242</v>
      </c>
      <c r="H17" s="12" t="s">
        <v>243</v>
      </c>
      <c r="I17" s="21" t="s">
        <v>14</v>
      </c>
      <c r="J17" s="12" t="s">
        <v>244</v>
      </c>
    </row>
    <row r="18" spans="1:10" ht="15" customHeight="1" x14ac:dyDescent="0.2">
      <c r="A18" s="13" t="s">
        <v>245</v>
      </c>
      <c r="B18" s="46">
        <v>1050</v>
      </c>
      <c r="C18" s="46">
        <v>80</v>
      </c>
      <c r="D18" s="15">
        <f t="shared" ref="D18:D26" si="0">C18/B18</f>
        <v>7.6190476190476197E-2</v>
      </c>
      <c r="E18" s="16" t="s">
        <v>246</v>
      </c>
      <c r="F18" s="47">
        <v>0.22</v>
      </c>
      <c r="G18" s="47">
        <v>0.34</v>
      </c>
      <c r="H18" s="47">
        <v>-0.18</v>
      </c>
      <c r="I18" s="26">
        <f>'Defense Supercycle'!I24</f>
        <v>0.40799999999999997</v>
      </c>
      <c r="J18" s="42" t="s">
        <v>247</v>
      </c>
    </row>
    <row r="19" spans="1:10" ht="15" customHeight="1" x14ac:dyDescent="0.2">
      <c r="A19" s="13" t="s">
        <v>248</v>
      </c>
      <c r="B19" s="46">
        <v>180</v>
      </c>
      <c r="C19" s="46">
        <v>30</v>
      </c>
      <c r="D19" s="15">
        <f t="shared" si="0"/>
        <v>0.16666666666666666</v>
      </c>
      <c r="E19" s="16" t="s">
        <v>249</v>
      </c>
      <c r="F19" s="47">
        <v>0.14000000000000001</v>
      </c>
      <c r="G19" s="47">
        <v>0.26</v>
      </c>
      <c r="H19" s="47">
        <v>0.03</v>
      </c>
      <c r="I19" s="26">
        <f>'Defense Supercycle'!I25</f>
        <v>0.30400000000000005</v>
      </c>
      <c r="J19" s="42" t="s">
        <v>250</v>
      </c>
    </row>
    <row r="20" spans="1:10" ht="15" customHeight="1" x14ac:dyDescent="0.2">
      <c r="A20" s="13" t="s">
        <v>251</v>
      </c>
      <c r="B20" s="46">
        <v>120</v>
      </c>
      <c r="C20" s="46">
        <v>22.5</v>
      </c>
      <c r="D20" s="15">
        <f t="shared" si="0"/>
        <v>0.1875</v>
      </c>
      <c r="E20" s="16" t="s">
        <v>249</v>
      </c>
      <c r="F20" s="47">
        <v>0.26</v>
      </c>
      <c r="G20" s="47">
        <v>0.38</v>
      </c>
      <c r="H20" s="47">
        <v>-0.1</v>
      </c>
      <c r="I20" s="26">
        <f>'Defense Supercycle'!I26</f>
        <v>0.41600000000000004</v>
      </c>
      <c r="J20" s="42" t="s">
        <v>252</v>
      </c>
    </row>
    <row r="21" spans="1:10" ht="15" customHeight="1" x14ac:dyDescent="0.2">
      <c r="A21" s="13" t="s">
        <v>253</v>
      </c>
      <c r="B21" s="46">
        <v>350</v>
      </c>
      <c r="C21" s="46">
        <v>30.5</v>
      </c>
      <c r="D21" s="15">
        <f t="shared" si="0"/>
        <v>8.7142857142857147E-2</v>
      </c>
      <c r="E21" s="16" t="s">
        <v>249</v>
      </c>
      <c r="F21" s="47">
        <v>0.24</v>
      </c>
      <c r="G21" s="47">
        <v>0.36</v>
      </c>
      <c r="H21" s="47">
        <v>-0.08</v>
      </c>
      <c r="I21" s="26">
        <f>'Defense Supercycle'!I27</f>
        <v>0.26399999999999996</v>
      </c>
      <c r="J21" s="42" t="s">
        <v>254</v>
      </c>
    </row>
    <row r="22" spans="1:10" ht="15" customHeight="1" x14ac:dyDescent="0.2">
      <c r="A22" s="13" t="s">
        <v>255</v>
      </c>
      <c r="B22" s="46">
        <v>700</v>
      </c>
      <c r="C22" s="46">
        <v>31.5</v>
      </c>
      <c r="D22" s="15">
        <f t="shared" si="0"/>
        <v>4.4999999999999998E-2</v>
      </c>
      <c r="E22" s="16" t="s">
        <v>256</v>
      </c>
      <c r="F22" s="47">
        <v>0.16</v>
      </c>
      <c r="G22" s="47">
        <v>0.28000000000000003</v>
      </c>
      <c r="H22" s="47">
        <v>-0.02</v>
      </c>
      <c r="I22" s="26">
        <f>'Defense Supercycle'!I28</f>
        <v>0.22</v>
      </c>
      <c r="J22" s="42" t="s">
        <v>257</v>
      </c>
    </row>
    <row r="23" spans="1:10" ht="15" customHeight="1" x14ac:dyDescent="0.2">
      <c r="A23" s="13" t="s">
        <v>258</v>
      </c>
      <c r="B23" s="46">
        <v>3000</v>
      </c>
      <c r="C23" s="46">
        <v>25</v>
      </c>
      <c r="D23" s="15">
        <f t="shared" si="0"/>
        <v>8.3333333333333332E-3</v>
      </c>
      <c r="E23" s="16" t="s">
        <v>259</v>
      </c>
      <c r="F23" s="47">
        <v>0.15</v>
      </c>
      <c r="G23" s="47">
        <v>0.27</v>
      </c>
      <c r="H23" s="47">
        <v>-0.1</v>
      </c>
      <c r="I23" s="26">
        <f>'Defense Supercycle'!I29</f>
        <v>0.22200000000000003</v>
      </c>
      <c r="J23" s="42" t="s">
        <v>260</v>
      </c>
    </row>
    <row r="24" spans="1:10" ht="15" customHeight="1" x14ac:dyDescent="0.2">
      <c r="A24" s="13" t="s">
        <v>261</v>
      </c>
      <c r="B24" s="46">
        <v>150</v>
      </c>
      <c r="C24" s="46">
        <v>14</v>
      </c>
      <c r="D24" s="15">
        <f t="shared" si="0"/>
        <v>9.3333333333333338E-2</v>
      </c>
      <c r="E24" s="16" t="s">
        <v>262</v>
      </c>
      <c r="F24" s="47">
        <v>0.3</v>
      </c>
      <c r="G24" s="47">
        <v>0.42</v>
      </c>
      <c r="H24" s="47">
        <v>-0.22</v>
      </c>
      <c r="I24" s="26">
        <f>'Defense Supercycle'!I30</f>
        <v>0.38400000000000001</v>
      </c>
      <c r="J24" s="42" t="s">
        <v>263</v>
      </c>
    </row>
    <row r="25" spans="1:10" ht="15" customHeight="1" x14ac:dyDescent="0.2">
      <c r="A25" s="13" t="s">
        <v>264</v>
      </c>
      <c r="B25" s="46">
        <v>65</v>
      </c>
      <c r="C25" s="46">
        <v>10</v>
      </c>
      <c r="D25" s="15">
        <f t="shared" si="0"/>
        <v>0.15384615384615385</v>
      </c>
      <c r="E25" s="16" t="s">
        <v>265</v>
      </c>
      <c r="F25" s="47">
        <v>0.32</v>
      </c>
      <c r="G25" s="47">
        <v>0.44</v>
      </c>
      <c r="H25" s="47">
        <v>-0.28000000000000003</v>
      </c>
      <c r="I25" s="26">
        <f>'Defense Supercycle'!I31</f>
        <v>0.39600000000000002</v>
      </c>
      <c r="J25" s="42" t="s">
        <v>266</v>
      </c>
    </row>
    <row r="26" spans="1:10" ht="15" customHeight="1" x14ac:dyDescent="0.2">
      <c r="A26" s="13" t="s">
        <v>267</v>
      </c>
      <c r="B26" s="46">
        <v>50</v>
      </c>
      <c r="C26" s="46">
        <v>6.5</v>
      </c>
      <c r="D26" s="15">
        <f t="shared" si="0"/>
        <v>0.13</v>
      </c>
      <c r="E26" s="16" t="s">
        <v>265</v>
      </c>
      <c r="F26" s="47">
        <v>0.28000000000000003</v>
      </c>
      <c r="G26" s="47">
        <v>0.4</v>
      </c>
      <c r="H26" s="47">
        <v>-0.25</v>
      </c>
      <c r="I26" s="26">
        <f>'Defense Supercycle'!I32</f>
        <v>0.21600000000000003</v>
      </c>
      <c r="J26" s="42" t="s">
        <v>268</v>
      </c>
    </row>
    <row r="27" spans="1:10" ht="15" customHeight="1" x14ac:dyDescent="0.2">
      <c r="A27" s="18" t="s">
        <v>269</v>
      </c>
      <c r="B27" s="48"/>
      <c r="C27" s="49">
        <f>SUM(C18:C26)</f>
        <v>250</v>
      </c>
      <c r="D27" s="1"/>
      <c r="E27" s="1"/>
      <c r="F27" s="1"/>
      <c r="G27" s="1"/>
      <c r="H27" s="1"/>
      <c r="I27" s="1"/>
      <c r="J27" s="1"/>
    </row>
    <row r="28" spans="1:10" ht="15" customHeight="1" x14ac:dyDescent="0.2">
      <c r="A28" s="10" t="str">
        <f>"Check: deployed capital (C27) "&amp;TEXT(C27,"$#,##0")&amp;"M vs committed (B5) "&amp;TEXT(B5,"$#,##0")&amp;"M — "&amp;IF(ABS(C27-B5)&lt;0.5,"OK","MISMATCH")</f>
        <v>Check: deployed capital (C27) $250M vs committed (B5) $250M — OK</v>
      </c>
      <c r="B28" s="1"/>
      <c r="C28" s="1"/>
      <c r="D28" s="1"/>
      <c r="E28" s="1"/>
      <c r="F28" s="1"/>
      <c r="G28" s="1"/>
      <c r="H28" s="1"/>
      <c r="I28" s="1"/>
      <c r="J28" s="1"/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5911"/>
    <pageSetUpPr fitToPage="1"/>
  </sheetPr>
  <dimension ref="A1:J47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34" customWidth="1"/>
    <col min="2" max="10" width="12" customWidth="1"/>
    <col min="11" max="11" width="2" customWidth="1"/>
    <col min="12" max="12" width="40" customWidth="1"/>
  </cols>
  <sheetData>
    <row r="1" spans="1:10" ht="18" customHeight="1" x14ac:dyDescent="0.2">
      <c r="A1" s="9" t="s">
        <v>270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271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272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">
      <c r="A5" s="25" t="s">
        <v>273</v>
      </c>
      <c r="B5" s="27">
        <v>0.25</v>
      </c>
      <c r="C5" s="10" t="s">
        <v>274</v>
      </c>
      <c r="D5" s="1"/>
      <c r="E5" s="1"/>
      <c r="F5" s="1"/>
      <c r="G5" s="1"/>
      <c r="H5" s="1"/>
      <c r="I5" s="1"/>
      <c r="J5" s="1"/>
    </row>
    <row r="6" spans="1:10" ht="15" customHeight="1" x14ac:dyDescent="0.2">
      <c r="A6" s="25" t="s">
        <v>275</v>
      </c>
      <c r="B6" s="27">
        <v>0.3</v>
      </c>
      <c r="C6" s="10" t="s">
        <v>276</v>
      </c>
      <c r="D6" s="1"/>
      <c r="E6" s="1"/>
      <c r="F6" s="1"/>
      <c r="G6" s="1"/>
      <c r="H6" s="1"/>
      <c r="I6" s="1"/>
      <c r="J6" s="1"/>
    </row>
    <row r="7" spans="1:10" ht="15" customHeight="1" x14ac:dyDescent="0.2">
      <c r="A7" s="25" t="s">
        <v>277</v>
      </c>
      <c r="B7" s="27">
        <v>0.15</v>
      </c>
      <c r="C7" s="10" t="s">
        <v>278</v>
      </c>
      <c r="D7" s="1"/>
      <c r="E7" s="1"/>
      <c r="F7" s="1"/>
      <c r="G7" s="1"/>
      <c r="H7" s="1"/>
      <c r="I7" s="1"/>
      <c r="J7" s="1"/>
    </row>
    <row r="8" spans="1:10" ht="15" customHeight="1" x14ac:dyDescent="0.2">
      <c r="A8" s="25" t="s">
        <v>279</v>
      </c>
      <c r="B8" s="27">
        <v>0.15</v>
      </c>
      <c r="C8" s="10" t="s">
        <v>280</v>
      </c>
      <c r="D8" s="1"/>
      <c r="E8" s="1"/>
      <c r="F8" s="1"/>
      <c r="G8" s="1"/>
      <c r="H8" s="1"/>
      <c r="I8" s="1"/>
      <c r="J8" s="1"/>
    </row>
    <row r="9" spans="1:10" ht="15" customHeight="1" x14ac:dyDescent="0.2">
      <c r="A9" s="25" t="s">
        <v>281</v>
      </c>
      <c r="B9" s="27">
        <v>0.15</v>
      </c>
      <c r="C9" s="10" t="s">
        <v>282</v>
      </c>
      <c r="D9" s="1"/>
      <c r="E9" s="1"/>
      <c r="F9" s="1"/>
      <c r="G9" s="1"/>
      <c r="H9" s="1"/>
      <c r="I9" s="1"/>
      <c r="J9" s="1"/>
    </row>
    <row r="10" spans="1:10" ht="15" customHeight="1" x14ac:dyDescent="0.2">
      <c r="A10" s="18" t="s">
        <v>283</v>
      </c>
      <c r="B10" s="20">
        <f>SUM(B5:B9)</f>
        <v>1</v>
      </c>
      <c r="C10" s="1"/>
      <c r="D10" s="1"/>
      <c r="E10" s="1"/>
      <c r="F10" s="1"/>
      <c r="G10" s="1"/>
      <c r="H10" s="1"/>
      <c r="I10" s="1"/>
      <c r="J10" s="1"/>
    </row>
    <row r="11" spans="1:10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11" t="s">
        <v>284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">
      <c r="A13" s="25" t="s">
        <v>285</v>
      </c>
      <c r="B13" s="50">
        <v>2.5</v>
      </c>
      <c r="C13" s="10" t="s">
        <v>286</v>
      </c>
      <c r="D13" s="1"/>
      <c r="E13" s="1"/>
      <c r="F13" s="1"/>
      <c r="G13" s="1"/>
      <c r="H13" s="1"/>
      <c r="I13" s="1"/>
      <c r="J13" s="1"/>
    </row>
    <row r="14" spans="1:10" ht="15" customHeight="1" x14ac:dyDescent="0.2">
      <c r="A14" s="25" t="s">
        <v>287</v>
      </c>
      <c r="B14" s="27">
        <v>0.08</v>
      </c>
      <c r="C14" s="10" t="s">
        <v>288</v>
      </c>
      <c r="D14" s="1"/>
      <c r="E14" s="1"/>
      <c r="F14" s="1"/>
      <c r="G14" s="1"/>
      <c r="H14" s="1"/>
      <c r="I14" s="1"/>
      <c r="J14" s="1"/>
    </row>
    <row r="15" spans="1:10" ht="1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">
      <c r="A16" s="11" t="s">
        <v>289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" customHeight="1" x14ac:dyDescent="0.2">
      <c r="A17" s="25" t="s">
        <v>11</v>
      </c>
      <c r="B17" s="27">
        <v>0.45</v>
      </c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">
      <c r="A18" s="25" t="s">
        <v>12</v>
      </c>
      <c r="B18" s="27">
        <v>0.25</v>
      </c>
      <c r="C18" s="1"/>
      <c r="D18" s="1"/>
      <c r="E18" s="1"/>
      <c r="F18" s="1"/>
      <c r="G18" s="1"/>
      <c r="H18" s="1"/>
      <c r="I18" s="1"/>
      <c r="J18" s="1"/>
    </row>
    <row r="19" spans="1:10" ht="15" customHeight="1" x14ac:dyDescent="0.2">
      <c r="A19" s="25" t="s">
        <v>13</v>
      </c>
      <c r="B19" s="27">
        <v>0.15</v>
      </c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2">
      <c r="A20" s="25" t="s">
        <v>14</v>
      </c>
      <c r="B20" s="27">
        <v>0.15</v>
      </c>
      <c r="C20" s="1"/>
      <c r="D20" s="1"/>
      <c r="E20" s="1"/>
      <c r="F20" s="1"/>
      <c r="G20" s="1"/>
      <c r="H20" s="1"/>
      <c r="I20" s="1"/>
      <c r="J20" s="1"/>
    </row>
    <row r="21" spans="1:10" ht="15" customHeight="1" x14ac:dyDescent="0.2">
      <c r="A21" s="18" t="s">
        <v>283</v>
      </c>
      <c r="B21" s="20">
        <f>SUM(B17:B20)</f>
        <v>1</v>
      </c>
      <c r="C21" s="1"/>
      <c r="D21" s="1"/>
      <c r="E21" s="1"/>
      <c r="F21" s="1"/>
      <c r="G21" s="1"/>
      <c r="H21" s="1"/>
      <c r="I21" s="1"/>
      <c r="J21" s="1"/>
    </row>
    <row r="22" spans="1:10" ht="30" customHeight="1" x14ac:dyDescent="0.2">
      <c r="A22" s="11" t="s">
        <v>290</v>
      </c>
      <c r="B22" s="22"/>
      <c r="C22" s="22"/>
      <c r="D22" s="22"/>
      <c r="E22" s="22"/>
      <c r="F22" s="22"/>
      <c r="G22" s="22"/>
      <c r="H22" s="22"/>
      <c r="I22" s="22"/>
      <c r="J22" s="1"/>
    </row>
    <row r="23" spans="1:10" ht="27.75" customHeight="1" x14ac:dyDescent="0.2">
      <c r="A23" s="12" t="s">
        <v>236</v>
      </c>
      <c r="B23" s="12" t="s">
        <v>291</v>
      </c>
      <c r="C23" s="12" t="s">
        <v>292</v>
      </c>
      <c r="D23" s="12" t="s">
        <v>293</v>
      </c>
      <c r="E23" s="12" t="s">
        <v>294</v>
      </c>
      <c r="F23" s="12" t="s">
        <v>295</v>
      </c>
      <c r="G23" s="12" t="s">
        <v>296</v>
      </c>
      <c r="H23" s="12" t="s">
        <v>297</v>
      </c>
      <c r="I23" s="12" t="s">
        <v>298</v>
      </c>
      <c r="J23" s="1"/>
    </row>
    <row r="24" spans="1:10" ht="15" customHeight="1" x14ac:dyDescent="0.2">
      <c r="A24" s="13" t="s">
        <v>245</v>
      </c>
      <c r="B24" s="51">
        <v>5</v>
      </c>
      <c r="C24" s="51">
        <v>5</v>
      </c>
      <c r="D24" s="51">
        <v>4</v>
      </c>
      <c r="E24" s="51">
        <v>5</v>
      </c>
      <c r="F24" s="51">
        <v>5</v>
      </c>
      <c r="G24" s="52">
        <f>B24*'Defense Supercycle'!$B$5+C24*'Defense Supercycle'!$B$6+D24*'Defense Supercycle'!$B$7+E24*'Defense Supercycle'!$B$8+F24*'Defense Supercycle'!$B$9</f>
        <v>4.8499999999999996</v>
      </c>
      <c r="H24" s="15">
        <f>(G24-'Defense Supercycle'!$B$13)*'Defense Supercycle'!$B$14</f>
        <v>0.18799999999999997</v>
      </c>
      <c r="I24" s="39">
        <f>Assumptions!F18+H24</f>
        <v>0.40799999999999997</v>
      </c>
      <c r="J24" s="1"/>
    </row>
    <row r="25" spans="1:10" ht="15" customHeight="1" x14ac:dyDescent="0.2">
      <c r="A25" s="13" t="s">
        <v>248</v>
      </c>
      <c r="B25" s="51">
        <v>5</v>
      </c>
      <c r="C25" s="51">
        <v>4</v>
      </c>
      <c r="D25" s="51">
        <v>4</v>
      </c>
      <c r="E25" s="51">
        <v>5</v>
      </c>
      <c r="F25" s="51">
        <v>5</v>
      </c>
      <c r="G25" s="52">
        <f>B25*'Defense Supercycle'!$B$5+C25*'Defense Supercycle'!$B$6+D25*'Defense Supercycle'!$B$7+E25*'Defense Supercycle'!$B$8+F25*'Defense Supercycle'!$B$9</f>
        <v>4.5500000000000007</v>
      </c>
      <c r="H25" s="15">
        <f>(G25-'Defense Supercycle'!$B$13)*'Defense Supercycle'!$B$14</f>
        <v>0.16400000000000006</v>
      </c>
      <c r="I25" s="39">
        <f>Assumptions!F19+H25</f>
        <v>0.30400000000000005</v>
      </c>
      <c r="J25" s="1"/>
    </row>
    <row r="26" spans="1:10" ht="15" customHeight="1" x14ac:dyDescent="0.2">
      <c r="A26" s="13" t="s">
        <v>251</v>
      </c>
      <c r="B26" s="51">
        <v>4</v>
      </c>
      <c r="C26" s="51">
        <v>5</v>
      </c>
      <c r="D26" s="51">
        <v>4</v>
      </c>
      <c r="E26" s="51">
        <v>5</v>
      </c>
      <c r="F26" s="51">
        <v>4</v>
      </c>
      <c r="G26" s="52">
        <f>B26*'Defense Supercycle'!$B$5+C26*'Defense Supercycle'!$B$6+D26*'Defense Supercycle'!$B$7+E26*'Defense Supercycle'!$B$8+F26*'Defense Supercycle'!$B$9</f>
        <v>4.45</v>
      </c>
      <c r="H26" s="15">
        <f>(G26-'Defense Supercycle'!$B$13)*'Defense Supercycle'!$B$14</f>
        <v>0.15600000000000003</v>
      </c>
      <c r="I26" s="39">
        <f>Assumptions!F20+H26</f>
        <v>0.41600000000000004</v>
      </c>
      <c r="J26" s="1"/>
    </row>
    <row r="27" spans="1:10" ht="15" customHeight="1" x14ac:dyDescent="0.2">
      <c r="A27" s="13" t="s">
        <v>253</v>
      </c>
      <c r="B27" s="51">
        <v>4</v>
      </c>
      <c r="C27" s="51">
        <v>2</v>
      </c>
      <c r="D27" s="51">
        <v>4</v>
      </c>
      <c r="E27" s="51">
        <v>2</v>
      </c>
      <c r="F27" s="51">
        <v>2</v>
      </c>
      <c r="G27" s="52">
        <f>B27*'Defense Supercycle'!$B$5+C27*'Defense Supercycle'!$B$6+D27*'Defense Supercycle'!$B$7+E27*'Defense Supercycle'!$B$8+F27*'Defense Supercycle'!$B$9</f>
        <v>2.8</v>
      </c>
      <c r="H27" s="15">
        <f>(G27-'Defense Supercycle'!$B$13)*'Defense Supercycle'!$B$14</f>
        <v>2.3999999999999987E-2</v>
      </c>
      <c r="I27" s="39">
        <f>Assumptions!F21+H27</f>
        <v>0.26399999999999996</v>
      </c>
      <c r="J27" s="1"/>
    </row>
    <row r="28" spans="1:10" ht="15" customHeight="1" x14ac:dyDescent="0.2">
      <c r="A28" s="13" t="s">
        <v>255</v>
      </c>
      <c r="B28" s="51">
        <v>4</v>
      </c>
      <c r="C28" s="51">
        <v>2</v>
      </c>
      <c r="D28" s="51">
        <v>4</v>
      </c>
      <c r="E28" s="51">
        <v>5</v>
      </c>
      <c r="F28" s="51">
        <v>2</v>
      </c>
      <c r="G28" s="52">
        <f>B28*'Defense Supercycle'!$B$5+C28*'Defense Supercycle'!$B$6+D28*'Defense Supercycle'!$B$7+E28*'Defense Supercycle'!$B$8+F28*'Defense Supercycle'!$B$9</f>
        <v>3.25</v>
      </c>
      <c r="H28" s="15">
        <f>(G28-'Defense Supercycle'!$B$13)*'Defense Supercycle'!$B$14</f>
        <v>0.06</v>
      </c>
      <c r="I28" s="39">
        <f>Assumptions!F22+H28</f>
        <v>0.22</v>
      </c>
      <c r="J28" s="1"/>
    </row>
    <row r="29" spans="1:10" ht="15" customHeight="1" x14ac:dyDescent="0.2">
      <c r="A29" s="13" t="s">
        <v>258</v>
      </c>
      <c r="B29" s="51">
        <v>4</v>
      </c>
      <c r="C29" s="51">
        <v>2</v>
      </c>
      <c r="D29" s="51">
        <v>4</v>
      </c>
      <c r="E29" s="51">
        <v>5</v>
      </c>
      <c r="F29" s="51">
        <v>3</v>
      </c>
      <c r="G29" s="52">
        <f>B29*'Defense Supercycle'!$B$5+C29*'Defense Supercycle'!$B$6+D29*'Defense Supercycle'!$B$7+E29*'Defense Supercycle'!$B$8+F29*'Defense Supercycle'!$B$9</f>
        <v>3.4000000000000004</v>
      </c>
      <c r="H29" s="15">
        <f>(G29-'Defense Supercycle'!$B$13)*'Defense Supercycle'!$B$14</f>
        <v>7.2000000000000036E-2</v>
      </c>
      <c r="I29" s="39">
        <f>Assumptions!F23+H29</f>
        <v>0.22200000000000003</v>
      </c>
      <c r="J29" s="1"/>
    </row>
    <row r="30" spans="1:10" ht="15" customHeight="1" x14ac:dyDescent="0.2">
      <c r="A30" s="13" t="s">
        <v>261</v>
      </c>
      <c r="B30" s="51">
        <v>4</v>
      </c>
      <c r="C30" s="51">
        <v>4</v>
      </c>
      <c r="D30" s="51">
        <v>4</v>
      </c>
      <c r="E30" s="51">
        <v>2</v>
      </c>
      <c r="F30" s="51">
        <v>3</v>
      </c>
      <c r="G30" s="52">
        <f>B30*'Defense Supercycle'!$B$5+C30*'Defense Supercycle'!$B$6+D30*'Defense Supercycle'!$B$7+E30*'Defense Supercycle'!$B$8+F30*'Defense Supercycle'!$B$9</f>
        <v>3.55</v>
      </c>
      <c r="H30" s="15">
        <f>(G30-'Defense Supercycle'!$B$13)*'Defense Supercycle'!$B$14</f>
        <v>8.3999999999999991E-2</v>
      </c>
      <c r="I30" s="39">
        <f>Assumptions!F24+H30</f>
        <v>0.38400000000000001</v>
      </c>
      <c r="J30" s="1"/>
    </row>
    <row r="31" spans="1:10" ht="15" customHeight="1" x14ac:dyDescent="0.2">
      <c r="A31" s="13" t="s">
        <v>264</v>
      </c>
      <c r="B31" s="51">
        <v>3</v>
      </c>
      <c r="C31" s="51">
        <v>3</v>
      </c>
      <c r="D31" s="51">
        <v>4</v>
      </c>
      <c r="E31" s="51">
        <v>5</v>
      </c>
      <c r="F31" s="51">
        <v>3</v>
      </c>
      <c r="G31" s="52">
        <f>B31*'Defense Supercycle'!$B$5+C31*'Defense Supercycle'!$B$6+D31*'Defense Supercycle'!$B$7+E31*'Defense Supercycle'!$B$8+F31*'Defense Supercycle'!$B$9</f>
        <v>3.45</v>
      </c>
      <c r="H31" s="15">
        <f>(G31-'Defense Supercycle'!$B$13)*'Defense Supercycle'!$B$14</f>
        <v>7.6000000000000012E-2</v>
      </c>
      <c r="I31" s="39">
        <f>Assumptions!F25+H31</f>
        <v>0.39600000000000002</v>
      </c>
      <c r="J31" s="1"/>
    </row>
    <row r="32" spans="1:10" ht="15" customHeight="1" x14ac:dyDescent="0.2">
      <c r="A32" s="13" t="s">
        <v>267</v>
      </c>
      <c r="B32" s="51">
        <v>2</v>
      </c>
      <c r="C32" s="51">
        <v>1</v>
      </c>
      <c r="D32" s="51">
        <v>3</v>
      </c>
      <c r="E32" s="51">
        <v>2</v>
      </c>
      <c r="F32" s="51">
        <v>1</v>
      </c>
      <c r="G32" s="52">
        <f>B32*'Defense Supercycle'!$B$5+C32*'Defense Supercycle'!$B$6+D32*'Defense Supercycle'!$B$7+E32*'Defense Supercycle'!$B$8+F32*'Defense Supercycle'!$B$9</f>
        <v>1.7</v>
      </c>
      <c r="H32" s="15">
        <f>(G32-'Defense Supercycle'!$B$13)*'Defense Supercycle'!$B$14</f>
        <v>-6.4000000000000001E-2</v>
      </c>
      <c r="I32" s="39">
        <f>Assumptions!F26+H32</f>
        <v>0.21600000000000003</v>
      </c>
      <c r="J32" s="1"/>
    </row>
    <row r="33" spans="1:10" ht="15" customHeight="1" x14ac:dyDescent="0.2">
      <c r="A33" s="53" t="s">
        <v>299</v>
      </c>
      <c r="B33" s="1"/>
      <c r="C33" s="1"/>
      <c r="D33" s="1"/>
      <c r="E33" s="1"/>
      <c r="F33" s="1"/>
      <c r="G33" s="54">
        <f>AVERAGE(G24:G32)</f>
        <v>3.5555555555555562</v>
      </c>
      <c r="H33" s="1"/>
      <c r="I33" s="1"/>
      <c r="J33" s="1"/>
    </row>
    <row r="34" spans="1:10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 x14ac:dyDescent="0.2">
      <c r="A35" s="11" t="s">
        <v>300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27.75" customHeight="1" x14ac:dyDescent="0.2">
      <c r="A36" s="181" t="s">
        <v>301</v>
      </c>
      <c r="B36" s="177"/>
      <c r="C36" s="177"/>
      <c r="D36" s="177"/>
      <c r="E36" s="177"/>
      <c r="F36" s="177"/>
      <c r="G36" s="177"/>
      <c r="H36" s="177"/>
      <c r="I36" s="177"/>
      <c r="J36" s="177"/>
    </row>
    <row r="37" spans="1:10" ht="40.5" customHeight="1" x14ac:dyDescent="0.2">
      <c r="A37" s="181" t="s">
        <v>302</v>
      </c>
      <c r="B37" s="177"/>
      <c r="C37" s="177"/>
      <c r="D37" s="177"/>
      <c r="E37" s="177"/>
      <c r="F37" s="177"/>
      <c r="G37" s="177"/>
      <c r="H37" s="177"/>
      <c r="I37" s="177"/>
      <c r="J37" s="177"/>
    </row>
    <row r="38" spans="1:10" ht="27.75" customHeight="1" x14ac:dyDescent="0.2">
      <c r="A38" s="181" t="s">
        <v>303</v>
      </c>
      <c r="B38" s="177"/>
      <c r="C38" s="177"/>
      <c r="D38" s="177"/>
      <c r="E38" s="177"/>
      <c r="F38" s="177"/>
      <c r="G38" s="177"/>
      <c r="H38" s="177"/>
      <c r="I38" s="177"/>
      <c r="J38" s="177"/>
    </row>
    <row r="39" spans="1:10" ht="27.75" customHeight="1" x14ac:dyDescent="0.2">
      <c r="A39" s="181" t="s">
        <v>304</v>
      </c>
      <c r="B39" s="177"/>
      <c r="C39" s="177"/>
      <c r="D39" s="177"/>
      <c r="E39" s="177"/>
      <c r="F39" s="177"/>
      <c r="G39" s="177"/>
      <c r="H39" s="177"/>
      <c r="I39" s="177"/>
      <c r="J39" s="177"/>
    </row>
    <row r="40" spans="1:10" ht="27.75" customHeight="1" x14ac:dyDescent="0.2">
      <c r="A40" s="181" t="s">
        <v>305</v>
      </c>
      <c r="B40" s="177"/>
      <c r="C40" s="177"/>
      <c r="D40" s="177"/>
      <c r="E40" s="177"/>
      <c r="F40" s="177"/>
      <c r="G40" s="177"/>
      <c r="H40" s="177"/>
      <c r="I40" s="177"/>
      <c r="J40" s="177"/>
    </row>
    <row r="41" spans="1:10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customHeight="1" x14ac:dyDescent="0.2">
      <c r="A42" s="11" t="s">
        <v>306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5" customHeight="1" x14ac:dyDescent="0.2">
      <c r="A43" s="12" t="s">
        <v>307</v>
      </c>
      <c r="B43" s="186" t="s">
        <v>308</v>
      </c>
      <c r="C43" s="185"/>
      <c r="D43" s="186" t="s">
        <v>309</v>
      </c>
      <c r="E43" s="184"/>
      <c r="F43" s="184"/>
      <c r="G43" s="184"/>
      <c r="H43" s="184"/>
      <c r="I43" s="184"/>
      <c r="J43" s="185"/>
    </row>
    <row r="44" spans="1:10" ht="40.5" customHeight="1" x14ac:dyDescent="0.2">
      <c r="A44" s="55" t="s">
        <v>310</v>
      </c>
      <c r="B44" s="183" t="s">
        <v>311</v>
      </c>
      <c r="C44" s="185"/>
      <c r="D44" s="183" t="s">
        <v>312</v>
      </c>
      <c r="E44" s="184"/>
      <c r="F44" s="184"/>
      <c r="G44" s="184"/>
      <c r="H44" s="184"/>
      <c r="I44" s="184"/>
      <c r="J44" s="185"/>
    </row>
    <row r="45" spans="1:10" ht="53.25" customHeight="1" x14ac:dyDescent="0.2">
      <c r="A45" s="55" t="s">
        <v>313</v>
      </c>
      <c r="B45" s="183" t="s">
        <v>314</v>
      </c>
      <c r="C45" s="185"/>
      <c r="D45" s="183" t="s">
        <v>315</v>
      </c>
      <c r="E45" s="184"/>
      <c r="F45" s="184"/>
      <c r="G45" s="184"/>
      <c r="H45" s="184"/>
      <c r="I45" s="184"/>
      <c r="J45" s="185"/>
    </row>
    <row r="46" spans="1:10" ht="40.5" customHeight="1" x14ac:dyDescent="0.2">
      <c r="A46" s="55" t="s">
        <v>316</v>
      </c>
      <c r="B46" s="183" t="s">
        <v>317</v>
      </c>
      <c r="C46" s="185"/>
      <c r="D46" s="183" t="s">
        <v>318</v>
      </c>
      <c r="E46" s="184"/>
      <c r="F46" s="184"/>
      <c r="G46" s="184"/>
      <c r="H46" s="184"/>
      <c r="I46" s="184"/>
      <c r="J46" s="185"/>
    </row>
    <row r="47" spans="1:10" ht="36.75" customHeight="1" x14ac:dyDescent="0.2">
      <c r="A47" s="182" t="s">
        <v>319</v>
      </c>
      <c r="B47" s="177"/>
      <c r="C47" s="177"/>
      <c r="D47" s="177"/>
      <c r="E47" s="177"/>
      <c r="F47" s="177"/>
      <c r="G47" s="177"/>
      <c r="H47" s="177"/>
      <c r="I47" s="177"/>
      <c r="J47" s="177"/>
    </row>
  </sheetData>
  <mergeCells count="14">
    <mergeCell ref="A47:J47"/>
    <mergeCell ref="D46:J46"/>
    <mergeCell ref="A37:J37"/>
    <mergeCell ref="B44:C44"/>
    <mergeCell ref="A36:J36"/>
    <mergeCell ref="A40:J40"/>
    <mergeCell ref="D44:J44"/>
    <mergeCell ref="D45:J45"/>
    <mergeCell ref="B45:C45"/>
    <mergeCell ref="A39:J39"/>
    <mergeCell ref="B46:C46"/>
    <mergeCell ref="A38:J38"/>
    <mergeCell ref="D43:J43"/>
    <mergeCell ref="B43:C43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4374"/>
    <pageSetUpPr fitToPage="1"/>
  </sheetPr>
  <dimension ref="A1:H14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1" customWidth="1"/>
    <col min="4" max="4" width="10" customWidth="1"/>
    <col min="5" max="5" width="16" customWidth="1"/>
    <col min="6" max="6" width="11" customWidth="1"/>
    <col min="7" max="7" width="17" customWidth="1"/>
    <col min="8" max="8" width="46" customWidth="1"/>
  </cols>
  <sheetData>
    <row r="1" spans="1:8" ht="18" customHeight="1" x14ac:dyDescent="0.2">
      <c r="A1" s="9" t="s">
        <v>320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10" t="s">
        <v>321</v>
      </c>
      <c r="B2" s="1"/>
      <c r="C2" s="1"/>
      <c r="D2" s="1"/>
      <c r="E2" s="1"/>
      <c r="F2" s="1"/>
      <c r="G2" s="1"/>
      <c r="H2" s="1"/>
    </row>
    <row r="3" spans="1:8" ht="15" customHeight="1" x14ac:dyDescent="0.2">
      <c r="A3" s="1"/>
      <c r="B3" s="1"/>
      <c r="C3" s="1"/>
      <c r="D3" s="1"/>
      <c r="E3" s="1"/>
      <c r="F3" s="1"/>
      <c r="G3" s="1"/>
      <c r="H3" s="1"/>
    </row>
    <row r="4" spans="1:8" ht="15" customHeight="1" x14ac:dyDescent="0.2">
      <c r="A4" s="12" t="s">
        <v>236</v>
      </c>
      <c r="B4" s="12" t="s">
        <v>238</v>
      </c>
      <c r="C4" s="12" t="s">
        <v>239</v>
      </c>
      <c r="D4" s="12" t="s">
        <v>322</v>
      </c>
      <c r="E4" s="12" t="s">
        <v>323</v>
      </c>
      <c r="F4" s="12" t="s">
        <v>240</v>
      </c>
      <c r="G4" s="12" t="s">
        <v>324</v>
      </c>
      <c r="H4" s="12" t="s">
        <v>325</v>
      </c>
    </row>
    <row r="5" spans="1:8" ht="27.75" customHeight="1" x14ac:dyDescent="0.2">
      <c r="A5" s="56" t="str">
        <f>Assumptions!A18</f>
        <v>Substrate (anchor)</v>
      </c>
      <c r="B5" s="57">
        <f>Assumptions!C18</f>
        <v>80</v>
      </c>
      <c r="C5" s="26">
        <f>Assumptions!D18</f>
        <v>7.6190476190476197E-2</v>
      </c>
      <c r="D5" s="15">
        <f>Assumptions!C18/Assumptions!$B$5</f>
        <v>0.32</v>
      </c>
      <c r="E5" s="58">
        <f>'Defense Supercycle'!G24</f>
        <v>4.8499999999999996</v>
      </c>
      <c r="F5" s="59" t="str">
        <f>Assumptions!E18</f>
        <v>Anchor / growth</v>
      </c>
      <c r="G5" s="16" t="s">
        <v>326</v>
      </c>
      <c r="H5" s="16" t="s">
        <v>327</v>
      </c>
    </row>
    <row r="6" spans="1:8" ht="40.5" customHeight="1" x14ac:dyDescent="0.2">
      <c r="A6" s="56" t="str">
        <f>Assumptions!A19</f>
        <v>EUV Tech</v>
      </c>
      <c r="B6" s="57">
        <f>Assumptions!C19</f>
        <v>30</v>
      </c>
      <c r="C6" s="26">
        <f>Assumptions!D19</f>
        <v>0.16666666666666666</v>
      </c>
      <c r="D6" s="15">
        <f>Assumptions!C19/Assumptions!$B$5</f>
        <v>0.12</v>
      </c>
      <c r="E6" s="58">
        <f>'Defense Supercycle'!G25</f>
        <v>4.5500000000000007</v>
      </c>
      <c r="F6" s="59" t="str">
        <f>Assumptions!E19</f>
        <v>Growth core</v>
      </c>
      <c r="G6" s="16" t="s">
        <v>328</v>
      </c>
      <c r="H6" s="16" t="s">
        <v>329</v>
      </c>
    </row>
    <row r="7" spans="1:8" ht="40.5" customHeight="1" x14ac:dyDescent="0.2">
      <c r="A7" s="56" t="str">
        <f>Assumptions!A20</f>
        <v>ThinTronics</v>
      </c>
      <c r="B7" s="57">
        <f>Assumptions!C20</f>
        <v>22.5</v>
      </c>
      <c r="C7" s="26">
        <f>Assumptions!D20</f>
        <v>0.1875</v>
      </c>
      <c r="D7" s="15">
        <f>Assumptions!C20/Assumptions!$B$5</f>
        <v>0.09</v>
      </c>
      <c r="E7" s="58">
        <f>'Defense Supercycle'!G26</f>
        <v>4.45</v>
      </c>
      <c r="F7" s="59" t="str">
        <f>Assumptions!E20</f>
        <v>Growth core</v>
      </c>
      <c r="G7" s="16" t="s">
        <v>328</v>
      </c>
      <c r="H7" s="16" t="s">
        <v>330</v>
      </c>
    </row>
    <row r="8" spans="1:8" ht="27.75" customHeight="1" x14ac:dyDescent="0.2">
      <c r="A8" s="56" t="str">
        <f>Assumptions!A21</f>
        <v>EdgeCortix</v>
      </c>
      <c r="B8" s="57">
        <f>Assumptions!C21</f>
        <v>30.5</v>
      </c>
      <c r="C8" s="26">
        <f>Assumptions!D21</f>
        <v>8.7142857142857147E-2</v>
      </c>
      <c r="D8" s="15">
        <f>Assumptions!C21/Assumptions!$B$5</f>
        <v>0.122</v>
      </c>
      <c r="E8" s="58">
        <f>'Defense Supercycle'!G27</f>
        <v>2.8</v>
      </c>
      <c r="F8" s="59" t="str">
        <f>Assumptions!E21</f>
        <v>Growth core</v>
      </c>
      <c r="G8" s="16" t="s">
        <v>331</v>
      </c>
      <c r="H8" s="16" t="s">
        <v>332</v>
      </c>
    </row>
    <row r="9" spans="1:8" ht="27.75" customHeight="1" x14ac:dyDescent="0.2">
      <c r="A9" s="56" t="str">
        <f>Assumptions!A22</f>
        <v>Syntiant</v>
      </c>
      <c r="B9" s="57">
        <f>Assumptions!C22</f>
        <v>31.5</v>
      </c>
      <c r="C9" s="26">
        <f>Assumptions!D22</f>
        <v>4.4999999999999998E-2</v>
      </c>
      <c r="D9" s="15">
        <f>Assumptions!C22/Assumptions!$B$5</f>
        <v>0.126</v>
      </c>
      <c r="E9" s="58">
        <f>'Defense Supercycle'!G28</f>
        <v>3.25</v>
      </c>
      <c r="F9" s="59" t="str">
        <f>Assumptions!E22</f>
        <v>Pre-IPO / liquid</v>
      </c>
      <c r="G9" s="16" t="s">
        <v>328</v>
      </c>
      <c r="H9" s="16" t="s">
        <v>333</v>
      </c>
    </row>
    <row r="10" spans="1:8" ht="27.75" customHeight="1" x14ac:dyDescent="0.2">
      <c r="A10" s="56" t="str">
        <f>Assumptions!A23</f>
        <v>Infleqtion</v>
      </c>
      <c r="B10" s="57">
        <f>Assumptions!C23</f>
        <v>25</v>
      </c>
      <c r="C10" s="26">
        <f>Assumptions!D23</f>
        <v>8.3333333333333332E-3</v>
      </c>
      <c r="D10" s="15">
        <f>Assumptions!C23/Assumptions!$B$5</f>
        <v>0.1</v>
      </c>
      <c r="E10" s="58">
        <f>'Defense Supercycle'!G29</f>
        <v>3.4000000000000004</v>
      </c>
      <c r="F10" s="59" t="str">
        <f>Assumptions!E23</f>
        <v>Public / liquid</v>
      </c>
      <c r="G10" s="16" t="s">
        <v>334</v>
      </c>
      <c r="H10" s="16" t="s">
        <v>335</v>
      </c>
    </row>
    <row r="11" spans="1:8" ht="27.75" customHeight="1" x14ac:dyDescent="0.2">
      <c r="A11" s="56" t="str">
        <f>Assumptions!A24</f>
        <v>Diraq</v>
      </c>
      <c r="B11" s="57">
        <f>Assumptions!C24</f>
        <v>14</v>
      </c>
      <c r="C11" s="26">
        <f>Assumptions!D24</f>
        <v>9.3333333333333338E-2</v>
      </c>
      <c r="D11" s="15">
        <f>Assumptions!C24/Assumptions!$B$5</f>
        <v>5.6000000000000001E-2</v>
      </c>
      <c r="E11" s="58">
        <f>'Defense Supercycle'!G30</f>
        <v>3.55</v>
      </c>
      <c r="F11" s="59" t="str">
        <f>Assumptions!E24</f>
        <v>Quantum venture</v>
      </c>
      <c r="G11" s="16" t="s">
        <v>336</v>
      </c>
      <c r="H11" s="16" t="s">
        <v>337</v>
      </c>
    </row>
    <row r="12" spans="1:8" ht="27.75" customHeight="1" x14ac:dyDescent="0.2">
      <c r="A12" s="56" t="str">
        <f>Assumptions!A25</f>
        <v>Mueon</v>
      </c>
      <c r="B12" s="57">
        <f>Assumptions!C25</f>
        <v>10</v>
      </c>
      <c r="C12" s="26">
        <f>Assumptions!D25</f>
        <v>0.15384615384615385</v>
      </c>
      <c r="D12" s="15">
        <f>Assumptions!C25/Assumptions!$B$5</f>
        <v>0.04</v>
      </c>
      <c r="E12" s="58">
        <f>'Defense Supercycle'!G31</f>
        <v>3.45</v>
      </c>
      <c r="F12" s="59" t="str">
        <f>Assumptions!E25</f>
        <v>Seed optionality</v>
      </c>
      <c r="G12" s="16" t="s">
        <v>338</v>
      </c>
      <c r="H12" s="16" t="s">
        <v>339</v>
      </c>
    </row>
    <row r="13" spans="1:8" ht="27.75" customHeight="1" x14ac:dyDescent="0.2">
      <c r="A13" s="56" t="str">
        <f>Assumptions!A26</f>
        <v>DefendEye</v>
      </c>
      <c r="B13" s="57">
        <f>Assumptions!C26</f>
        <v>6.5</v>
      </c>
      <c r="C13" s="26">
        <f>Assumptions!D26</f>
        <v>0.13</v>
      </c>
      <c r="D13" s="15">
        <f>Assumptions!C26/Assumptions!$B$5</f>
        <v>2.5999999999999999E-2</v>
      </c>
      <c r="E13" s="58">
        <f>'Defense Supercycle'!G32</f>
        <v>1.7</v>
      </c>
      <c r="F13" s="59" t="str">
        <f>Assumptions!E26</f>
        <v>Seed optionality</v>
      </c>
      <c r="G13" s="16" t="s">
        <v>340</v>
      </c>
      <c r="H13" s="16" t="s">
        <v>341</v>
      </c>
    </row>
    <row r="14" spans="1:8" ht="15" customHeight="1" x14ac:dyDescent="0.2">
      <c r="A14" s="18" t="s">
        <v>342</v>
      </c>
      <c r="B14" s="49">
        <f>SUM(B5:B13)</f>
        <v>250</v>
      </c>
      <c r="C14" s="1"/>
      <c r="D14" s="60">
        <f>SUM(D5:D13)</f>
        <v>1</v>
      </c>
      <c r="E14" s="1"/>
      <c r="F14" s="1"/>
      <c r="G14" s="1"/>
      <c r="H14" s="1"/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4374"/>
    <pageSetUpPr fitToPage="1"/>
  </sheetPr>
  <dimension ref="A1:N43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14" width="11" customWidth="1"/>
  </cols>
  <sheetData>
    <row r="1" spans="1:14" ht="18" customHeight="1" x14ac:dyDescent="0.2">
      <c r="A1" s="9" t="s">
        <v>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0" t="s">
        <v>344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28" t="s">
        <v>345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7.75" customHeight="1" x14ac:dyDescent="0.2">
      <c r="A5" s="12" t="s">
        <v>236</v>
      </c>
      <c r="B5" s="12" t="s">
        <v>238</v>
      </c>
      <c r="C5" s="12" t="s">
        <v>346</v>
      </c>
      <c r="D5" s="12" t="s">
        <v>347</v>
      </c>
      <c r="E5" s="12" t="s">
        <v>348</v>
      </c>
      <c r="F5" s="12" t="s">
        <v>349</v>
      </c>
      <c r="G5" s="12" t="s">
        <v>350</v>
      </c>
      <c r="H5" s="12" t="s">
        <v>351</v>
      </c>
      <c r="I5" s="12" t="s">
        <v>352</v>
      </c>
      <c r="J5" s="12" t="s">
        <v>353</v>
      </c>
      <c r="K5" s="12" t="s">
        <v>354</v>
      </c>
      <c r="L5" s="21" t="s">
        <v>355</v>
      </c>
      <c r="M5" s="21" t="s">
        <v>356</v>
      </c>
      <c r="N5" s="21" t="s">
        <v>357</v>
      </c>
    </row>
    <row r="6" spans="1:14" ht="15" customHeight="1" x14ac:dyDescent="0.2">
      <c r="A6" s="56" t="str">
        <f>Assumptions!A18</f>
        <v>Substrate (anchor)</v>
      </c>
      <c r="B6" s="57">
        <f>Assumptions!C18</f>
        <v>80</v>
      </c>
      <c r="C6" s="61">
        <f>Assumptions!C18*(1+Assumptions!F18)^5*Assumptions!$B$11</f>
        <v>183.78415509759998</v>
      </c>
      <c r="D6" s="36">
        <f t="shared" ref="D6:D15" si="0">C6/B6</f>
        <v>2.2973019387199995</v>
      </c>
      <c r="E6" s="15">
        <f t="shared" ref="E6:E15" si="1">(C6/B6)^(1/5)-1</f>
        <v>0.18098291770302732</v>
      </c>
      <c r="F6" s="61">
        <f>Assumptions!C18*(1+Assumptions!G18)^5*Assumptions!$B$11</f>
        <v>293.78722328320015</v>
      </c>
      <c r="G6" s="36">
        <f t="shared" ref="G6:G15" si="2">F6/B6</f>
        <v>3.672340291040002</v>
      </c>
      <c r="H6" s="15">
        <f t="shared" ref="H6:H15" si="3">(F6/B6)^(1/5)-1</f>
        <v>0.29714517190332512</v>
      </c>
      <c r="I6" s="61">
        <f>Assumptions!C18*(1+Assumptions!H18)^5*Assumptions!$B$11</f>
        <v>25.210309337600009</v>
      </c>
      <c r="J6" s="36">
        <f t="shared" ref="J6:J15" si="4">I6/B6</f>
        <v>0.31512886672000012</v>
      </c>
      <c r="K6" s="15">
        <f t="shared" ref="K6:K15" si="5">(I6/B6)^(1/5)-1</f>
        <v>-0.20622459629796519</v>
      </c>
      <c r="L6" s="62">
        <f>Assumptions!C18*(1+Assumptions!I18)^5*Assumptions!$B$11</f>
        <v>376.28957522552412</v>
      </c>
      <c r="M6" s="37">
        <f t="shared" ref="M6:M15" si="6">L6/B6</f>
        <v>4.7036196903190515</v>
      </c>
      <c r="N6" s="39">
        <f t="shared" ref="N6:N15" si="7">(L6/B6)^(1/5)-1</f>
        <v>0.36297044928349376</v>
      </c>
    </row>
    <row r="7" spans="1:14" ht="15" customHeight="1" x14ac:dyDescent="0.2">
      <c r="A7" s="56" t="str">
        <f>Assumptions!A19</f>
        <v>EUV Tech</v>
      </c>
      <c r="B7" s="57">
        <f>Assumptions!C19</f>
        <v>30</v>
      </c>
      <c r="C7" s="61">
        <f>Assumptions!C19*(1+Assumptions!F19)^5*Assumptions!$B$11</f>
        <v>49.098071851200025</v>
      </c>
      <c r="D7" s="36">
        <f t="shared" si="0"/>
        <v>1.6366023950400008</v>
      </c>
      <c r="E7" s="15">
        <f t="shared" si="1"/>
        <v>0.10354141490282887</v>
      </c>
      <c r="F7" s="61">
        <f>Assumptions!C19*(1+Assumptions!G19)^5*Assumptions!$B$11</f>
        <v>80.982821908800005</v>
      </c>
      <c r="G7" s="36">
        <f t="shared" si="2"/>
        <v>2.69942739696</v>
      </c>
      <c r="H7" s="15">
        <f t="shared" si="3"/>
        <v>0.21970366910312644</v>
      </c>
      <c r="I7" s="61">
        <f>Assumptions!C19*(1+Assumptions!H19)^5*Assumptions!$B$11</f>
        <v>29.561488894649994</v>
      </c>
      <c r="J7" s="36">
        <f t="shared" si="4"/>
        <v>0.98538296315499985</v>
      </c>
      <c r="K7" s="15">
        <f t="shared" si="5"/>
        <v>-2.9406514474442647E-3</v>
      </c>
      <c r="L7" s="62">
        <f>Assumptions!C19*(1+Assumptions!I19)^5*Assumptions!$B$11</f>
        <v>96.145317383258131</v>
      </c>
      <c r="M7" s="37">
        <f t="shared" si="6"/>
        <v>3.2048439127752713</v>
      </c>
      <c r="N7" s="39">
        <f t="shared" si="7"/>
        <v>0.26229649564323587</v>
      </c>
    </row>
    <row r="8" spans="1:14" ht="15" customHeight="1" x14ac:dyDescent="0.2">
      <c r="A8" s="56" t="str">
        <f>Assumptions!A20</f>
        <v>ThinTronics</v>
      </c>
      <c r="B8" s="57">
        <f>Assumptions!C20</f>
        <v>22.5</v>
      </c>
      <c r="C8" s="61">
        <f>Assumptions!C20*(1+Assumptions!F20)^5*Assumptions!$B$11</f>
        <v>60.737116431600008</v>
      </c>
      <c r="D8" s="36">
        <f t="shared" si="0"/>
        <v>2.6994273969600004</v>
      </c>
      <c r="E8" s="15">
        <f t="shared" si="1"/>
        <v>0.21970366910312644</v>
      </c>
      <c r="F8" s="61">
        <f>Assumptions!C20*(1+Assumptions!G20)^5*Assumptions!$B$11</f>
        <v>95.718718558799964</v>
      </c>
      <c r="G8" s="36">
        <f t="shared" si="2"/>
        <v>4.2541652692799987</v>
      </c>
      <c r="H8" s="15">
        <f t="shared" si="3"/>
        <v>0.33586592330342424</v>
      </c>
      <c r="I8" s="61">
        <f>Assumptions!C20*(1+Assumptions!H20)^5*Assumptions!$B$11</f>
        <v>11.293121250000002</v>
      </c>
      <c r="J8" s="36">
        <f t="shared" si="4"/>
        <v>0.5019165000000001</v>
      </c>
      <c r="K8" s="15">
        <f t="shared" si="5"/>
        <v>-0.12878309349776673</v>
      </c>
      <c r="L8" s="62">
        <f>Assumptions!C20*(1+Assumptions!I20)^5*Assumptions!$B$11</f>
        <v>108.87237841928598</v>
      </c>
      <c r="M8" s="37">
        <f t="shared" si="6"/>
        <v>4.838772374190488</v>
      </c>
      <c r="N8" s="39">
        <f t="shared" si="7"/>
        <v>0.37071459956351349</v>
      </c>
    </row>
    <row r="9" spans="1:14" ht="15" customHeight="1" x14ac:dyDescent="0.2">
      <c r="A9" s="56" t="str">
        <f>Assumptions!A21</f>
        <v>EdgeCortix</v>
      </c>
      <c r="B9" s="57">
        <f>Assumptions!C21</f>
        <v>30.5</v>
      </c>
      <c r="C9" s="61">
        <f>Assumptions!C21*(1+Assumptions!F21)^5*Assumptions!$B$11</f>
        <v>76.002379742719995</v>
      </c>
      <c r="D9" s="36">
        <f t="shared" si="0"/>
        <v>2.49188130304</v>
      </c>
      <c r="E9" s="15">
        <f t="shared" si="1"/>
        <v>0.20034329340307688</v>
      </c>
      <c r="F9" s="61">
        <f>Assumptions!C21*(1+Assumptions!G21)^5*Assumptions!$B$11</f>
        <v>120.61832880127994</v>
      </c>
      <c r="G9" s="36">
        <f t="shared" si="2"/>
        <v>3.9546993049599983</v>
      </c>
      <c r="H9" s="15">
        <f t="shared" si="3"/>
        <v>0.31650554760337446</v>
      </c>
      <c r="I9" s="61">
        <f>Assumptions!C21*(1+Assumptions!H21)^5*Assumptions!$B$11</f>
        <v>17.08668848896</v>
      </c>
      <c r="J9" s="36">
        <f t="shared" si="4"/>
        <v>0.56021929471999998</v>
      </c>
      <c r="K9" s="15">
        <f t="shared" si="5"/>
        <v>-0.10942271779771717</v>
      </c>
      <c r="L9" s="62">
        <f>Assumptions!C21*(1+Assumptions!I21)^5*Assumptions!$B$11</f>
        <v>83.647725194785579</v>
      </c>
      <c r="M9" s="37">
        <f t="shared" si="6"/>
        <v>2.7425483670421502</v>
      </c>
      <c r="N9" s="39">
        <f t="shared" si="7"/>
        <v>0.22357574424313631</v>
      </c>
    </row>
    <row r="10" spans="1:14" ht="15" customHeight="1" x14ac:dyDescent="0.2">
      <c r="A10" s="56" t="str">
        <f>Assumptions!A22</f>
        <v>Syntiant</v>
      </c>
      <c r="B10" s="57">
        <f>Assumptions!C22</f>
        <v>31.5</v>
      </c>
      <c r="C10" s="61">
        <f>Assumptions!C22*(1+Assumptions!F22)^5*Assumptions!$B$11</f>
        <v>56.236647882239978</v>
      </c>
      <c r="D10" s="36">
        <f t="shared" si="0"/>
        <v>1.7852904089599992</v>
      </c>
      <c r="E10" s="15">
        <f t="shared" si="1"/>
        <v>0.1229017906028782</v>
      </c>
      <c r="F10" s="61">
        <f>Assumptions!C22*(1+Assumptions!G22)^5*Assumptions!$B$11</f>
        <v>91.998199480319997</v>
      </c>
      <c r="G10" s="36">
        <f t="shared" si="2"/>
        <v>2.9205777612799997</v>
      </c>
      <c r="H10" s="15">
        <f t="shared" si="3"/>
        <v>0.239064044803176</v>
      </c>
      <c r="I10" s="61">
        <f>Assumptions!C22*(1+Assumptions!H22)^5*Assumptions!$B$11</f>
        <v>24.202479334319992</v>
      </c>
      <c r="J10" s="36">
        <f t="shared" si="4"/>
        <v>0.76833267727999977</v>
      </c>
      <c r="K10" s="15">
        <f t="shared" si="5"/>
        <v>-5.1341590697568273E-2</v>
      </c>
      <c r="L10" s="62">
        <f>Assumptions!C22*(1+Assumptions!I22)^5*Assumptions!$B$11</f>
        <v>72.365011069679994</v>
      </c>
      <c r="M10" s="37">
        <f t="shared" si="6"/>
        <v>2.29730193872</v>
      </c>
      <c r="N10" s="39">
        <f t="shared" si="7"/>
        <v>0.18098291770302732</v>
      </c>
    </row>
    <row r="11" spans="1:14" ht="15" customHeight="1" x14ac:dyDescent="0.2">
      <c r="A11" s="56" t="str">
        <f>Assumptions!A23</f>
        <v>Infleqtion</v>
      </c>
      <c r="B11" s="57">
        <f>Assumptions!C23</f>
        <v>25</v>
      </c>
      <c r="C11" s="61">
        <f>Assumptions!C23*(1+Assumptions!F23)^5*Assumptions!$B$11</f>
        <v>42.741340234374988</v>
      </c>
      <c r="D11" s="36">
        <f t="shared" si="0"/>
        <v>1.7096536093749994</v>
      </c>
      <c r="E11" s="15">
        <f t="shared" si="1"/>
        <v>0.11322160275285342</v>
      </c>
      <c r="F11" s="61">
        <f>Assumptions!C23*(1+Assumptions!G23)^5*Assumptions!$B$11</f>
        <v>70.206534989874996</v>
      </c>
      <c r="G11" s="36">
        <f t="shared" si="2"/>
        <v>2.8082613995949997</v>
      </c>
      <c r="H11" s="15">
        <f t="shared" si="3"/>
        <v>0.22938385695315122</v>
      </c>
      <c r="I11" s="61">
        <f>Assumptions!C23*(1+Assumptions!H23)^5*Assumptions!$B$11</f>
        <v>12.547912500000004</v>
      </c>
      <c r="J11" s="36">
        <f t="shared" si="4"/>
        <v>0.50191650000000021</v>
      </c>
      <c r="K11" s="15">
        <f t="shared" si="5"/>
        <v>-0.12878309349776673</v>
      </c>
      <c r="L11" s="62">
        <f>Assumptions!C23*(1+Assumptions!I23)^5*Assumptions!$B$11</f>
        <v>57.904853065154668</v>
      </c>
      <c r="M11" s="37">
        <f t="shared" si="6"/>
        <v>2.3161941226061868</v>
      </c>
      <c r="N11" s="39">
        <f t="shared" si="7"/>
        <v>0.18291895527303215</v>
      </c>
    </row>
    <row r="12" spans="1:14" ht="15" customHeight="1" x14ac:dyDescent="0.2">
      <c r="A12" s="56" t="str">
        <f>Assumptions!A24</f>
        <v>Diraq</v>
      </c>
      <c r="B12" s="57">
        <f>Assumptions!C24</f>
        <v>14</v>
      </c>
      <c r="C12" s="61">
        <f>Assumptions!C24*(1+Assumptions!F24)^5*Assumptions!$B$11</f>
        <v>44.183867000000014</v>
      </c>
      <c r="D12" s="36">
        <f t="shared" si="0"/>
        <v>3.155990500000001</v>
      </c>
      <c r="E12" s="15">
        <f t="shared" si="1"/>
        <v>0.25842442050322578</v>
      </c>
      <c r="F12" s="61">
        <f>Assumptions!C24*(1+Assumptions!G24)^5*Assumptions!$B$11</f>
        <v>68.705053686079978</v>
      </c>
      <c r="G12" s="36">
        <f t="shared" si="2"/>
        <v>4.9075038347199982</v>
      </c>
      <c r="H12" s="15">
        <f t="shared" si="3"/>
        <v>0.37458667470352336</v>
      </c>
      <c r="I12" s="61">
        <f>Assumptions!C24*(1+Assumptions!H24)^5*Assumptions!$B$11</f>
        <v>3.4357374979200008</v>
      </c>
      <c r="J12" s="36">
        <f t="shared" si="4"/>
        <v>0.24540982128000005</v>
      </c>
      <c r="K12" s="15">
        <f t="shared" si="5"/>
        <v>-0.24494534769806453</v>
      </c>
      <c r="L12" s="62">
        <f>Assumptions!C24*(1+Assumptions!I24)^5*Assumptions!$B$11</f>
        <v>60.426496111630733</v>
      </c>
      <c r="M12" s="37">
        <f t="shared" si="6"/>
        <v>4.3161782936879094</v>
      </c>
      <c r="N12" s="39">
        <f t="shared" si="7"/>
        <v>0.33973799844343411</v>
      </c>
    </row>
    <row r="13" spans="1:14" ht="15" customHeight="1" x14ac:dyDescent="0.2">
      <c r="A13" s="56" t="str">
        <f>Assumptions!A25</f>
        <v>Mueon</v>
      </c>
      <c r="B13" s="57">
        <f>Assumptions!C25</f>
        <v>10</v>
      </c>
      <c r="C13" s="61">
        <f>Assumptions!C25*(1+Assumptions!F25)^5*Assumptions!$B$11</f>
        <v>34.063446067200012</v>
      </c>
      <c r="D13" s="36">
        <f t="shared" si="0"/>
        <v>3.4063446067200012</v>
      </c>
      <c r="E13" s="15">
        <f t="shared" si="1"/>
        <v>0.27778479620327556</v>
      </c>
      <c r="F13" s="61">
        <f>Assumptions!C25*(1+Assumptions!G25)^5*Assumptions!$B$11</f>
        <v>52.629759590399992</v>
      </c>
      <c r="G13" s="36">
        <f t="shared" si="2"/>
        <v>5.2629759590399994</v>
      </c>
      <c r="H13" s="15">
        <f t="shared" si="3"/>
        <v>0.39394705040357314</v>
      </c>
      <c r="I13" s="61">
        <f>Assumptions!C25*(1+Assumptions!H25)^5*Assumptions!$B$11</f>
        <v>1.6446799871999997</v>
      </c>
      <c r="J13" s="36">
        <f t="shared" si="4"/>
        <v>0.16446799871999998</v>
      </c>
      <c r="K13" s="15">
        <f t="shared" si="5"/>
        <v>-0.30302647479821343</v>
      </c>
      <c r="L13" s="62">
        <f>Assumptions!C25*(1+Assumptions!I25)^5*Assumptions!$B$11</f>
        <v>45.065689192823278</v>
      </c>
      <c r="M13" s="37">
        <f t="shared" si="6"/>
        <v>4.5065689192823282</v>
      </c>
      <c r="N13" s="39">
        <f t="shared" si="7"/>
        <v>0.35135422386346393</v>
      </c>
    </row>
    <row r="14" spans="1:14" ht="15" customHeight="1" x14ac:dyDescent="0.2">
      <c r="A14" s="56" t="str">
        <f>Assumptions!A26</f>
        <v>DefendEye</v>
      </c>
      <c r="B14" s="57">
        <f>Assumptions!C26</f>
        <v>6.5</v>
      </c>
      <c r="C14" s="61">
        <f>Assumptions!C26*(1+Assumptions!F26)^5*Assumptions!$B$11</f>
        <v>18.98375544832</v>
      </c>
      <c r="D14" s="36">
        <f t="shared" si="0"/>
        <v>2.9205777612800001</v>
      </c>
      <c r="E14" s="15">
        <f t="shared" si="1"/>
        <v>0.23906404480317622</v>
      </c>
      <c r="F14" s="61">
        <f>Assumptions!C26*(1+Assumptions!G26)^5*Assumptions!$B$11</f>
        <v>29.714775999999993</v>
      </c>
      <c r="G14" s="36">
        <f t="shared" si="2"/>
        <v>4.5715039999999991</v>
      </c>
      <c r="H14" s="15">
        <f t="shared" si="3"/>
        <v>0.35522629900347402</v>
      </c>
      <c r="I14" s="61">
        <f>Assumptions!C26*(1+Assumptions!H26)^5*Assumptions!$B$11</f>
        <v>1.3111083984375</v>
      </c>
      <c r="J14" s="36">
        <f t="shared" si="4"/>
        <v>0.20170898437500001</v>
      </c>
      <c r="K14" s="15">
        <f t="shared" si="5"/>
        <v>-0.27398591124813898</v>
      </c>
      <c r="L14" s="62">
        <f>Assumptions!C26*(1+Assumptions!I26)^5*Assumptions!$B$11</f>
        <v>14.689268088071781</v>
      </c>
      <c r="M14" s="37">
        <f t="shared" si="6"/>
        <v>2.2598873981648895</v>
      </c>
      <c r="N14" s="39">
        <f t="shared" si="7"/>
        <v>0.17711084256301723</v>
      </c>
    </row>
    <row r="15" spans="1:14" ht="15" customHeight="1" x14ac:dyDescent="0.2">
      <c r="A15" s="53" t="s">
        <v>358</v>
      </c>
      <c r="B15" s="63">
        <f>SUM(B6:B14)</f>
        <v>250</v>
      </c>
      <c r="C15" s="63">
        <f>SUM(C6:C14)</f>
        <v>565.83077975525509</v>
      </c>
      <c r="D15" s="64">
        <f t="shared" si="0"/>
        <v>2.2633231190210203</v>
      </c>
      <c r="E15" s="65">
        <f t="shared" si="1"/>
        <v>0.17746853889181335</v>
      </c>
      <c r="F15" s="63">
        <f>SUM(F6:F14)</f>
        <v>904.36141629875499</v>
      </c>
      <c r="G15" s="64">
        <f t="shared" si="2"/>
        <v>3.61744566519502</v>
      </c>
      <c r="H15" s="65">
        <f t="shared" si="3"/>
        <v>0.29324379497958408</v>
      </c>
      <c r="I15" s="63">
        <f>SUM(I6:I14)</f>
        <v>126.2935256890875</v>
      </c>
      <c r="J15" s="64">
        <f t="shared" si="4"/>
        <v>0.50517410275635</v>
      </c>
      <c r="K15" s="65">
        <f t="shared" si="5"/>
        <v>-0.1276551213612328</v>
      </c>
      <c r="L15" s="66">
        <f>SUM(L6:L14)</f>
        <v>915.40631375021439</v>
      </c>
      <c r="M15" s="67">
        <f t="shared" si="6"/>
        <v>3.6616252550008577</v>
      </c>
      <c r="N15" s="68">
        <f t="shared" si="7"/>
        <v>0.29638733323967204</v>
      </c>
    </row>
    <row r="16" spans="1:14" ht="1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" customHeight="1" x14ac:dyDescent="0.2">
      <c r="A18" s="28" t="s">
        <v>359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7.75" customHeight="1" x14ac:dyDescent="0.2">
      <c r="A19" s="12" t="s">
        <v>236</v>
      </c>
      <c r="B19" s="12" t="s">
        <v>238</v>
      </c>
      <c r="C19" s="12" t="s">
        <v>346</v>
      </c>
      <c r="D19" s="12" t="s">
        <v>347</v>
      </c>
      <c r="E19" s="12" t="s">
        <v>348</v>
      </c>
      <c r="F19" s="12" t="s">
        <v>349</v>
      </c>
      <c r="G19" s="12" t="s">
        <v>350</v>
      </c>
      <c r="H19" s="12" t="s">
        <v>351</v>
      </c>
      <c r="I19" s="12" t="s">
        <v>352</v>
      </c>
      <c r="J19" s="12" t="s">
        <v>353</v>
      </c>
      <c r="K19" s="12" t="s">
        <v>354</v>
      </c>
      <c r="L19" s="21" t="s">
        <v>355</v>
      </c>
      <c r="M19" s="21" t="s">
        <v>356</v>
      </c>
      <c r="N19" s="21" t="s">
        <v>357</v>
      </c>
    </row>
    <row r="20" spans="1:14" ht="15" customHeight="1" x14ac:dyDescent="0.2">
      <c r="A20" s="56" t="str">
        <f>Assumptions!A18</f>
        <v>Substrate (anchor)</v>
      </c>
      <c r="B20" s="57">
        <f>Assumptions!C18</f>
        <v>80</v>
      </c>
      <c r="C20" s="61">
        <f>Assumptions!C18*(1+Assumptions!F18)^7*Assumptions!$B$12</f>
        <v>251.01715579866931</v>
      </c>
      <c r="D20" s="36">
        <f t="shared" ref="D20:D29" si="8">C20/B20</f>
        <v>3.1377144474833663</v>
      </c>
      <c r="E20" s="15">
        <f t="shared" ref="E20:E29" si="9">(C20/B20)^(1/7)-1</f>
        <v>0.17745623541907873</v>
      </c>
      <c r="F20" s="61">
        <f>Assumptions!C18*(1+Assumptions!G18)^7*Assumptions!$B$12</f>
        <v>484.08115734035897</v>
      </c>
      <c r="G20" s="36">
        <f t="shared" ref="G20:G29" si="10">F20/B20</f>
        <v>6.051014466754487</v>
      </c>
      <c r="H20" s="15">
        <f t="shared" ref="H20:H29" si="11">(F20/B20)^(1/7)-1</f>
        <v>0.29327160283734877</v>
      </c>
      <c r="I20" s="61">
        <f>Assumptions!C18*(1+Assumptions!H18)^7*Assumptions!$B$12</f>
        <v>15.555413363423238</v>
      </c>
      <c r="J20" s="36">
        <f t="shared" ref="J20:J29" si="12">I20/B20</f>
        <v>0.19444266704279048</v>
      </c>
      <c r="K20" s="15">
        <f t="shared" ref="K20:K29" si="13">(I20/B20)^(1/7)-1</f>
        <v>-0.20859498930848808</v>
      </c>
      <c r="L20" s="62">
        <f>Assumptions!C18*(1+Assumptions!I18)^7*Assumptions!$B$12</f>
        <v>684.54684522201978</v>
      </c>
      <c r="M20" s="37">
        <f t="shared" ref="M20:M29" si="14">L20/B20</f>
        <v>8.5568355652752466</v>
      </c>
      <c r="N20" s="39">
        <f t="shared" ref="N20:N29" si="15">(L20/B20)^(1/7)-1</f>
        <v>0.35890031104103493</v>
      </c>
    </row>
    <row r="21" spans="1:14" ht="15" customHeight="1" x14ac:dyDescent="0.2">
      <c r="A21" s="56" t="str">
        <f>Assumptions!A19</f>
        <v>EUV Tech</v>
      </c>
      <c r="B21" s="57">
        <f>Assumptions!C19</f>
        <v>30</v>
      </c>
      <c r="C21" s="61">
        <f>Assumptions!C19*(1+Assumptions!F19)^7*Assumptions!$B$12</f>
        <v>58.55308971611678</v>
      </c>
      <c r="D21" s="36">
        <f t="shared" si="8"/>
        <v>1.9517696572038927</v>
      </c>
      <c r="E21" s="15">
        <f t="shared" si="9"/>
        <v>0.10024599047356553</v>
      </c>
      <c r="F21" s="61">
        <f>Assumptions!C19*(1+Assumptions!G19)^7*Assumptions!$B$12</f>
        <v>117.98034810433002</v>
      </c>
      <c r="G21" s="36">
        <f t="shared" si="10"/>
        <v>3.9326782701443341</v>
      </c>
      <c r="H21" s="15">
        <f t="shared" si="11"/>
        <v>0.21606135789183534</v>
      </c>
      <c r="I21" s="61">
        <f>Assumptions!C19*(1+Assumptions!H19)^7*Assumptions!$B$12</f>
        <v>28.779048450941957</v>
      </c>
      <c r="J21" s="36">
        <f t="shared" si="12"/>
        <v>0.95930161503139855</v>
      </c>
      <c r="K21" s="15">
        <f t="shared" si="13"/>
        <v>-5.9180963265155206E-3</v>
      </c>
      <c r="L21" s="62">
        <f>Assumptions!C19*(1+Assumptions!I19)^7*Assumptions!$B$12</f>
        <v>150.02339774445272</v>
      </c>
      <c r="M21" s="37">
        <f t="shared" si="14"/>
        <v>5.0007799248150908</v>
      </c>
      <c r="N21" s="39">
        <f t="shared" si="15"/>
        <v>0.25852699261186762</v>
      </c>
    </row>
    <row r="22" spans="1:14" ht="15" customHeight="1" x14ac:dyDescent="0.2">
      <c r="A22" s="56" t="str">
        <f>Assumptions!A20</f>
        <v>ThinTronics</v>
      </c>
      <c r="B22" s="57">
        <f>Assumptions!C20</f>
        <v>22.5</v>
      </c>
      <c r="C22" s="61">
        <f>Assumptions!C20*(1+Assumptions!F20)^7*Assumptions!$B$12</f>
        <v>88.485261078247504</v>
      </c>
      <c r="D22" s="36">
        <f t="shared" si="8"/>
        <v>3.9326782701443337</v>
      </c>
      <c r="E22" s="15">
        <f t="shared" si="9"/>
        <v>0.21606135789183534</v>
      </c>
      <c r="F22" s="61">
        <f>Assumptions!C20*(1+Assumptions!G20)^7*Assumptions!$B$12</f>
        <v>167.27487946615923</v>
      </c>
      <c r="G22" s="36">
        <f t="shared" si="10"/>
        <v>7.4344390873848551</v>
      </c>
      <c r="H22" s="15">
        <f t="shared" si="11"/>
        <v>0.33187672531010537</v>
      </c>
      <c r="I22" s="61">
        <f>Assumptions!C20*(1+Assumptions!H20)^7*Assumptions!$B$12</f>
        <v>8.3941105950000026</v>
      </c>
      <c r="J22" s="36">
        <f t="shared" si="12"/>
        <v>0.37307158200000012</v>
      </c>
      <c r="K22" s="15">
        <f t="shared" si="13"/>
        <v>-0.13138474436297465</v>
      </c>
      <c r="L22" s="62">
        <f>Assumptions!C20*(1+Assumptions!I20)^7*Assumptions!$B$12</f>
        <v>200.3179625357773</v>
      </c>
      <c r="M22" s="37">
        <f t="shared" si="14"/>
        <v>8.9030205571456573</v>
      </c>
      <c r="N22" s="39">
        <f t="shared" si="15"/>
        <v>0.36662133553558629</v>
      </c>
    </row>
    <row r="23" spans="1:14" ht="15" customHeight="1" x14ac:dyDescent="0.2">
      <c r="A23" s="56" t="str">
        <f>Assumptions!A21</f>
        <v>EdgeCortix</v>
      </c>
      <c r="B23" s="57">
        <f>Assumptions!C21</f>
        <v>30.5</v>
      </c>
      <c r="C23" s="61">
        <f>Assumptions!C21*(1+Assumptions!F21)^7*Assumptions!$B$12</f>
        <v>107.23739069656106</v>
      </c>
      <c r="D23" s="36">
        <f t="shared" si="8"/>
        <v>3.5159800228380678</v>
      </c>
      <c r="E23" s="15">
        <f t="shared" si="9"/>
        <v>0.19675879665545692</v>
      </c>
      <c r="F23" s="61">
        <f>Assumptions!C21*(1+Assumptions!G21)^7*Assumptions!$B$12</f>
        <v>204.72307710783639</v>
      </c>
      <c r="G23" s="36">
        <f t="shared" si="10"/>
        <v>6.7122320363225043</v>
      </c>
      <c r="H23" s="15">
        <f t="shared" si="11"/>
        <v>0.31257416407372696</v>
      </c>
      <c r="I23" s="61">
        <f>Assumptions!C21*(1+Assumptions!H21)^7*Assumptions!$B$12</f>
        <v>13.271170643415863</v>
      </c>
      <c r="J23" s="36">
        <f t="shared" si="12"/>
        <v>0.43512034896445451</v>
      </c>
      <c r="K23" s="15">
        <f t="shared" si="13"/>
        <v>-0.11208218312659635</v>
      </c>
      <c r="L23" s="62">
        <f>Assumptions!C21*(1+Assumptions!I21)^7*Assumptions!$B$12</f>
        <v>122.63768946257692</v>
      </c>
      <c r="M23" s="37">
        <f t="shared" si="14"/>
        <v>4.02090785123203</v>
      </c>
      <c r="N23" s="39">
        <f t="shared" si="15"/>
        <v>0.21992187013911102</v>
      </c>
    </row>
    <row r="24" spans="1:14" ht="15" customHeight="1" x14ac:dyDescent="0.2">
      <c r="A24" s="56" t="str">
        <f>Assumptions!A22</f>
        <v>Syntiant</v>
      </c>
      <c r="B24" s="57">
        <f>Assumptions!C22</f>
        <v>31.5</v>
      </c>
      <c r="C24" s="61">
        <f>Assumptions!C22*(1+Assumptions!F22)^7*Assumptions!$B$12</f>
        <v>69.440218875843371</v>
      </c>
      <c r="D24" s="36">
        <f t="shared" si="8"/>
        <v>2.2044513928839167</v>
      </c>
      <c r="E24" s="15">
        <f t="shared" si="9"/>
        <v>0.11954855170994372</v>
      </c>
      <c r="F24" s="61">
        <f>Assumptions!C22*(1+Assumptions!G22)^7*Assumptions!$B$12</f>
        <v>138.31680355561639</v>
      </c>
      <c r="G24" s="36">
        <f t="shared" si="10"/>
        <v>4.3910096366862348</v>
      </c>
      <c r="H24" s="15">
        <f t="shared" si="11"/>
        <v>0.23536391912821375</v>
      </c>
      <c r="I24" s="61">
        <f>Assumptions!C22*(1+Assumptions!H22)^7*Assumptions!$B$12</f>
        <v>21.329844351871905</v>
      </c>
      <c r="J24" s="36">
        <f t="shared" si="12"/>
        <v>0.67713791593244144</v>
      </c>
      <c r="K24" s="15">
        <f t="shared" si="13"/>
        <v>-5.4174499417461441E-2</v>
      </c>
      <c r="L24" s="62">
        <f>Assumptions!C22*(1+Assumptions!I22)^7*Assumptions!$B$12</f>
        <v>98.838005095726018</v>
      </c>
      <c r="M24" s="37">
        <f t="shared" si="14"/>
        <v>3.1377144474833658</v>
      </c>
      <c r="N24" s="39">
        <f t="shared" si="15"/>
        <v>0.17745623541907873</v>
      </c>
    </row>
    <row r="25" spans="1:14" ht="15" customHeight="1" x14ac:dyDescent="0.2">
      <c r="A25" s="56" t="str">
        <f>Assumptions!A23</f>
        <v>Infleqtion</v>
      </c>
      <c r="B25" s="57">
        <f>Assumptions!C23</f>
        <v>25</v>
      </c>
      <c r="C25" s="61">
        <f>Assumptions!C23*(1+Assumptions!F23)^7*Assumptions!$B$12</f>
        <v>51.870387669140591</v>
      </c>
      <c r="D25" s="36">
        <f t="shared" si="8"/>
        <v>2.0748155067656238</v>
      </c>
      <c r="E25" s="15">
        <f t="shared" si="9"/>
        <v>0.10989727109175429</v>
      </c>
      <c r="F25" s="61">
        <f>Assumptions!C23*(1+Assumptions!G23)^7*Assumptions!$B$12</f>
        <v>103.91079273227307</v>
      </c>
      <c r="G25" s="36">
        <f t="shared" si="10"/>
        <v>4.1564317092909224</v>
      </c>
      <c r="H25" s="15">
        <f t="shared" si="11"/>
        <v>0.22571263851002454</v>
      </c>
      <c r="I25" s="61">
        <f>Assumptions!C23*(1+Assumptions!H23)^7*Assumptions!$B$12</f>
        <v>9.3267895500000026</v>
      </c>
      <c r="J25" s="36">
        <f t="shared" si="12"/>
        <v>0.37307158200000012</v>
      </c>
      <c r="K25" s="15">
        <f t="shared" si="13"/>
        <v>-0.13138474436297465</v>
      </c>
      <c r="L25" s="62">
        <f>Assumptions!C23*(1+Assumptions!I23)^7*Assumptions!$B$12</f>
        <v>79.347464319466127</v>
      </c>
      <c r="M25" s="37">
        <f t="shared" si="14"/>
        <v>3.1738985727786453</v>
      </c>
      <c r="N25" s="39">
        <f t="shared" si="15"/>
        <v>0.17938649154271658</v>
      </c>
    </row>
    <row r="26" spans="1:14" ht="15" customHeight="1" x14ac:dyDescent="0.2">
      <c r="A26" s="56" t="str">
        <f>Assumptions!A24</f>
        <v>Diraq</v>
      </c>
      <c r="B26" s="57">
        <f>Assumptions!C24</f>
        <v>14</v>
      </c>
      <c r="C26" s="61">
        <f>Assumptions!C24*(1+Assumptions!F24)^7*Assumptions!$B$12</f>
        <v>68.52138056400004</v>
      </c>
      <c r="D26" s="36">
        <f t="shared" si="8"/>
        <v>4.8943843260000026</v>
      </c>
      <c r="E26" s="15">
        <f t="shared" si="9"/>
        <v>0.25466648036459216</v>
      </c>
      <c r="F26" s="61">
        <f>Assumptions!C24*(1+Assumptions!G24)^7*Assumptions!$B$12</f>
        <v>127.12795152592602</v>
      </c>
      <c r="G26" s="36">
        <f t="shared" si="10"/>
        <v>9.0805679661375738</v>
      </c>
      <c r="H26" s="15">
        <f t="shared" si="11"/>
        <v>0.37048184778286197</v>
      </c>
      <c r="I26" s="61">
        <f>Assumptions!C24*(1+Assumptions!H24)^7*Assumptions!$B$12</f>
        <v>1.918160118956391</v>
      </c>
      <c r="J26" s="36">
        <f t="shared" si="12"/>
        <v>0.13701143706831365</v>
      </c>
      <c r="K26" s="15">
        <f t="shared" si="13"/>
        <v>-0.24720011178124468</v>
      </c>
      <c r="L26" s="62">
        <f>Assumptions!C24*(1+Assumptions!I24)^7*Assumptions!$B$12</f>
        <v>106.21241145656448</v>
      </c>
      <c r="M26" s="37">
        <f t="shared" si="14"/>
        <v>7.5866008183260343</v>
      </c>
      <c r="N26" s="39">
        <f t="shared" si="15"/>
        <v>0.33573723755738105</v>
      </c>
    </row>
    <row r="27" spans="1:14" ht="15" customHeight="1" x14ac:dyDescent="0.2">
      <c r="A27" s="56" t="str">
        <f>Assumptions!A25</f>
        <v>Mueon</v>
      </c>
      <c r="B27" s="57">
        <f>Assumptions!C25</f>
        <v>10</v>
      </c>
      <c r="C27" s="61">
        <f>Assumptions!C25*(1+Assumptions!F25)^7*Assumptions!$B$12</f>
        <v>54.464324439343116</v>
      </c>
      <c r="D27" s="36">
        <f t="shared" si="8"/>
        <v>5.4464324439343113</v>
      </c>
      <c r="E27" s="15">
        <f t="shared" si="9"/>
        <v>0.27396904160097035</v>
      </c>
      <c r="F27" s="61">
        <f>Assumptions!C25*(1+Assumptions!G25)^7*Assumptions!$B$12</f>
        <v>100.14564023481138</v>
      </c>
      <c r="G27" s="36">
        <f t="shared" si="10"/>
        <v>10.014564023481139</v>
      </c>
      <c r="H27" s="15">
        <f t="shared" si="11"/>
        <v>0.38978440901924039</v>
      </c>
      <c r="I27" s="61">
        <f>Assumptions!C25*(1+Assumptions!H25)^7*Assumptions!$B$12</f>
        <v>0.78238781433446392</v>
      </c>
      <c r="J27" s="36">
        <f t="shared" si="12"/>
        <v>7.8238781433446397E-2</v>
      </c>
      <c r="K27" s="15">
        <f t="shared" si="13"/>
        <v>-0.30510779549037981</v>
      </c>
      <c r="L27" s="62">
        <f>Assumptions!C25*(1+Assumptions!I25)^7*Assumptions!$B$12</f>
        <v>80.592110820000983</v>
      </c>
      <c r="M27" s="37">
        <f t="shared" si="14"/>
        <v>8.0592110820000986</v>
      </c>
      <c r="N27" s="39">
        <f t="shared" si="15"/>
        <v>0.34731877429920788</v>
      </c>
    </row>
    <row r="28" spans="1:14" ht="15" customHeight="1" x14ac:dyDescent="0.2">
      <c r="A28" s="56" t="str">
        <f>Assumptions!A26</f>
        <v>DefendEye</v>
      </c>
      <c r="B28" s="57">
        <f>Assumptions!C26</f>
        <v>6.5</v>
      </c>
      <c r="C28" s="61">
        <f>Assumptions!C26*(1+Assumptions!F26)^7*Assumptions!$B$12</f>
        <v>28.541562638460526</v>
      </c>
      <c r="D28" s="36">
        <f t="shared" si="8"/>
        <v>4.3910096366862348</v>
      </c>
      <c r="E28" s="15">
        <f t="shared" si="9"/>
        <v>0.23536391912821375</v>
      </c>
      <c r="F28" s="61">
        <f>Assumptions!C26*(1+Assumptions!G26)^7*Assumptions!$B$12</f>
        <v>53.444646527999971</v>
      </c>
      <c r="G28" s="36">
        <f t="shared" si="10"/>
        <v>8.2222533119999959</v>
      </c>
      <c r="H28" s="15">
        <f t="shared" si="11"/>
        <v>0.35117928654648356</v>
      </c>
      <c r="I28" s="61">
        <f>Assumptions!C26*(1+Assumptions!H26)^7*Assumptions!$B$12</f>
        <v>0.67676330566406251</v>
      </c>
      <c r="J28" s="36">
        <f t="shared" si="12"/>
        <v>0.10411743164062501</v>
      </c>
      <c r="K28" s="15">
        <f t="shared" si="13"/>
        <v>-0.2761539536358123</v>
      </c>
      <c r="L28" s="62">
        <f>Assumptions!C26*(1+Assumptions!I26)^7*Assumptions!$B$12</f>
        <v>19.931637679232914</v>
      </c>
      <c r="M28" s="37">
        <f t="shared" si="14"/>
        <v>3.0664057968050638</v>
      </c>
      <c r="N28" s="39">
        <f t="shared" si="15"/>
        <v>0.17359572317180305</v>
      </c>
    </row>
    <row r="29" spans="1:14" ht="15" customHeight="1" x14ac:dyDescent="0.2">
      <c r="A29" s="53" t="s">
        <v>358</v>
      </c>
      <c r="B29" s="63">
        <f>SUM(B20:B28)</f>
        <v>250</v>
      </c>
      <c r="C29" s="63">
        <f>SUM(C20:C28)</f>
        <v>778.13077147638239</v>
      </c>
      <c r="D29" s="64">
        <f t="shared" si="8"/>
        <v>3.1125230859055297</v>
      </c>
      <c r="E29" s="65">
        <f t="shared" si="9"/>
        <v>0.17610109541967134</v>
      </c>
      <c r="F29" s="63">
        <f>SUM(F20:F28)</f>
        <v>1497.0052965953114</v>
      </c>
      <c r="G29" s="64">
        <f t="shared" si="10"/>
        <v>5.9880211863812454</v>
      </c>
      <c r="H29" s="65">
        <f t="shared" si="11"/>
        <v>0.29133961853989532</v>
      </c>
      <c r="I29" s="63">
        <f>SUM(I20:I28)</f>
        <v>100.03368819360789</v>
      </c>
      <c r="J29" s="64">
        <f t="shared" si="12"/>
        <v>0.40013475277443156</v>
      </c>
      <c r="K29" s="65">
        <f t="shared" si="13"/>
        <v>-0.12265112271839618</v>
      </c>
      <c r="L29" s="66">
        <f>SUM(L20:L28)</f>
        <v>1542.447524335817</v>
      </c>
      <c r="M29" s="67">
        <f t="shared" si="14"/>
        <v>6.1697900973432676</v>
      </c>
      <c r="N29" s="68">
        <f t="shared" si="15"/>
        <v>0.29686798696371408</v>
      </c>
    </row>
    <row r="30" spans="1:14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" customHeight="1" x14ac:dyDescent="0.2">
      <c r="A32" s="28" t="s">
        <v>360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7.75" customHeight="1" x14ac:dyDescent="0.2">
      <c r="A33" s="12" t="s">
        <v>236</v>
      </c>
      <c r="B33" s="12" t="s">
        <v>238</v>
      </c>
      <c r="C33" s="12" t="s">
        <v>346</v>
      </c>
      <c r="D33" s="12" t="s">
        <v>347</v>
      </c>
      <c r="E33" s="12" t="s">
        <v>348</v>
      </c>
      <c r="F33" s="12" t="s">
        <v>349</v>
      </c>
      <c r="G33" s="12" t="s">
        <v>350</v>
      </c>
      <c r="H33" s="12" t="s">
        <v>351</v>
      </c>
      <c r="I33" s="12" t="s">
        <v>352</v>
      </c>
      <c r="J33" s="12" t="s">
        <v>353</v>
      </c>
      <c r="K33" s="12" t="s">
        <v>354</v>
      </c>
      <c r="L33" s="21" t="s">
        <v>355</v>
      </c>
      <c r="M33" s="21" t="s">
        <v>356</v>
      </c>
      <c r="N33" s="21" t="s">
        <v>357</v>
      </c>
    </row>
    <row r="34" spans="1:14" ht="15" customHeight="1" x14ac:dyDescent="0.2">
      <c r="A34" s="56" t="str">
        <f>Assumptions!A18</f>
        <v>Substrate (anchor)</v>
      </c>
      <c r="B34" s="57">
        <f>Assumptions!C18</f>
        <v>80</v>
      </c>
      <c r="C34" s="61">
        <f>Assumptions!C18*(1+Assumptions!F18)^10*Assumptions!$B$13</f>
        <v>397.37194899927857</v>
      </c>
      <c r="D34" s="36">
        <f t="shared" ref="D34:D43" si="16">C34/B34</f>
        <v>4.9671493624909822</v>
      </c>
      <c r="E34" s="15">
        <f t="shared" ref="E34:E43" si="17">(C34/B34)^(1/10)-1</f>
        <v>0.17384491223357035</v>
      </c>
      <c r="F34" s="61">
        <f>Assumptions!C18*(1+Assumptions!G18)^10*Assumptions!$B$13</f>
        <v>1015.4227360523871</v>
      </c>
      <c r="G34" s="36">
        <f t="shared" ref="G34:G43" si="18">F34/B34</f>
        <v>12.692784200654838</v>
      </c>
      <c r="H34" s="15">
        <f t="shared" ref="H34:H43" si="19">(F34/B34)^(1/10)-1</f>
        <v>0.28930506753523311</v>
      </c>
      <c r="I34" s="61">
        <f>Assumptions!C18*(1+Assumptions!H18)^10*Assumptions!$B$13</f>
        <v>7.4771729046762632</v>
      </c>
      <c r="J34" s="36">
        <f t="shared" ref="J34:J43" si="20">I34/B34</f>
        <v>9.3464661308453295E-2</v>
      </c>
      <c r="K34" s="15">
        <f t="shared" ref="K34:K43" si="21">(I34/B34)^(1/10)-1</f>
        <v>-0.21102227210530511</v>
      </c>
      <c r="L34" s="62">
        <f>Assumptions!C18*(1+Assumptions!I18)^10*Assumptions!$B$13</f>
        <v>1665.8099343930044</v>
      </c>
      <c r="M34" s="37">
        <f t="shared" ref="M34:M43" si="22">L34/B34</f>
        <v>20.822624179912555</v>
      </c>
      <c r="N34" s="39">
        <f t="shared" ref="N34:N43" si="23">(L34/B34)^(1/10)-1</f>
        <v>0.35473248887284181</v>
      </c>
    </row>
    <row r="35" spans="1:14" ht="15" customHeight="1" x14ac:dyDescent="0.2">
      <c r="A35" s="56" t="str">
        <f>Assumptions!A19</f>
        <v>EUV Tech</v>
      </c>
      <c r="B35" s="57">
        <f>Assumptions!C19</f>
        <v>30</v>
      </c>
      <c r="C35" s="61">
        <f>Assumptions!C19*(1+Assumptions!F19)^10*Assumptions!$B$13</f>
        <v>75.627314808018852</v>
      </c>
      <c r="D35" s="36">
        <f t="shared" si="16"/>
        <v>2.5209104936006286</v>
      </c>
      <c r="E35" s="15">
        <f t="shared" si="17"/>
        <v>9.6871475365795323E-2</v>
      </c>
      <c r="F35" s="61">
        <f>Assumptions!C19*(1+Assumptions!G19)^10*Assumptions!$B$13</f>
        <v>205.74799825293866</v>
      </c>
      <c r="G35" s="36">
        <f t="shared" si="18"/>
        <v>6.8582666084312889</v>
      </c>
      <c r="H35" s="15">
        <f t="shared" si="19"/>
        <v>0.21233163066745786</v>
      </c>
      <c r="I35" s="61">
        <f>Assumptions!C19*(1+Assumptions!H19)^10*Assumptions!$B$13</f>
        <v>27.415894138620086</v>
      </c>
      <c r="J35" s="36">
        <f t="shared" si="20"/>
        <v>0.91386313795400287</v>
      </c>
      <c r="K35" s="15">
        <f t="shared" si="21"/>
        <v>-8.9670003273955023E-3</v>
      </c>
      <c r="L35" s="62">
        <f>Assumptions!C19*(1+Assumptions!I19)^10*Assumptions!$B$13</f>
        <v>290.00539779537064</v>
      </c>
      <c r="M35" s="37">
        <f t="shared" si="22"/>
        <v>9.666846593179022</v>
      </c>
      <c r="N35" s="39">
        <f t="shared" si="23"/>
        <v>0.25466702094473437</v>
      </c>
    </row>
    <row r="36" spans="1:14" ht="15" customHeight="1" x14ac:dyDescent="0.2">
      <c r="A36" s="56" t="str">
        <f>Assumptions!A20</f>
        <v>ThinTronics</v>
      </c>
      <c r="B36" s="57">
        <f>Assumptions!C20</f>
        <v>22.5</v>
      </c>
      <c r="C36" s="61">
        <f>Assumptions!C20*(1+Assumptions!F20)^10*Assumptions!$B$13</f>
        <v>154.31099868970398</v>
      </c>
      <c r="D36" s="36">
        <f t="shared" si="16"/>
        <v>6.858266608431288</v>
      </c>
      <c r="E36" s="15">
        <f t="shared" si="17"/>
        <v>0.21233163066745786</v>
      </c>
      <c r="F36" s="61">
        <f>Assumptions!C20*(1+Assumptions!G20)^10*Assumptions!$B$13</f>
        <v>383.25011587090222</v>
      </c>
      <c r="G36" s="36">
        <f t="shared" si="18"/>
        <v>17.033338483151208</v>
      </c>
      <c r="H36" s="15">
        <f t="shared" si="19"/>
        <v>0.3277917859691204</v>
      </c>
      <c r="I36" s="61">
        <f>Assumptions!C20*(1+Assumptions!H20)^10*Assumptions!$B$13</f>
        <v>5.3347801335300034</v>
      </c>
      <c r="J36" s="36">
        <f t="shared" si="20"/>
        <v>0.23710133926800014</v>
      </c>
      <c r="K36" s="15">
        <f t="shared" si="21"/>
        <v>-0.13404883523753008</v>
      </c>
      <c r="L36" s="62">
        <f>Assumptions!C20*(1+Assumptions!I20)^10*Assumptions!$B$13</f>
        <v>495.81991247779172</v>
      </c>
      <c r="M36" s="37">
        <f t="shared" si="22"/>
        <v>22.036440554568522</v>
      </c>
      <c r="N36" s="39">
        <f t="shared" si="23"/>
        <v>0.36242983255961936</v>
      </c>
    </row>
    <row r="37" spans="1:14" ht="15" customHeight="1" x14ac:dyDescent="0.2">
      <c r="A37" s="56" t="str">
        <f>Assumptions!A21</f>
        <v>EdgeCortix</v>
      </c>
      <c r="B37" s="57">
        <f>Assumptions!C21</f>
        <v>30.5</v>
      </c>
      <c r="C37" s="61">
        <f>Assumptions!C21*(1+Assumptions!F21)^10*Assumptions!$B$13</f>
        <v>178.24838500464008</v>
      </c>
      <c r="D37" s="36">
        <f t="shared" si="16"/>
        <v>5.8442093444144287</v>
      </c>
      <c r="E37" s="15">
        <f t="shared" si="17"/>
        <v>0.19308827145051422</v>
      </c>
      <c r="F37" s="61">
        <f>Assumptions!C21*(1+Assumptions!G21)^10*Assumptions!$B$13</f>
        <v>448.94985513021965</v>
      </c>
      <c r="G37" s="36">
        <f t="shared" si="18"/>
        <v>14.719667381318677</v>
      </c>
      <c r="H37" s="15">
        <f t="shared" si="19"/>
        <v>0.30854842675217675</v>
      </c>
      <c r="I37" s="61">
        <f>Assumptions!C21*(1+Assumptions!H21)^10*Assumptions!$B$13</f>
        <v>9.0092165405981355</v>
      </c>
      <c r="J37" s="36">
        <f t="shared" si="20"/>
        <v>0.29538414887207004</v>
      </c>
      <c r="K37" s="15">
        <f t="shared" si="21"/>
        <v>-0.11480547602058622</v>
      </c>
      <c r="L37" s="62">
        <f>Assumptions!C21*(1+Assumptions!I21)^10*Assumptions!$B$13</f>
        <v>215.91334789623508</v>
      </c>
      <c r="M37" s="37">
        <f t="shared" si="22"/>
        <v>7.0791261605322982</v>
      </c>
      <c r="N37" s="39">
        <f t="shared" si="23"/>
        <v>0.21618030251084663</v>
      </c>
    </row>
    <row r="38" spans="1:14" ht="15" customHeight="1" x14ac:dyDescent="0.2">
      <c r="A38" s="56" t="str">
        <f>Assumptions!A22</f>
        <v>Syntiant</v>
      </c>
      <c r="B38" s="57">
        <f>Assumptions!C22</f>
        <v>31.5</v>
      </c>
      <c r="C38" s="61">
        <f>Assumptions!C22*(1+Assumptions!F22)^10*Assumptions!$B$13</f>
        <v>94.492939384681165</v>
      </c>
      <c r="D38" s="36">
        <f t="shared" si="16"/>
        <v>2.9997758534819416</v>
      </c>
      <c r="E38" s="15">
        <f t="shared" si="17"/>
        <v>0.11611483458273897</v>
      </c>
      <c r="F38" s="61">
        <f>Assumptions!C22*(1+Assumptions!G22)^10*Assumptions!$B$13</f>
        <v>252.88272515766954</v>
      </c>
      <c r="G38" s="36">
        <f t="shared" si="18"/>
        <v>8.0280230208783987</v>
      </c>
      <c r="H38" s="15">
        <f t="shared" si="19"/>
        <v>0.23157498988440173</v>
      </c>
      <c r="I38" s="61">
        <f>Assumptions!C22*(1+Assumptions!H22)^10*Assumptions!$B$13</f>
        <v>17.501699523531251</v>
      </c>
      <c r="J38" s="36">
        <f t="shared" si="20"/>
        <v>0.55560950868353176</v>
      </c>
      <c r="K38" s="15">
        <f t="shared" si="21"/>
        <v>-5.7075398369755059E-2</v>
      </c>
      <c r="L38" s="62">
        <f>Assumptions!C22*(1+Assumptions!I22)^10*Assumptions!$B$13</f>
        <v>156.46520491846593</v>
      </c>
      <c r="M38" s="37">
        <f t="shared" si="22"/>
        <v>4.9671493624909822</v>
      </c>
      <c r="N38" s="39">
        <f t="shared" si="23"/>
        <v>0.17384491223357035</v>
      </c>
    </row>
    <row r="39" spans="1:14" ht="15" customHeight="1" x14ac:dyDescent="0.2">
      <c r="A39" s="56" t="str">
        <f>Assumptions!A23</f>
        <v>Infleqtion</v>
      </c>
      <c r="B39" s="57">
        <f>Assumptions!C23</f>
        <v>25</v>
      </c>
      <c r="C39" s="61">
        <f>Assumptions!C23*(1+Assumptions!F23)^10*Assumptions!$B$13</f>
        <v>68.774481507034423</v>
      </c>
      <c r="D39" s="36">
        <f t="shared" si="16"/>
        <v>2.750979260281377</v>
      </c>
      <c r="E39" s="15">
        <f t="shared" si="17"/>
        <v>0.10649315497426692</v>
      </c>
      <c r="F39" s="61">
        <f>Assumptions!C23*(1+Assumptions!G23)^10*Assumptions!$B$13</f>
        <v>185.56075502247694</v>
      </c>
      <c r="G39" s="36">
        <f t="shared" si="18"/>
        <v>7.4224302008990772</v>
      </c>
      <c r="H39" s="15">
        <f t="shared" si="19"/>
        <v>0.22195331027592968</v>
      </c>
      <c r="I39" s="61">
        <f>Assumptions!C23*(1+Assumptions!H23)^10*Assumptions!$B$13</f>
        <v>5.9275334817000029</v>
      </c>
      <c r="J39" s="36">
        <f t="shared" si="20"/>
        <v>0.23710133926800012</v>
      </c>
      <c r="K39" s="15">
        <f t="shared" si="21"/>
        <v>-0.13404883523753008</v>
      </c>
      <c r="L39" s="62">
        <f>Assumptions!C23*(1+Assumptions!I23)^10*Assumptions!$B$13</f>
        <v>126.22953443753984</v>
      </c>
      <c r="M39" s="37">
        <f t="shared" si="22"/>
        <v>5.0491813775015935</v>
      </c>
      <c r="N39" s="39">
        <f t="shared" si="23"/>
        <v>0.17576924815526462</v>
      </c>
    </row>
    <row r="40" spans="1:14" ht="15" customHeight="1" x14ac:dyDescent="0.2">
      <c r="A40" s="56" t="str">
        <f>Assumptions!A24</f>
        <v>Diraq</v>
      </c>
      <c r="B40" s="57">
        <f>Assumptions!C24</f>
        <v>14</v>
      </c>
      <c r="C40" s="61">
        <f>Assumptions!C24*(1+Assumptions!F24)^10*Assumptions!$B$13</f>
        <v>131.24128424024806</v>
      </c>
      <c r="D40" s="36">
        <f t="shared" si="16"/>
        <v>9.374377445732005</v>
      </c>
      <c r="E40" s="15">
        <f t="shared" si="17"/>
        <v>0.25081834910134537</v>
      </c>
      <c r="F40" s="61">
        <f>Assumptions!C24*(1+Assumptions!G24)^10*Assumptions!$B$13</f>
        <v>317.33676652148802</v>
      </c>
      <c r="G40" s="36">
        <f t="shared" si="18"/>
        <v>22.666911894392001</v>
      </c>
      <c r="H40" s="15">
        <f t="shared" si="19"/>
        <v>0.36627850440300813</v>
      </c>
      <c r="I40" s="61">
        <f>Assumptions!C24*(1+Assumptions!H24)^10*Assumptions!$B$13</f>
        <v>0.7935658591336866</v>
      </c>
      <c r="J40" s="36">
        <f t="shared" si="20"/>
        <v>5.6683275652406183E-2</v>
      </c>
      <c r="K40" s="15">
        <f t="shared" si="21"/>
        <v>-0.24950899053919273</v>
      </c>
      <c r="L40" s="62">
        <f>Assumptions!C24*(1+Assumptions!I24)^10*Assumptions!$B$13</f>
        <v>245.4696761229529</v>
      </c>
      <c r="M40" s="37">
        <f t="shared" si="22"/>
        <v>17.533548294496637</v>
      </c>
      <c r="N40" s="39">
        <f t="shared" si="23"/>
        <v>0.33164045781250939</v>
      </c>
    </row>
    <row r="41" spans="1:14" ht="15" customHeight="1" x14ac:dyDescent="0.2">
      <c r="A41" s="56" t="str">
        <f>Assumptions!A25</f>
        <v>Mueon</v>
      </c>
      <c r="B41" s="57">
        <f>Assumptions!C25</f>
        <v>10</v>
      </c>
      <c r="C41" s="61">
        <f>Assumptions!C25*(1+Assumptions!F25)^10*Assumptions!$B$13</f>
        <v>109.20643369158059</v>
      </c>
      <c r="D41" s="36">
        <f t="shared" si="16"/>
        <v>10.920643369158059</v>
      </c>
      <c r="E41" s="15">
        <f t="shared" si="17"/>
        <v>0.27006170831828924</v>
      </c>
      <c r="F41" s="61">
        <f>Assumptions!C25*(1+Assumptions!G25)^10*Assumptions!$B$13</f>
        <v>260.69567948642822</v>
      </c>
      <c r="G41" s="36">
        <f t="shared" si="18"/>
        <v>26.06956794864282</v>
      </c>
      <c r="H41" s="15">
        <f t="shared" si="19"/>
        <v>0.38552186361995178</v>
      </c>
      <c r="I41" s="61">
        <f>Assumptions!C25*(1+Assumptions!H25)^10*Assumptions!$B$13</f>
        <v>0.25458562449846506</v>
      </c>
      <c r="J41" s="36">
        <f t="shared" si="20"/>
        <v>2.5458562449846504E-2</v>
      </c>
      <c r="K41" s="15">
        <f t="shared" si="21"/>
        <v>-0.30723906819002411</v>
      </c>
      <c r="L41" s="62">
        <f>Assumptions!C25*(1+Assumptions!I25)^10*Assumptions!$B$13</f>
        <v>191.14506752227283</v>
      </c>
      <c r="M41" s="37">
        <f t="shared" si="22"/>
        <v>19.114506752227282</v>
      </c>
      <c r="N41" s="39">
        <f t="shared" si="23"/>
        <v>0.34318647334267549</v>
      </c>
    </row>
    <row r="42" spans="1:14" ht="15" customHeight="1" x14ac:dyDescent="0.2">
      <c r="A42" s="56" t="str">
        <f>Assumptions!A26</f>
        <v>DefendEye</v>
      </c>
      <c r="B42" s="57">
        <f>Assumptions!C26</f>
        <v>6.5</v>
      </c>
      <c r="C42" s="61">
        <f>Assumptions!C26*(1+Assumptions!F26)^10*Assumptions!$B$13</f>
        <v>52.182149635709585</v>
      </c>
      <c r="D42" s="36">
        <f t="shared" si="16"/>
        <v>8.0280230208783969</v>
      </c>
      <c r="E42" s="15">
        <f t="shared" si="17"/>
        <v>0.23157498988440173</v>
      </c>
      <c r="F42" s="61">
        <f>Assumptions!C26*(1+Assumptions!G26)^10*Assumptions!$B$13</f>
        <v>127.85055749939191</v>
      </c>
      <c r="G42" s="36">
        <f t="shared" si="18"/>
        <v>19.669316538367987</v>
      </c>
      <c r="H42" s="15">
        <f t="shared" si="19"/>
        <v>0.34703514518606426</v>
      </c>
      <c r="I42" s="61">
        <f>Assumptions!C26*(1+Assumptions!H26)^10*Assumptions!$B$13</f>
        <v>0.24890573501586916</v>
      </c>
      <c r="J42" s="36">
        <f t="shared" si="20"/>
        <v>3.8293190002441406E-2</v>
      </c>
      <c r="K42" s="15">
        <f t="shared" si="21"/>
        <v>-0.27837402936460842</v>
      </c>
      <c r="L42" s="62">
        <f>Assumptions!C26*(1+Assumptions!I26)^10*Assumptions!$B$13</f>
        <v>31.243380555763839</v>
      </c>
      <c r="M42" s="37">
        <f t="shared" si="22"/>
        <v>4.8066739316559755</v>
      </c>
      <c r="N42" s="39">
        <f t="shared" si="23"/>
        <v>0.16999624039018157</v>
      </c>
    </row>
    <row r="43" spans="1:14" ht="15" customHeight="1" x14ac:dyDescent="0.2">
      <c r="A43" s="53" t="s">
        <v>358</v>
      </c>
      <c r="B43" s="63">
        <f>SUM(B34:B42)</f>
        <v>250</v>
      </c>
      <c r="C43" s="63">
        <f>SUM(C34:C42)</f>
        <v>1261.4559359608952</v>
      </c>
      <c r="D43" s="64">
        <f t="shared" si="16"/>
        <v>5.0458237438435809</v>
      </c>
      <c r="E43" s="65">
        <f t="shared" si="17"/>
        <v>0.17569103776909034</v>
      </c>
      <c r="F43" s="63">
        <f>SUM(F34:F42)</f>
        <v>3197.6971889939018</v>
      </c>
      <c r="G43" s="64">
        <f t="shared" si="18"/>
        <v>12.790788755975607</v>
      </c>
      <c r="H43" s="65">
        <f t="shared" si="19"/>
        <v>0.29029713407562086</v>
      </c>
      <c r="I43" s="63">
        <f>SUM(I34:I42)</f>
        <v>73.963353941303765</v>
      </c>
      <c r="J43" s="64">
        <f t="shared" si="20"/>
        <v>0.29585341576521507</v>
      </c>
      <c r="K43" s="65">
        <f t="shared" si="21"/>
        <v>-0.11466494856842613</v>
      </c>
      <c r="L43" s="66">
        <f>SUM(L34:L42)</f>
        <v>3418.101456119397</v>
      </c>
      <c r="M43" s="67">
        <f t="shared" si="22"/>
        <v>13.672405824477588</v>
      </c>
      <c r="N43" s="68">
        <f t="shared" si="23"/>
        <v>0.2989262515476212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4374"/>
    <pageSetUpPr fitToPage="1"/>
  </sheetPr>
  <dimension ref="A1:F49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30" customWidth="1"/>
    <col min="2" max="5" width="13" customWidth="1"/>
    <col min="6" max="6" width="14" customWidth="1"/>
  </cols>
  <sheetData>
    <row r="1" spans="1:6" ht="18" customHeight="1" x14ac:dyDescent="0.2">
      <c r="A1" s="9" t="s">
        <v>361</v>
      </c>
      <c r="B1" s="1"/>
      <c r="C1" s="1"/>
      <c r="D1" s="1"/>
      <c r="E1" s="1"/>
      <c r="F1" s="1"/>
    </row>
    <row r="2" spans="1:6" ht="15" customHeight="1" x14ac:dyDescent="0.2">
      <c r="A2" s="10" t="s">
        <v>362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28" t="s">
        <v>363</v>
      </c>
      <c r="B4" s="1"/>
      <c r="C4" s="1"/>
      <c r="D4" s="1"/>
      <c r="E4" s="1"/>
      <c r="F4" s="1"/>
    </row>
    <row r="5" spans="1:6" ht="15" customHeight="1" x14ac:dyDescent="0.2">
      <c r="A5" s="12" t="s">
        <v>104</v>
      </c>
      <c r="B5" s="12" t="s">
        <v>11</v>
      </c>
      <c r="C5" s="12" t="s">
        <v>12</v>
      </c>
      <c r="D5" s="12" t="s">
        <v>13</v>
      </c>
      <c r="E5" s="21" t="s">
        <v>14</v>
      </c>
      <c r="F5" s="29" t="s">
        <v>15</v>
      </c>
    </row>
    <row r="6" spans="1:6" ht="15" customHeight="1" x14ac:dyDescent="0.2">
      <c r="A6" s="13" t="s">
        <v>364</v>
      </c>
      <c r="B6" s="30">
        <f>'Portfolio Returns'!C15</f>
        <v>565.83077975525509</v>
      </c>
      <c r="C6" s="30">
        <f>'Portfolio Returns'!F15</f>
        <v>904.36141629875499</v>
      </c>
      <c r="D6" s="30">
        <f>'Portfolio Returns'!I15</f>
        <v>126.2935256890875</v>
      </c>
      <c r="E6" s="31">
        <f>'Portfolio Returns'!L15</f>
        <v>915.40631375021439</v>
      </c>
      <c r="F6" s="30">
        <f>B6*'Defense Supercycle'!$B$17+C6*'Defense Supercycle'!$B$18+D6*'Defense Supercycle'!$B$19+E6*'Defense Supercycle'!$B$20</f>
        <v>636.9691808804489</v>
      </c>
    </row>
    <row r="7" spans="1:6" ht="15" customHeight="1" x14ac:dyDescent="0.2">
      <c r="A7" s="13" t="s">
        <v>365</v>
      </c>
      <c r="B7" s="30">
        <f>-Assumptions!$B$5</f>
        <v>-250</v>
      </c>
      <c r="C7" s="30">
        <f>-Assumptions!$B$5</f>
        <v>-250</v>
      </c>
      <c r="D7" s="30">
        <f>-Assumptions!$B$5</f>
        <v>-250</v>
      </c>
      <c r="E7" s="31">
        <f>-Assumptions!$B$5</f>
        <v>-250</v>
      </c>
      <c r="F7" s="30">
        <f>B7*'Defense Supercycle'!$B$17+C7*'Defense Supercycle'!$B$18+D7*'Defense Supercycle'!$B$19+E7*'Defense Supercycle'!$B$20</f>
        <v>-250</v>
      </c>
    </row>
    <row r="8" spans="1:6" ht="15" customHeight="1" x14ac:dyDescent="0.2">
      <c r="A8" s="13" t="s">
        <v>366</v>
      </c>
      <c r="B8" s="30">
        <f>-Assumptions!$B$5*((1+Assumptions!$B$10)^5-1)</f>
        <v>-117.33201920000008</v>
      </c>
      <c r="C8" s="30">
        <f>-Assumptions!$B$5*((1+Assumptions!$B$10)^5-1)</f>
        <v>-117.33201920000008</v>
      </c>
      <c r="D8" s="30">
        <f>-Assumptions!$B$5*((1+Assumptions!$B$10)^5-1)</f>
        <v>-117.33201920000008</v>
      </c>
      <c r="E8" s="31">
        <f>-Assumptions!$B$5*((1+Assumptions!$B$10)^5-1)</f>
        <v>-117.33201920000008</v>
      </c>
      <c r="F8" s="30">
        <f>B8*'Defense Supercycle'!$B$17+C8*'Defense Supercycle'!$B$18+D8*'Defense Supercycle'!$B$19+E8*'Defense Supercycle'!$B$20</f>
        <v>-117.33201920000008</v>
      </c>
    </row>
    <row r="9" spans="1:6" ht="15" customHeight="1" x14ac:dyDescent="0.2">
      <c r="A9" s="13" t="s">
        <v>367</v>
      </c>
      <c r="B9" s="30">
        <f>MAX(0,B6+B7+B8)</f>
        <v>198.49876055525502</v>
      </c>
      <c r="C9" s="30">
        <f>MAX(0,C6+C7+C8)</f>
        <v>537.02939709875488</v>
      </c>
      <c r="D9" s="30">
        <f>MAX(0,D6+D7+D8)</f>
        <v>0</v>
      </c>
      <c r="E9" s="31">
        <f>MAX(0,E6+E7+E8)</f>
        <v>548.07429455021429</v>
      </c>
      <c r="F9" s="30">
        <f>B9*'Defense Supercycle'!$B$17+C9*'Defense Supercycle'!$B$18+D9*'Defense Supercycle'!$B$19+E9*'Defense Supercycle'!$B$20</f>
        <v>305.79293570708558</v>
      </c>
    </row>
    <row r="10" spans="1:6" ht="15" customHeight="1" x14ac:dyDescent="0.2">
      <c r="A10" s="13" t="s">
        <v>368</v>
      </c>
      <c r="B10" s="30">
        <f>-Assumptions!$B$9*B9</f>
        <v>-39.699752111051005</v>
      </c>
      <c r="C10" s="30">
        <f>-Assumptions!$B$9*C9</f>
        <v>-107.40587941975099</v>
      </c>
      <c r="D10" s="30">
        <f>-Assumptions!$B$9*D9</f>
        <v>0</v>
      </c>
      <c r="E10" s="31">
        <f>-Assumptions!$B$9*E9</f>
        <v>-109.61485891004287</v>
      </c>
      <c r="F10" s="30">
        <f>B10*'Defense Supercycle'!$B$17+C10*'Defense Supercycle'!$B$18+D10*'Defense Supercycle'!$B$19+E10*'Defense Supercycle'!$B$20</f>
        <v>-61.158587141417129</v>
      </c>
    </row>
    <row r="11" spans="1:6" ht="15" customHeight="1" x14ac:dyDescent="0.2">
      <c r="A11" s="13" t="s">
        <v>369</v>
      </c>
      <c r="B11" s="30">
        <f>-Assumptions!$B$5*Assumptions!$B$8*5</f>
        <v>-25</v>
      </c>
      <c r="C11" s="30">
        <f>-Assumptions!$B$5*Assumptions!$B$8*5</f>
        <v>-25</v>
      </c>
      <c r="D11" s="30">
        <f>-Assumptions!$B$5*Assumptions!$B$8*5</f>
        <v>-25</v>
      </c>
      <c r="E11" s="31">
        <f>-Assumptions!$B$5*Assumptions!$B$8*5</f>
        <v>-25</v>
      </c>
      <c r="F11" s="30">
        <f>B11*'Defense Supercycle'!$B$17+C11*'Defense Supercycle'!$B$18+D11*'Defense Supercycle'!$B$19+E11*'Defense Supercycle'!$B$20</f>
        <v>-25</v>
      </c>
    </row>
    <row r="12" spans="1:6" ht="15" customHeight="1" x14ac:dyDescent="0.2">
      <c r="A12" s="33" t="s">
        <v>370</v>
      </c>
      <c r="B12" s="34">
        <f>B6+B10+B11</f>
        <v>501.1310276442041</v>
      </c>
      <c r="C12" s="34">
        <f>C6+C10+C11</f>
        <v>771.95553687900406</v>
      </c>
      <c r="D12" s="34">
        <f>D6+D10+D11</f>
        <v>101.2935256890875</v>
      </c>
      <c r="E12" s="34">
        <f>E6+E10+E11</f>
        <v>780.79145484017158</v>
      </c>
      <c r="F12" s="69">
        <f>B12*'Defense Supercycle'!$B$17+C12*'Defense Supercycle'!$B$18+D12*'Defense Supercycle'!$B$19+E12*'Defense Supercycle'!$B$20</f>
        <v>550.81059373903167</v>
      </c>
    </row>
    <row r="13" spans="1:6" ht="15" customHeight="1" x14ac:dyDescent="0.2">
      <c r="A13" s="13" t="s">
        <v>371</v>
      </c>
      <c r="B13" s="36">
        <f>B6/Assumptions!$B$5</f>
        <v>2.2633231190210203</v>
      </c>
      <c r="C13" s="36">
        <f>C6/Assumptions!$B$5</f>
        <v>3.61744566519502</v>
      </c>
      <c r="D13" s="36">
        <f>D6/Assumptions!$B$5</f>
        <v>0.50517410275635</v>
      </c>
      <c r="E13" s="37">
        <f>E6/Assumptions!$B$5</f>
        <v>3.6616252550008577</v>
      </c>
      <c r="F13" s="36">
        <f>F6/Assumptions!$B$5</f>
        <v>2.5478767235217954</v>
      </c>
    </row>
    <row r="14" spans="1:6" ht="15" customHeight="1" x14ac:dyDescent="0.2">
      <c r="A14" s="33" t="s">
        <v>372</v>
      </c>
      <c r="B14" s="35">
        <f>B12/Assumptions!$B$5</f>
        <v>2.0045241105768166</v>
      </c>
      <c r="C14" s="35">
        <f>C12/Assumptions!$B$5</f>
        <v>3.0878221475160164</v>
      </c>
      <c r="D14" s="35">
        <f>D12/Assumptions!$B$5</f>
        <v>0.40517410275635002</v>
      </c>
      <c r="E14" s="35">
        <f>E12/Assumptions!$B$5</f>
        <v>3.1231658193606862</v>
      </c>
      <c r="F14" s="70">
        <f>F12/Assumptions!$B$5</f>
        <v>2.2032423749561265</v>
      </c>
    </row>
    <row r="15" spans="1:6" ht="15" customHeight="1" x14ac:dyDescent="0.2">
      <c r="A15" s="13" t="s">
        <v>373</v>
      </c>
      <c r="B15" s="15">
        <f>(B6/Assumptions!$B$5)^(1/5)-1</f>
        <v>0.17746853889181335</v>
      </c>
      <c r="C15" s="15">
        <f>(C6/Assumptions!$B$5)^(1/5)-1</f>
        <v>0.29324379497958408</v>
      </c>
      <c r="D15" s="15">
        <f>(D6/Assumptions!$B$5)^(1/5)-1</f>
        <v>-0.1276551213612328</v>
      </c>
      <c r="E15" s="39">
        <f>(E6/Assumptions!$B$5)^(1/5)-1</f>
        <v>0.29638733323967204</v>
      </c>
      <c r="F15" s="15">
        <f>(F6/Assumptions!$B$5)^(1/5)-1</f>
        <v>0.20569006487290808</v>
      </c>
    </row>
    <row r="16" spans="1:6" ht="15" customHeight="1" x14ac:dyDescent="0.2">
      <c r="A16" s="33" t="s">
        <v>374</v>
      </c>
      <c r="B16" s="20">
        <f>(B12/Assumptions!$B$5)^(1/5)-1</f>
        <v>0.14921756925053842</v>
      </c>
      <c r="C16" s="20">
        <f>(C12/Assumptions!$B$5)^(1/5)-1</f>
        <v>0.2529405230598698</v>
      </c>
      <c r="D16" s="20">
        <f>(D12/Assumptions!$B$5)^(1/5)-1</f>
        <v>-0.1653039932407776</v>
      </c>
      <c r="E16" s="20">
        <f>(E12/Assumptions!$B$5)^(1/5)-1</f>
        <v>0.25579574901845725</v>
      </c>
      <c r="F16" s="71">
        <f>(F12/Assumptions!$B$5)^(1/5)-1</f>
        <v>0.1711498177436066</v>
      </c>
    </row>
    <row r="17" spans="1:6" ht="15" customHeight="1" x14ac:dyDescent="0.2">
      <c r="A17" s="13" t="s">
        <v>375</v>
      </c>
      <c r="B17" s="36">
        <f>B12/Assumptions!$B$5</f>
        <v>2.0045241105768166</v>
      </c>
      <c r="C17" s="36">
        <f>C12/Assumptions!$B$5</f>
        <v>3.0878221475160164</v>
      </c>
      <c r="D17" s="36">
        <f>D12/Assumptions!$B$5</f>
        <v>0.40517410275635002</v>
      </c>
      <c r="E17" s="37">
        <f>E12/Assumptions!$B$5</f>
        <v>3.1231658193606862</v>
      </c>
      <c r="F17" s="36">
        <f>F12/Assumptions!$B$5</f>
        <v>2.2032423749561265</v>
      </c>
    </row>
    <row r="18" spans="1:6" ht="15" customHeight="1" x14ac:dyDescent="0.2">
      <c r="A18" s="1"/>
      <c r="B18" s="1"/>
      <c r="C18" s="1"/>
      <c r="D18" s="1"/>
      <c r="E18" s="1"/>
      <c r="F18" s="1"/>
    </row>
    <row r="19" spans="1:6" ht="15" customHeight="1" x14ac:dyDescent="0.2">
      <c r="A19" s="1"/>
      <c r="B19" s="1"/>
      <c r="C19" s="1"/>
      <c r="D19" s="1"/>
      <c r="E19" s="1"/>
      <c r="F19" s="1"/>
    </row>
    <row r="20" spans="1:6" ht="15" customHeight="1" x14ac:dyDescent="0.2">
      <c r="A20" s="28" t="s">
        <v>376</v>
      </c>
      <c r="B20" s="1"/>
      <c r="C20" s="1"/>
      <c r="D20" s="1"/>
      <c r="E20" s="1"/>
      <c r="F20" s="1"/>
    </row>
    <row r="21" spans="1:6" ht="15" customHeight="1" x14ac:dyDescent="0.2">
      <c r="A21" s="12" t="s">
        <v>104</v>
      </c>
      <c r="B21" s="12" t="s">
        <v>11</v>
      </c>
      <c r="C21" s="12" t="s">
        <v>12</v>
      </c>
      <c r="D21" s="12" t="s">
        <v>13</v>
      </c>
      <c r="E21" s="21" t="s">
        <v>14</v>
      </c>
      <c r="F21" s="29" t="s">
        <v>15</v>
      </c>
    </row>
    <row r="22" spans="1:6" ht="15" customHeight="1" x14ac:dyDescent="0.2">
      <c r="A22" s="13" t="s">
        <v>364</v>
      </c>
      <c r="B22" s="30">
        <f>'Portfolio Returns'!C29</f>
        <v>778.13077147638239</v>
      </c>
      <c r="C22" s="30">
        <f>'Portfolio Returns'!F29</f>
        <v>1497.0052965953114</v>
      </c>
      <c r="D22" s="30">
        <f>'Portfolio Returns'!I29</f>
        <v>100.03368819360789</v>
      </c>
      <c r="E22" s="31">
        <f>'Portfolio Returns'!L29</f>
        <v>1542.447524335817</v>
      </c>
      <c r="F22" s="30">
        <f>B22*'Defense Supercycle'!$B$17+C22*'Defense Supercycle'!$B$18+D22*'Defense Supercycle'!$B$19+E22*'Defense Supercycle'!$B$20</f>
        <v>970.78235319261375</v>
      </c>
    </row>
    <row r="23" spans="1:6" ht="15" customHeight="1" x14ac:dyDescent="0.2">
      <c r="A23" s="13" t="s">
        <v>365</v>
      </c>
      <c r="B23" s="30">
        <f>-Assumptions!$B$5</f>
        <v>-250</v>
      </c>
      <c r="C23" s="30">
        <f>-Assumptions!$B$5</f>
        <v>-250</v>
      </c>
      <c r="D23" s="30">
        <f>-Assumptions!$B$5</f>
        <v>-250</v>
      </c>
      <c r="E23" s="31">
        <f>-Assumptions!$B$5</f>
        <v>-250</v>
      </c>
      <c r="F23" s="30">
        <f>B23*'Defense Supercycle'!$B$17+C23*'Defense Supercycle'!$B$18+D23*'Defense Supercycle'!$B$19+E23*'Defense Supercycle'!$B$20</f>
        <v>-250</v>
      </c>
    </row>
    <row r="24" spans="1:6" ht="15" customHeight="1" x14ac:dyDescent="0.2">
      <c r="A24" s="13" t="s">
        <v>366</v>
      </c>
      <c r="B24" s="30">
        <f>-Assumptions!$B$5*((1+Assumptions!$B$10)^7-1)</f>
        <v>-178.45606719488018</v>
      </c>
      <c r="C24" s="30">
        <f>-Assumptions!$B$5*((1+Assumptions!$B$10)^7-1)</f>
        <v>-178.45606719488018</v>
      </c>
      <c r="D24" s="30">
        <f>-Assumptions!$B$5*((1+Assumptions!$B$10)^7-1)</f>
        <v>-178.45606719488018</v>
      </c>
      <c r="E24" s="31">
        <f>-Assumptions!$B$5*((1+Assumptions!$B$10)^7-1)</f>
        <v>-178.45606719488018</v>
      </c>
      <c r="F24" s="30">
        <f>B24*'Defense Supercycle'!$B$17+C24*'Defense Supercycle'!$B$18+D24*'Defense Supercycle'!$B$19+E24*'Defense Supercycle'!$B$20</f>
        <v>-178.45606719488018</v>
      </c>
    </row>
    <row r="25" spans="1:6" ht="15" customHeight="1" x14ac:dyDescent="0.2">
      <c r="A25" s="13" t="s">
        <v>367</v>
      </c>
      <c r="B25" s="30">
        <f>MAX(0,B22+B23+B24)</f>
        <v>349.67470428150222</v>
      </c>
      <c r="C25" s="30">
        <f>MAX(0,C22+C23+C24)</f>
        <v>1068.5492294004312</v>
      </c>
      <c r="D25" s="30">
        <f>MAX(0,D22+D23+D24)</f>
        <v>0</v>
      </c>
      <c r="E25" s="31">
        <f>MAX(0,E22+E23+E24)</f>
        <v>1113.9914571409367</v>
      </c>
      <c r="F25" s="30">
        <f>B25*'Defense Supercycle'!$B$17+C25*'Defense Supercycle'!$B$18+D25*'Defense Supercycle'!$B$19+E25*'Defense Supercycle'!$B$20</f>
        <v>591.58964284792432</v>
      </c>
    </row>
    <row r="26" spans="1:6" ht="15" customHeight="1" x14ac:dyDescent="0.2">
      <c r="A26" s="13" t="s">
        <v>368</v>
      </c>
      <c r="B26" s="30">
        <f>-Assumptions!$B$9*B25</f>
        <v>-69.934940856300443</v>
      </c>
      <c r="C26" s="30">
        <f>-Assumptions!$B$9*C25</f>
        <v>-213.70984588008625</v>
      </c>
      <c r="D26" s="30">
        <f>-Assumptions!$B$9*D25</f>
        <v>0</v>
      </c>
      <c r="E26" s="31">
        <f>-Assumptions!$B$9*E25</f>
        <v>-222.79829142818735</v>
      </c>
      <c r="F26" s="30">
        <f>B26*'Defense Supercycle'!$B$17+C26*'Defense Supercycle'!$B$18+D26*'Defense Supercycle'!$B$19+E26*'Defense Supercycle'!$B$20</f>
        <v>-118.31792856958486</v>
      </c>
    </row>
    <row r="27" spans="1:6" ht="15" customHeight="1" x14ac:dyDescent="0.2">
      <c r="A27" s="13" t="s">
        <v>369</v>
      </c>
      <c r="B27" s="30">
        <f>-Assumptions!$B$5*Assumptions!$B$8*7</f>
        <v>-35</v>
      </c>
      <c r="C27" s="30">
        <f>-Assumptions!$B$5*Assumptions!$B$8*7</f>
        <v>-35</v>
      </c>
      <c r="D27" s="30">
        <f>-Assumptions!$B$5*Assumptions!$B$8*7</f>
        <v>-35</v>
      </c>
      <c r="E27" s="31">
        <f>-Assumptions!$B$5*Assumptions!$B$8*7</f>
        <v>-35</v>
      </c>
      <c r="F27" s="30">
        <f>B27*'Defense Supercycle'!$B$17+C27*'Defense Supercycle'!$B$18+D27*'Defense Supercycle'!$B$19+E27*'Defense Supercycle'!$B$20</f>
        <v>-35</v>
      </c>
    </row>
    <row r="28" spans="1:6" ht="15" customHeight="1" x14ac:dyDescent="0.2">
      <c r="A28" s="33" t="s">
        <v>370</v>
      </c>
      <c r="B28" s="34">
        <f>B22+B26+B27</f>
        <v>673.19583062008201</v>
      </c>
      <c r="C28" s="34">
        <f>C22+C26+C27</f>
        <v>1248.2954507152251</v>
      </c>
      <c r="D28" s="34">
        <f>D22+D26+D27</f>
        <v>65.033688193607887</v>
      </c>
      <c r="E28" s="34">
        <f>E22+E26+E27</f>
        <v>1284.6492329076295</v>
      </c>
      <c r="F28" s="69">
        <f>B28*'Defense Supercycle'!$B$17+C28*'Defense Supercycle'!$B$18+D28*'Defense Supercycle'!$B$19+E28*'Defense Supercycle'!$B$20</f>
        <v>817.46442462302889</v>
      </c>
    </row>
    <row r="29" spans="1:6" ht="15" customHeight="1" x14ac:dyDescent="0.2">
      <c r="A29" s="13" t="s">
        <v>371</v>
      </c>
      <c r="B29" s="36">
        <f>B22/Assumptions!$B$5</f>
        <v>3.1125230859055297</v>
      </c>
      <c r="C29" s="36">
        <f>C22/Assumptions!$B$5</f>
        <v>5.9880211863812454</v>
      </c>
      <c r="D29" s="36">
        <f>D22/Assumptions!$B$5</f>
        <v>0.40013475277443156</v>
      </c>
      <c r="E29" s="37">
        <f>E22/Assumptions!$B$5</f>
        <v>6.1697900973432676</v>
      </c>
      <c r="F29" s="36">
        <f>F22/Assumptions!$B$5</f>
        <v>3.883129412770455</v>
      </c>
    </row>
    <row r="30" spans="1:6" ht="15" customHeight="1" x14ac:dyDescent="0.2">
      <c r="A30" s="33" t="s">
        <v>372</v>
      </c>
      <c r="B30" s="35">
        <f>B28/Assumptions!$B$5</f>
        <v>2.6927833224803281</v>
      </c>
      <c r="C30" s="35">
        <f>C28/Assumptions!$B$5</f>
        <v>4.9931818028609003</v>
      </c>
      <c r="D30" s="35">
        <f>D28/Assumptions!$B$5</f>
        <v>0.26013475277443154</v>
      </c>
      <c r="E30" s="35">
        <f>E28/Assumptions!$B$5</f>
        <v>5.1385969316305182</v>
      </c>
      <c r="F30" s="70">
        <f>F28/Assumptions!$B$5</f>
        <v>3.2698576984921157</v>
      </c>
    </row>
    <row r="31" spans="1:6" ht="15" customHeight="1" x14ac:dyDescent="0.2">
      <c r="A31" s="13" t="s">
        <v>373</v>
      </c>
      <c r="B31" s="15">
        <f>(B22/Assumptions!$B$5)^(1/7)-1</f>
        <v>0.17610109541967134</v>
      </c>
      <c r="C31" s="15">
        <f>(C22/Assumptions!$B$5)^(1/7)-1</f>
        <v>0.29133961853989532</v>
      </c>
      <c r="D31" s="15">
        <f>(D22/Assumptions!$B$5)^(1/7)-1</f>
        <v>-0.12265112271839618</v>
      </c>
      <c r="E31" s="39">
        <f>(E22/Assumptions!$B$5)^(1/7)-1</f>
        <v>0.29686798696371408</v>
      </c>
      <c r="F31" s="15">
        <f>(F22/Assumptions!$B$5)^(1/7)-1</f>
        <v>0.21386066330274089</v>
      </c>
    </row>
    <row r="32" spans="1:6" ht="15" customHeight="1" x14ac:dyDescent="0.2">
      <c r="A32" s="33" t="s">
        <v>374</v>
      </c>
      <c r="B32" s="20">
        <f>(B28/Assumptions!$B$5)^(1/7)-1</f>
        <v>0.15201290496463771</v>
      </c>
      <c r="C32" s="20">
        <f>(C28/Assumptions!$B$5)^(1/7)-1</f>
        <v>0.25825364455940703</v>
      </c>
      <c r="D32" s="20">
        <f>(D28/Assumptions!$B$5)^(1/7)-1</f>
        <v>-0.17499437274931617</v>
      </c>
      <c r="E32" s="20">
        <f>(E28/Assumptions!$B$5)^(1/7)-1</f>
        <v>0.26342428915744498</v>
      </c>
      <c r="F32" s="71">
        <f>(F28/Assumptions!$B$5)^(1/7)-1</f>
        <v>0.184415608120029</v>
      </c>
    </row>
    <row r="33" spans="1:6" ht="15" customHeight="1" x14ac:dyDescent="0.2">
      <c r="A33" s="13" t="s">
        <v>375</v>
      </c>
      <c r="B33" s="36">
        <f>B28/Assumptions!$B$5</f>
        <v>2.6927833224803281</v>
      </c>
      <c r="C33" s="36">
        <f>C28/Assumptions!$B$5</f>
        <v>4.9931818028609003</v>
      </c>
      <c r="D33" s="36">
        <f>D28/Assumptions!$B$5</f>
        <v>0.26013475277443154</v>
      </c>
      <c r="E33" s="37">
        <f>E28/Assumptions!$B$5</f>
        <v>5.1385969316305182</v>
      </c>
      <c r="F33" s="36">
        <f>F28/Assumptions!$B$5</f>
        <v>3.2698576984921157</v>
      </c>
    </row>
    <row r="34" spans="1:6" ht="15" customHeight="1" x14ac:dyDescent="0.2">
      <c r="A34" s="1"/>
      <c r="B34" s="1"/>
      <c r="C34" s="1"/>
      <c r="D34" s="1"/>
      <c r="E34" s="1"/>
      <c r="F34" s="1"/>
    </row>
    <row r="35" spans="1:6" ht="15" customHeight="1" x14ac:dyDescent="0.2">
      <c r="A35" s="1"/>
      <c r="B35" s="1"/>
      <c r="C35" s="1"/>
      <c r="D35" s="1"/>
      <c r="E35" s="1"/>
      <c r="F35" s="1"/>
    </row>
    <row r="36" spans="1:6" ht="15" customHeight="1" x14ac:dyDescent="0.2">
      <c r="A36" s="28" t="s">
        <v>377</v>
      </c>
      <c r="B36" s="1"/>
      <c r="C36" s="1"/>
      <c r="D36" s="1"/>
      <c r="E36" s="1"/>
      <c r="F36" s="1"/>
    </row>
    <row r="37" spans="1:6" ht="15" customHeight="1" x14ac:dyDescent="0.2">
      <c r="A37" s="12" t="s">
        <v>104</v>
      </c>
      <c r="B37" s="12" t="s">
        <v>11</v>
      </c>
      <c r="C37" s="12" t="s">
        <v>12</v>
      </c>
      <c r="D37" s="12" t="s">
        <v>13</v>
      </c>
      <c r="E37" s="21" t="s">
        <v>14</v>
      </c>
      <c r="F37" s="29" t="s">
        <v>15</v>
      </c>
    </row>
    <row r="38" spans="1:6" ht="15" customHeight="1" x14ac:dyDescent="0.2">
      <c r="A38" s="13" t="s">
        <v>364</v>
      </c>
      <c r="B38" s="30">
        <f>'Portfolio Returns'!C43</f>
        <v>1261.4559359608952</v>
      </c>
      <c r="C38" s="30">
        <f>'Portfolio Returns'!F43</f>
        <v>3197.6971889939018</v>
      </c>
      <c r="D38" s="30">
        <f>'Portfolio Returns'!I43</f>
        <v>73.963353941303765</v>
      </c>
      <c r="E38" s="31">
        <f>'Portfolio Returns'!L43</f>
        <v>3418.101456119397</v>
      </c>
      <c r="F38" s="30">
        <f>B38*'Defense Supercycle'!$B$17+C38*'Defense Supercycle'!$B$18+D38*'Defense Supercycle'!$B$19+E38*'Defense Supercycle'!$B$20</f>
        <v>1890.8891899399837</v>
      </c>
    </row>
    <row r="39" spans="1:6" ht="15" customHeight="1" x14ac:dyDescent="0.2">
      <c r="A39" s="13" t="s">
        <v>365</v>
      </c>
      <c r="B39" s="30">
        <f>-Assumptions!$B$5</f>
        <v>-250</v>
      </c>
      <c r="C39" s="30">
        <f>-Assumptions!$B$5</f>
        <v>-250</v>
      </c>
      <c r="D39" s="30">
        <f>-Assumptions!$B$5</f>
        <v>-250</v>
      </c>
      <c r="E39" s="31">
        <f>-Assumptions!$B$5</f>
        <v>-250</v>
      </c>
      <c r="F39" s="30">
        <f>B39*'Defense Supercycle'!$B$17+C39*'Defense Supercycle'!$B$18+D39*'Defense Supercycle'!$B$19+E39*'Defense Supercycle'!$B$20</f>
        <v>-250</v>
      </c>
    </row>
    <row r="40" spans="1:6" ht="15" customHeight="1" x14ac:dyDescent="0.2">
      <c r="A40" s="13" t="s">
        <v>366</v>
      </c>
      <c r="B40" s="30">
        <f>-Assumptions!$B$5*((1+Assumptions!$B$10)^10-1)</f>
        <v>-289.73124931819694</v>
      </c>
      <c r="C40" s="30">
        <f>-Assumptions!$B$5*((1+Assumptions!$B$10)^10-1)</f>
        <v>-289.73124931819694</v>
      </c>
      <c r="D40" s="30">
        <f>-Assumptions!$B$5*((1+Assumptions!$B$10)^10-1)</f>
        <v>-289.73124931819694</v>
      </c>
      <c r="E40" s="31">
        <f>-Assumptions!$B$5*((1+Assumptions!$B$10)^10-1)</f>
        <v>-289.73124931819694</v>
      </c>
      <c r="F40" s="30">
        <f>B40*'Defense Supercycle'!$B$17+C40*'Defense Supercycle'!$B$18+D40*'Defense Supercycle'!$B$19+E40*'Defense Supercycle'!$B$20</f>
        <v>-289.73124931819694</v>
      </c>
    </row>
    <row r="41" spans="1:6" ht="15" customHeight="1" x14ac:dyDescent="0.2">
      <c r="A41" s="13" t="s">
        <v>367</v>
      </c>
      <c r="B41" s="30">
        <f>MAX(0,B38+B39+B40)</f>
        <v>721.72468664269832</v>
      </c>
      <c r="C41" s="30">
        <f>MAX(0,C38+C39+C40)</f>
        <v>2657.9659396757047</v>
      </c>
      <c r="D41" s="30">
        <f>MAX(0,D38+D39+D40)</f>
        <v>0</v>
      </c>
      <c r="E41" s="31">
        <f>MAX(0,E38+E39+E40)</f>
        <v>2878.3702068011999</v>
      </c>
      <c r="F41" s="30">
        <f>B41*'Defense Supercycle'!$B$17+C41*'Defense Supercycle'!$B$18+D41*'Defense Supercycle'!$B$19+E41*'Defense Supercycle'!$B$20</f>
        <v>1421.0231249283204</v>
      </c>
    </row>
    <row r="42" spans="1:6" ht="15" customHeight="1" x14ac:dyDescent="0.2">
      <c r="A42" s="13" t="s">
        <v>368</v>
      </c>
      <c r="B42" s="30">
        <f>-Assumptions!$B$9*B41</f>
        <v>-144.34493732853966</v>
      </c>
      <c r="C42" s="30">
        <f>-Assumptions!$B$9*C41</f>
        <v>-531.59318793514092</v>
      </c>
      <c r="D42" s="30">
        <f>-Assumptions!$B$9*D41</f>
        <v>0</v>
      </c>
      <c r="E42" s="31">
        <f>-Assumptions!$B$9*E41</f>
        <v>-575.67404136024004</v>
      </c>
      <c r="F42" s="30">
        <f>B42*'Defense Supercycle'!$B$17+C42*'Defense Supercycle'!$B$18+D42*'Defense Supercycle'!$B$19+E42*'Defense Supercycle'!$B$20</f>
        <v>-284.20462498566405</v>
      </c>
    </row>
    <row r="43" spans="1:6" ht="15" customHeight="1" x14ac:dyDescent="0.2">
      <c r="A43" s="13" t="s">
        <v>369</v>
      </c>
      <c r="B43" s="30">
        <f>-Assumptions!$B$5*Assumptions!$B$8*10</f>
        <v>-50</v>
      </c>
      <c r="C43" s="30">
        <f>-Assumptions!$B$5*Assumptions!$B$8*10</f>
        <v>-50</v>
      </c>
      <c r="D43" s="30">
        <f>-Assumptions!$B$5*Assumptions!$B$8*10</f>
        <v>-50</v>
      </c>
      <c r="E43" s="31">
        <f>-Assumptions!$B$5*Assumptions!$B$8*10</f>
        <v>-50</v>
      </c>
      <c r="F43" s="30">
        <f>B43*'Defense Supercycle'!$B$17+C43*'Defense Supercycle'!$B$18+D43*'Defense Supercycle'!$B$19+E43*'Defense Supercycle'!$B$20</f>
        <v>-50</v>
      </c>
    </row>
    <row r="44" spans="1:6" ht="15" customHeight="1" x14ac:dyDescent="0.2">
      <c r="A44" s="33" t="s">
        <v>370</v>
      </c>
      <c r="B44" s="34">
        <f>B38+B42+B43</f>
        <v>1067.1109986323556</v>
      </c>
      <c r="C44" s="34">
        <f>C38+C42+C43</f>
        <v>2616.1040010587608</v>
      </c>
      <c r="D44" s="34">
        <f>D38+D42+D43</f>
        <v>23.963353941303765</v>
      </c>
      <c r="E44" s="34">
        <f>E38+E42+E43</f>
        <v>2792.4274147591568</v>
      </c>
      <c r="F44" s="69">
        <f>B44*'Defense Supercycle'!$B$17+C44*'Defense Supercycle'!$B$18+D44*'Defense Supercycle'!$B$19+E44*'Defense Supercycle'!$B$20</f>
        <v>1556.6845649543193</v>
      </c>
    </row>
    <row r="45" spans="1:6" ht="15" customHeight="1" x14ac:dyDescent="0.2">
      <c r="A45" s="13" t="s">
        <v>371</v>
      </c>
      <c r="B45" s="36">
        <f>B38/Assumptions!$B$5</f>
        <v>5.0458237438435809</v>
      </c>
      <c r="C45" s="36">
        <f>C38/Assumptions!$B$5</f>
        <v>12.790788755975607</v>
      </c>
      <c r="D45" s="36">
        <f>D38/Assumptions!$B$5</f>
        <v>0.29585341576521507</v>
      </c>
      <c r="E45" s="37">
        <f>E38/Assumptions!$B$5</f>
        <v>13.672405824477588</v>
      </c>
      <c r="F45" s="36">
        <f>F38/Assumptions!$B$5</f>
        <v>7.5635567597599351</v>
      </c>
    </row>
    <row r="46" spans="1:6" ht="15" customHeight="1" x14ac:dyDescent="0.2">
      <c r="A46" s="33" t="s">
        <v>372</v>
      </c>
      <c r="B46" s="35">
        <f>B44/Assumptions!$B$5</f>
        <v>4.2684439945294228</v>
      </c>
      <c r="C46" s="35">
        <f>C44/Assumptions!$B$5</f>
        <v>10.464416004235042</v>
      </c>
      <c r="D46" s="35">
        <f>D44/Assumptions!$B$5</f>
        <v>9.5853415765215055E-2</v>
      </c>
      <c r="E46" s="35">
        <f>E44/Assumptions!$B$5</f>
        <v>11.169709659036627</v>
      </c>
      <c r="F46" s="70">
        <f>F44/Assumptions!$B$5</f>
        <v>6.2267382598172771</v>
      </c>
    </row>
    <row r="47" spans="1:6" ht="15" customHeight="1" x14ac:dyDescent="0.2">
      <c r="A47" s="13" t="s">
        <v>373</v>
      </c>
      <c r="B47" s="15">
        <f>(B38/Assumptions!$B$5)^(1/10)-1</f>
        <v>0.17569103776909034</v>
      </c>
      <c r="C47" s="15">
        <f>(C38/Assumptions!$B$5)^(1/10)-1</f>
        <v>0.29029713407562086</v>
      </c>
      <c r="D47" s="15">
        <f>(D38/Assumptions!$B$5)^(1/10)-1</f>
        <v>-0.11466494856842613</v>
      </c>
      <c r="E47" s="39">
        <f>(E38/Assumptions!$B$5)^(1/10)-1</f>
        <v>0.2989262515476212</v>
      </c>
      <c r="F47" s="15">
        <f>(F38/Assumptions!$B$5)^(1/10)-1</f>
        <v>0.22425703142900466</v>
      </c>
    </row>
    <row r="48" spans="1:6" ht="15" customHeight="1" x14ac:dyDescent="0.2">
      <c r="A48" s="33" t="s">
        <v>374</v>
      </c>
      <c r="B48" s="20">
        <f>(B44/Assumptions!$B$5)^(1/10)-1</f>
        <v>0.15618400987328629</v>
      </c>
      <c r="C48" s="20">
        <f>(C44/Assumptions!$B$5)^(1/10)-1</f>
        <v>0.26465335248213018</v>
      </c>
      <c r="D48" s="20">
        <f>(D44/Assumptions!$B$5)^(1/10)-1</f>
        <v>-0.20902863853914744</v>
      </c>
      <c r="E48" s="20">
        <f>(E44/Assumptions!$B$5)^(1/10)-1</f>
        <v>0.27292902256243501</v>
      </c>
      <c r="F48" s="71">
        <f>(F44/Assumptions!$B$5)^(1/10)-1</f>
        <v>0.20067663957019932</v>
      </c>
    </row>
    <row r="49" spans="1:6" ht="15" customHeight="1" x14ac:dyDescent="0.2">
      <c r="A49" s="13" t="s">
        <v>375</v>
      </c>
      <c r="B49" s="36">
        <f>B44/Assumptions!$B$5</f>
        <v>4.2684439945294228</v>
      </c>
      <c r="C49" s="36">
        <f>C44/Assumptions!$B$5</f>
        <v>10.464416004235042</v>
      </c>
      <c r="D49" s="36">
        <f>D44/Assumptions!$B$5</f>
        <v>9.5853415765215055E-2</v>
      </c>
      <c r="E49" s="37">
        <f>E44/Assumptions!$B$5</f>
        <v>11.169709659036627</v>
      </c>
      <c r="F49" s="36">
        <f>F44/Assumptions!$B$5</f>
        <v>6.2267382598172771</v>
      </c>
    </row>
  </sheetData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4374"/>
    <pageSetUpPr fitToPage="1"/>
  </sheetPr>
  <dimension ref="A1:J36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36" customWidth="1"/>
    <col min="2" max="2" width="28" customWidth="1"/>
    <col min="3" max="3" width="12" customWidth="1"/>
    <col min="4" max="5" width="11" customWidth="1"/>
    <col min="6" max="6" width="13" customWidth="1"/>
    <col min="7" max="7" width="14" customWidth="1"/>
    <col min="8" max="8" width="11" customWidth="1"/>
    <col min="9" max="9" width="12" customWidth="1"/>
    <col min="10" max="10" width="11" customWidth="1"/>
  </cols>
  <sheetData>
    <row r="1" spans="1:10" ht="18" customHeight="1" x14ac:dyDescent="0.2">
      <c r="A1" s="9" t="s">
        <v>378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x14ac:dyDescent="0.2">
      <c r="A2" s="10" t="s">
        <v>379</v>
      </c>
      <c r="B2" s="1"/>
      <c r="C2" s="1"/>
      <c r="D2" s="1"/>
      <c r="E2" s="1"/>
      <c r="F2" s="1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11" t="s">
        <v>380</v>
      </c>
      <c r="B4" s="1"/>
      <c r="C4" s="1"/>
      <c r="D4" s="1"/>
      <c r="E4" s="1"/>
      <c r="F4" s="1"/>
      <c r="G4" s="1"/>
      <c r="H4" s="1"/>
      <c r="I4" s="1"/>
      <c r="J4" s="1"/>
    </row>
    <row r="5" spans="1:10" ht="27.75" customHeight="1" x14ac:dyDescent="0.2">
      <c r="A5" s="12" t="s">
        <v>307</v>
      </c>
      <c r="B5" s="12" t="s">
        <v>308</v>
      </c>
      <c r="C5" s="12" t="s">
        <v>238</v>
      </c>
      <c r="D5" s="12" t="s">
        <v>381</v>
      </c>
      <c r="E5" s="12" t="s">
        <v>26</v>
      </c>
      <c r="F5" s="12" t="s">
        <v>382</v>
      </c>
      <c r="G5" s="12" t="s">
        <v>383</v>
      </c>
      <c r="H5" s="1"/>
      <c r="I5" s="1"/>
      <c r="J5" s="1"/>
    </row>
    <row r="6" spans="1:10" ht="27.75" customHeight="1" x14ac:dyDescent="0.2">
      <c r="A6" s="55" t="s">
        <v>310</v>
      </c>
      <c r="B6" s="16" t="s">
        <v>311</v>
      </c>
      <c r="C6" s="57">
        <f>Assumptions!C18+Assumptions!C19+Assumptions!C20</f>
        <v>132.5</v>
      </c>
      <c r="D6" s="15">
        <f>C6/Assumptions!$B$5</f>
        <v>0.53</v>
      </c>
      <c r="E6" s="15">
        <f>C6/'Holdco Summary'!$B$9</f>
        <v>0.15773809523809523</v>
      </c>
      <c r="F6" s="58">
        <f>AVERAGE('Defense Supercycle'!G24,'Defense Supercycle'!G25,'Defense Supercycle'!G26)</f>
        <v>4.6166666666666671</v>
      </c>
      <c r="G6" s="72">
        <f>AVERAGE('Defense Supercycle'!I24,'Defense Supercycle'!I25,'Defense Supercycle'!I26)</f>
        <v>0.37600000000000006</v>
      </c>
      <c r="H6" s="1"/>
      <c r="I6" s="1"/>
      <c r="J6" s="1"/>
    </row>
    <row r="7" spans="1:10" ht="15" customHeight="1" x14ac:dyDescent="0.2">
      <c r="A7" s="55" t="s">
        <v>313</v>
      </c>
      <c r="B7" s="16" t="s">
        <v>314</v>
      </c>
      <c r="C7" s="57">
        <f>Assumptions!C21+Assumptions!C22</f>
        <v>62</v>
      </c>
      <c r="D7" s="15">
        <f>C7/Assumptions!$B$5</f>
        <v>0.248</v>
      </c>
      <c r="E7" s="15">
        <f>C7/'Holdco Summary'!$B$9</f>
        <v>7.3809523809523811E-2</v>
      </c>
      <c r="F7" s="58">
        <f>AVERAGE('Defense Supercycle'!G27,'Defense Supercycle'!G28)</f>
        <v>3.0249999999999999</v>
      </c>
      <c r="G7" s="72">
        <f>AVERAGE('Defense Supercycle'!I27,'Defense Supercycle'!I28)</f>
        <v>0.24199999999999999</v>
      </c>
      <c r="H7" s="1"/>
      <c r="I7" s="1"/>
      <c r="J7" s="1"/>
    </row>
    <row r="8" spans="1:10" ht="15" customHeight="1" x14ac:dyDescent="0.2">
      <c r="A8" s="55" t="s">
        <v>316</v>
      </c>
      <c r="B8" s="16" t="s">
        <v>384</v>
      </c>
      <c r="C8" s="57">
        <f>Assumptions!C23+Assumptions!C24+Assumptions!C25</f>
        <v>49</v>
      </c>
      <c r="D8" s="15">
        <f>C8/Assumptions!$B$5</f>
        <v>0.19600000000000001</v>
      </c>
      <c r="E8" s="15">
        <f>C8/'Holdco Summary'!$B$9</f>
        <v>5.8333333333333334E-2</v>
      </c>
      <c r="F8" s="58">
        <f>AVERAGE('Defense Supercycle'!G29,'Defense Supercycle'!G30,'Defense Supercycle'!G31)</f>
        <v>3.4666666666666668</v>
      </c>
      <c r="G8" s="72">
        <f>AVERAGE('Defense Supercycle'!I29,'Defense Supercycle'!I30,'Defense Supercycle'!I31)</f>
        <v>0.33400000000000007</v>
      </c>
      <c r="H8" s="1"/>
      <c r="I8" s="1"/>
      <c r="J8" s="1"/>
    </row>
    <row r="9" spans="1:10" ht="15" customHeight="1" x14ac:dyDescent="0.2">
      <c r="A9" s="55" t="s">
        <v>385</v>
      </c>
      <c r="B9" s="16" t="s">
        <v>267</v>
      </c>
      <c r="C9" s="57">
        <f>Assumptions!C26</f>
        <v>6.5</v>
      </c>
      <c r="D9" s="15">
        <f>C9/Assumptions!$B$5</f>
        <v>2.5999999999999999E-2</v>
      </c>
      <c r="E9" s="15">
        <f>C9/'Holdco Summary'!$B$9</f>
        <v>7.7380952380952384E-3</v>
      </c>
      <c r="F9" s="58">
        <f>AVERAGE('Defense Supercycle'!G32)</f>
        <v>1.7</v>
      </c>
      <c r="G9" s="72">
        <f>AVERAGE('Defense Supercycle'!I32)</f>
        <v>0.21600000000000003</v>
      </c>
      <c r="H9" s="1"/>
      <c r="I9" s="1"/>
      <c r="J9" s="1"/>
    </row>
    <row r="10" spans="1:10" ht="15" customHeight="1" x14ac:dyDescent="0.2">
      <c r="A10" s="53" t="s">
        <v>386</v>
      </c>
      <c r="B10" s="1"/>
      <c r="C10" s="19">
        <f>SUM(C6:C9)</f>
        <v>250</v>
      </c>
      <c r="D10" s="20">
        <f>SUM(D6:D9)</f>
        <v>1</v>
      </c>
      <c r="E10" s="1"/>
      <c r="F10" s="54">
        <f>AVERAGE('Defense Supercycle'!G24,'Defense Supercycle'!G25,'Defense Supercycle'!G26,'Defense Supercycle'!G27,'Defense Supercycle'!G28,'Defense Supercycle'!G29,'Defense Supercycle'!G30,'Defense Supercycle'!G31,'Defense Supercycle'!G32)</f>
        <v>3.5555555555555562</v>
      </c>
      <c r="G10" s="1"/>
      <c r="H10" s="1"/>
      <c r="I10" s="1"/>
      <c r="J10" s="1"/>
    </row>
    <row r="11" spans="1:10" ht="1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" customHeight="1" x14ac:dyDescent="0.2">
      <c r="A12" s="28" t="s">
        <v>387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7.75" customHeight="1" x14ac:dyDescent="0.2">
      <c r="A13" s="12" t="s">
        <v>388</v>
      </c>
      <c r="B13" s="12" t="s">
        <v>238</v>
      </c>
      <c r="C13" s="12" t="s">
        <v>346</v>
      </c>
      <c r="D13" s="12" t="s">
        <v>347</v>
      </c>
      <c r="E13" s="12" t="s">
        <v>349</v>
      </c>
      <c r="F13" s="12" t="s">
        <v>350</v>
      </c>
      <c r="G13" s="12" t="s">
        <v>352</v>
      </c>
      <c r="H13" s="12" t="s">
        <v>353</v>
      </c>
      <c r="I13" s="21" t="s">
        <v>355</v>
      </c>
      <c r="J13" s="21" t="s">
        <v>356</v>
      </c>
    </row>
    <row r="14" spans="1:10" ht="27.75" customHeight="1" x14ac:dyDescent="0.2">
      <c r="A14" s="16" t="s">
        <v>310</v>
      </c>
      <c r="B14" s="57">
        <f>Assumptions!C18+Assumptions!C19+Assumptions!C20</f>
        <v>132.5</v>
      </c>
      <c r="C14" s="61">
        <f>'Portfolio Returns'!C6+'Portfolio Returns'!C7+'Portfolio Returns'!C8</f>
        <v>293.61934338039998</v>
      </c>
      <c r="D14" s="36">
        <f>C14/B14</f>
        <v>2.2159950443803771</v>
      </c>
      <c r="E14" s="61">
        <f>'Portfolio Returns'!F6+'Portfolio Returns'!F7+'Portfolio Returns'!F8</f>
        <v>470.4887637508001</v>
      </c>
      <c r="F14" s="36">
        <f>E14/B14</f>
        <v>3.550858594345661</v>
      </c>
      <c r="G14" s="61">
        <f>'Portfolio Returns'!I6+'Portfolio Returns'!I7+'Portfolio Returns'!I8</f>
        <v>66.064919482250005</v>
      </c>
      <c r="H14" s="36">
        <f>G14/B14</f>
        <v>0.49860316590377363</v>
      </c>
      <c r="I14" s="62">
        <f>'Portfolio Returns'!L6+'Portfolio Returns'!L7+'Portfolio Returns'!L8</f>
        <v>581.30727102806827</v>
      </c>
      <c r="J14" s="37">
        <f>I14/B14</f>
        <v>4.3872246870042888</v>
      </c>
    </row>
    <row r="15" spans="1:10" ht="15" customHeight="1" x14ac:dyDescent="0.2">
      <c r="A15" s="16" t="s">
        <v>313</v>
      </c>
      <c r="B15" s="57">
        <f>Assumptions!C21+Assumptions!C22</f>
        <v>62</v>
      </c>
      <c r="C15" s="61">
        <f>'Portfolio Returns'!C9+'Portfolio Returns'!C10</f>
        <v>132.23902762495999</v>
      </c>
      <c r="D15" s="36">
        <f>C15/B15</f>
        <v>2.1328875423380644</v>
      </c>
      <c r="E15" s="61">
        <f>'Portfolio Returns'!F9+'Portfolio Returns'!F10</f>
        <v>212.61652828159993</v>
      </c>
      <c r="F15" s="36">
        <f>E15/B15</f>
        <v>3.4292988432516118</v>
      </c>
      <c r="G15" s="61">
        <f>'Portfolio Returns'!I9+'Portfolio Returns'!I10</f>
        <v>41.289167823279996</v>
      </c>
      <c r="H15" s="36">
        <f>G15/B15</f>
        <v>0.66595431973032249</v>
      </c>
      <c r="I15" s="62">
        <f>'Portfolio Returns'!L9+'Portfolio Returns'!L10</f>
        <v>156.01273626446556</v>
      </c>
      <c r="J15" s="37">
        <f>I15/B15</f>
        <v>2.5163344558784768</v>
      </c>
    </row>
    <row r="16" spans="1:10" ht="15" customHeight="1" x14ac:dyDescent="0.2">
      <c r="A16" s="16" t="s">
        <v>316</v>
      </c>
      <c r="B16" s="57">
        <f>Assumptions!C23+Assumptions!C24+Assumptions!C25</f>
        <v>49</v>
      </c>
      <c r="C16" s="61">
        <f>'Portfolio Returns'!C11+'Portfolio Returns'!C12+'Portfolio Returns'!C13</f>
        <v>120.988653301575</v>
      </c>
      <c r="D16" s="36">
        <f>C16/B16</f>
        <v>2.4691561898280612</v>
      </c>
      <c r="E16" s="61">
        <f>'Portfolio Returns'!F11+'Portfolio Returns'!F12+'Portfolio Returns'!F13</f>
        <v>191.54134826635499</v>
      </c>
      <c r="F16" s="36">
        <f>E16/B16</f>
        <v>3.9090071074766324</v>
      </c>
      <c r="G16" s="61">
        <f>'Portfolio Returns'!I11+'Portfolio Returns'!I12+'Portfolio Returns'!I13</f>
        <v>17.628329985120004</v>
      </c>
      <c r="H16" s="36">
        <f>G16/B16</f>
        <v>0.3597618364310205</v>
      </c>
      <c r="I16" s="62">
        <f>'Portfolio Returns'!L11+'Portfolio Returns'!L12+'Portfolio Returns'!L13</f>
        <v>163.39703836960868</v>
      </c>
      <c r="J16" s="37">
        <f>I16/B16</f>
        <v>3.3346334361144629</v>
      </c>
    </row>
    <row r="17" spans="1:10" ht="15" customHeight="1" x14ac:dyDescent="0.2">
      <c r="A17" s="16" t="s">
        <v>385</v>
      </c>
      <c r="B17" s="57">
        <f>Assumptions!C26</f>
        <v>6.5</v>
      </c>
      <c r="C17" s="61">
        <f>'Portfolio Returns'!C14</f>
        <v>18.98375544832</v>
      </c>
      <c r="D17" s="36">
        <f>C17/B17</f>
        <v>2.9205777612800001</v>
      </c>
      <c r="E17" s="61">
        <f>'Portfolio Returns'!F14</f>
        <v>29.714775999999993</v>
      </c>
      <c r="F17" s="36">
        <f>E17/B17</f>
        <v>4.5715039999999991</v>
      </c>
      <c r="G17" s="61">
        <f>'Portfolio Returns'!I14</f>
        <v>1.3111083984375</v>
      </c>
      <c r="H17" s="36">
        <f>G17/B17</f>
        <v>0.20170898437500001</v>
      </c>
      <c r="I17" s="62">
        <f>'Portfolio Returns'!L14</f>
        <v>14.689268088071781</v>
      </c>
      <c r="J17" s="37">
        <f>I17/B17</f>
        <v>2.2598873981648895</v>
      </c>
    </row>
    <row r="18" spans="1:10" ht="15" customHeight="1" x14ac:dyDescent="0.2">
      <c r="A18" s="53" t="s">
        <v>389</v>
      </c>
      <c r="B18" s="73">
        <f>SUM(B14:B17)</f>
        <v>250</v>
      </c>
      <c r="C18" s="73">
        <f>SUM(C14:C17)</f>
        <v>565.83077975525498</v>
      </c>
      <c r="D18" s="74">
        <f>C18/B18</f>
        <v>2.2633231190210199</v>
      </c>
      <c r="E18" s="73">
        <f>SUM(E14:E17)</f>
        <v>904.3614162987551</v>
      </c>
      <c r="F18" s="74">
        <f>E18/B18</f>
        <v>3.6174456651950204</v>
      </c>
      <c r="G18" s="73">
        <f>SUM(G14:G17)</f>
        <v>126.2935256890875</v>
      </c>
      <c r="H18" s="74">
        <f>G18/B18</f>
        <v>0.50517410275635</v>
      </c>
      <c r="I18" s="75">
        <f>SUM(I14:I17)</f>
        <v>915.40631375021428</v>
      </c>
      <c r="J18" s="76">
        <f>I18/B18</f>
        <v>3.6616252550008572</v>
      </c>
    </row>
    <row r="19" spans="1:10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5" customHeight="1" x14ac:dyDescent="0.2">
      <c r="A20" s="28" t="s">
        <v>390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7.75" customHeight="1" x14ac:dyDescent="0.2">
      <c r="A21" s="12" t="s">
        <v>388</v>
      </c>
      <c r="B21" s="12" t="s">
        <v>238</v>
      </c>
      <c r="C21" s="12" t="s">
        <v>346</v>
      </c>
      <c r="D21" s="12" t="s">
        <v>347</v>
      </c>
      <c r="E21" s="12" t="s">
        <v>349</v>
      </c>
      <c r="F21" s="12" t="s">
        <v>350</v>
      </c>
      <c r="G21" s="12" t="s">
        <v>352</v>
      </c>
      <c r="H21" s="12" t="s">
        <v>353</v>
      </c>
      <c r="I21" s="21" t="s">
        <v>355</v>
      </c>
      <c r="J21" s="21" t="s">
        <v>356</v>
      </c>
    </row>
    <row r="22" spans="1:10" ht="27.75" customHeight="1" x14ac:dyDescent="0.2">
      <c r="A22" s="16" t="s">
        <v>310</v>
      </c>
      <c r="B22" s="57">
        <f>Assumptions!C18+Assumptions!C19+Assumptions!C20</f>
        <v>132.5</v>
      </c>
      <c r="C22" s="61">
        <f>'Portfolio Returns'!C20+'Portfolio Returns'!C21+'Portfolio Returns'!C22</f>
        <v>398.05550659303361</v>
      </c>
      <c r="D22" s="36">
        <f>C22/B22</f>
        <v>3.0041925025889329</v>
      </c>
      <c r="E22" s="61">
        <f>'Portfolio Returns'!F20+'Portfolio Returns'!F21+'Portfolio Returns'!F22</f>
        <v>769.33638491084821</v>
      </c>
      <c r="F22" s="36">
        <f>E22/B22</f>
        <v>5.8063123389497981</v>
      </c>
      <c r="G22" s="61">
        <f>'Portfolio Returns'!I20+'Portfolio Returns'!I21+'Portfolio Returns'!I22</f>
        <v>52.728572409365199</v>
      </c>
      <c r="H22" s="36">
        <f>G22/B22</f>
        <v>0.39795148988200152</v>
      </c>
      <c r="I22" s="62">
        <f>'Portfolio Returns'!L20+'Portfolio Returns'!L21+'Portfolio Returns'!L22</f>
        <v>1034.8882055022498</v>
      </c>
      <c r="J22" s="37">
        <f>I22/B22</f>
        <v>7.810477022658489</v>
      </c>
    </row>
    <row r="23" spans="1:10" ht="15" customHeight="1" x14ac:dyDescent="0.2">
      <c r="A23" s="16" t="s">
        <v>313</v>
      </c>
      <c r="B23" s="57">
        <f>Assumptions!C21+Assumptions!C22</f>
        <v>62</v>
      </c>
      <c r="C23" s="61">
        <f>'Portfolio Returns'!C23+'Portfolio Returns'!C24</f>
        <v>176.67760957240444</v>
      </c>
      <c r="D23" s="36">
        <f>C23/B23</f>
        <v>2.8496388640710393</v>
      </c>
      <c r="E23" s="61">
        <f>'Portfolio Returns'!F23+'Portfolio Returns'!F24</f>
        <v>343.03988066345278</v>
      </c>
      <c r="F23" s="36">
        <f>E23/B23</f>
        <v>5.5329013010234318</v>
      </c>
      <c r="G23" s="61">
        <f>'Portfolio Returns'!I23+'Portfolio Returns'!I24</f>
        <v>34.60101499528777</v>
      </c>
      <c r="H23" s="36">
        <f>G23/B23</f>
        <v>0.55808088702077052</v>
      </c>
      <c r="I23" s="62">
        <f>'Portfolio Returns'!L23+'Portfolio Returns'!L24</f>
        <v>221.47569455830293</v>
      </c>
      <c r="J23" s="37">
        <f>I23/B23</f>
        <v>3.5721886219081118</v>
      </c>
    </row>
    <row r="24" spans="1:10" ht="15" customHeight="1" x14ac:dyDescent="0.2">
      <c r="A24" s="16" t="s">
        <v>316</v>
      </c>
      <c r="B24" s="57">
        <f>Assumptions!C23+Assumptions!C24+Assumptions!C25</f>
        <v>49</v>
      </c>
      <c r="C24" s="61">
        <f>'Portfolio Returns'!C25+'Portfolio Returns'!C26+'Portfolio Returns'!C27</f>
        <v>174.85609267248373</v>
      </c>
      <c r="D24" s="36">
        <f>C24/B24</f>
        <v>3.5684916871935455</v>
      </c>
      <c r="E24" s="61">
        <f>'Portfolio Returns'!F25+'Portfolio Returns'!F26+'Portfolio Returns'!F27</f>
        <v>331.18438449301044</v>
      </c>
      <c r="F24" s="36">
        <f>E24/B24</f>
        <v>6.758864989653274</v>
      </c>
      <c r="G24" s="61">
        <f>'Portfolio Returns'!I25+'Portfolio Returns'!I26+'Portfolio Returns'!I27</f>
        <v>12.027337483290859</v>
      </c>
      <c r="H24" s="36">
        <f>G24/B24</f>
        <v>0.24545586700593591</v>
      </c>
      <c r="I24" s="62">
        <f>'Portfolio Returns'!L25+'Portfolio Returns'!L26+'Portfolio Returns'!L27</f>
        <v>266.15198659603158</v>
      </c>
      <c r="J24" s="37">
        <f>I24/B24</f>
        <v>5.4316731958373792</v>
      </c>
    </row>
    <row r="25" spans="1:10" ht="15" customHeight="1" x14ac:dyDescent="0.2">
      <c r="A25" s="16" t="s">
        <v>385</v>
      </c>
      <c r="B25" s="57">
        <f>Assumptions!C26</f>
        <v>6.5</v>
      </c>
      <c r="C25" s="61">
        <f>'Portfolio Returns'!C28</f>
        <v>28.541562638460526</v>
      </c>
      <c r="D25" s="36">
        <f>C25/B25</f>
        <v>4.3910096366862348</v>
      </c>
      <c r="E25" s="61">
        <f>'Portfolio Returns'!F28</f>
        <v>53.444646527999971</v>
      </c>
      <c r="F25" s="36">
        <f>E25/B25</f>
        <v>8.2222533119999959</v>
      </c>
      <c r="G25" s="61">
        <f>'Portfolio Returns'!I28</f>
        <v>0.67676330566406251</v>
      </c>
      <c r="H25" s="36">
        <f>G25/B25</f>
        <v>0.10411743164062501</v>
      </c>
      <c r="I25" s="62">
        <f>'Portfolio Returns'!L28</f>
        <v>19.931637679232914</v>
      </c>
      <c r="J25" s="37">
        <f>I25/B25</f>
        <v>3.0664057968050638</v>
      </c>
    </row>
    <row r="26" spans="1:10" ht="15" customHeight="1" x14ac:dyDescent="0.2">
      <c r="A26" s="53" t="s">
        <v>389</v>
      </c>
      <c r="B26" s="73">
        <f>SUM(B22:B25)</f>
        <v>250</v>
      </c>
      <c r="C26" s="73">
        <f>SUM(C22:C25)</f>
        <v>778.13077147638239</v>
      </c>
      <c r="D26" s="74">
        <f>C26/B26</f>
        <v>3.1125230859055297</v>
      </c>
      <c r="E26" s="73">
        <f>SUM(E22:E25)</f>
        <v>1497.0052965953114</v>
      </c>
      <c r="F26" s="74">
        <f>E26/B26</f>
        <v>5.9880211863812454</v>
      </c>
      <c r="G26" s="73">
        <f>SUM(G22:G25)</f>
        <v>100.0336881936079</v>
      </c>
      <c r="H26" s="74">
        <f>G26/B26</f>
        <v>0.40013475277443161</v>
      </c>
      <c r="I26" s="75">
        <f>SUM(I22:I25)</f>
        <v>1542.447524335817</v>
      </c>
      <c r="J26" s="76">
        <f>I26/B26</f>
        <v>6.1697900973432676</v>
      </c>
    </row>
    <row r="27" spans="1:10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" customHeight="1" x14ac:dyDescent="0.2">
      <c r="A28" s="28" t="s">
        <v>391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7.75" customHeight="1" x14ac:dyDescent="0.2">
      <c r="A29" s="12" t="s">
        <v>388</v>
      </c>
      <c r="B29" s="12" t="s">
        <v>238</v>
      </c>
      <c r="C29" s="12" t="s">
        <v>346</v>
      </c>
      <c r="D29" s="12" t="s">
        <v>347</v>
      </c>
      <c r="E29" s="12" t="s">
        <v>349</v>
      </c>
      <c r="F29" s="12" t="s">
        <v>350</v>
      </c>
      <c r="G29" s="12" t="s">
        <v>352</v>
      </c>
      <c r="H29" s="12" t="s">
        <v>353</v>
      </c>
      <c r="I29" s="21" t="s">
        <v>355</v>
      </c>
      <c r="J29" s="21" t="s">
        <v>356</v>
      </c>
    </row>
    <row r="30" spans="1:10" ht="27.75" customHeight="1" x14ac:dyDescent="0.2">
      <c r="A30" s="16" t="s">
        <v>310</v>
      </c>
      <c r="B30" s="57">
        <f>Assumptions!C18+Assumptions!C19+Assumptions!C20</f>
        <v>132.5</v>
      </c>
      <c r="C30" s="61">
        <f>'Portfolio Returns'!C34+'Portfolio Returns'!C35+'Portfolio Returns'!C36</f>
        <v>627.31026249700142</v>
      </c>
      <c r="D30" s="36">
        <f>C30/B30</f>
        <v>4.7344170754490671</v>
      </c>
      <c r="E30" s="61">
        <f>'Portfolio Returns'!F34+'Portfolio Returns'!F35+'Portfolio Returns'!F36</f>
        <v>1604.420850176228</v>
      </c>
      <c r="F30" s="36">
        <f>E30/B30</f>
        <v>12.108836605103608</v>
      </c>
      <c r="G30" s="61">
        <f>'Portfolio Returns'!I34+'Portfolio Returns'!I35+'Portfolio Returns'!I36</f>
        <v>40.227847176826351</v>
      </c>
      <c r="H30" s="36">
        <f>G30/B30</f>
        <v>0.3036063937873687</v>
      </c>
      <c r="I30" s="62">
        <f>'Portfolio Returns'!L34+'Portfolio Returns'!L35+'Portfolio Returns'!L36</f>
        <v>2451.6352446661667</v>
      </c>
      <c r="J30" s="37">
        <f>I30/B30</f>
        <v>18.502907506914465</v>
      </c>
    </row>
    <row r="31" spans="1:10" ht="15" customHeight="1" x14ac:dyDescent="0.2">
      <c r="A31" s="16" t="s">
        <v>313</v>
      </c>
      <c r="B31" s="57">
        <f>Assumptions!C21+Assumptions!C22</f>
        <v>62</v>
      </c>
      <c r="C31" s="61">
        <f>'Portfolio Returns'!C37+'Portfolio Returns'!C38</f>
        <v>272.74132438932122</v>
      </c>
      <c r="D31" s="36">
        <f>C31/B31</f>
        <v>4.3990536191826006</v>
      </c>
      <c r="E31" s="61">
        <f>'Portfolio Returns'!F37+'Portfolio Returns'!F38</f>
        <v>701.83258028788919</v>
      </c>
      <c r="F31" s="36">
        <f>E31/B31</f>
        <v>11.31988032722402</v>
      </c>
      <c r="G31" s="61">
        <f>'Portfolio Returns'!I37+'Portfolio Returns'!I38</f>
        <v>26.510916064129386</v>
      </c>
      <c r="H31" s="36">
        <f>G31/B31</f>
        <v>0.42759542038918363</v>
      </c>
      <c r="I31" s="62">
        <f>'Portfolio Returns'!L37+'Portfolio Returns'!L38</f>
        <v>372.37855281470104</v>
      </c>
      <c r="J31" s="37">
        <f>I31/B31</f>
        <v>6.0061056905596946</v>
      </c>
    </row>
    <row r="32" spans="1:10" ht="15" customHeight="1" x14ac:dyDescent="0.2">
      <c r="A32" s="16" t="s">
        <v>316</v>
      </c>
      <c r="B32" s="57">
        <f>Assumptions!C23+Assumptions!C24+Assumptions!C25</f>
        <v>49</v>
      </c>
      <c r="C32" s="61">
        <f>'Portfolio Returns'!C39+'Portfolio Returns'!C40+'Portfolio Returns'!C41</f>
        <v>309.22219943886307</v>
      </c>
      <c r="D32" s="36">
        <f>C32/B32</f>
        <v>6.3106571314053692</v>
      </c>
      <c r="E32" s="61">
        <f>'Portfolio Returns'!F39+'Portfolio Returns'!F40+'Portfolio Returns'!F41</f>
        <v>763.59320103039317</v>
      </c>
      <c r="F32" s="36">
        <f>E32/B32</f>
        <v>15.583534714905984</v>
      </c>
      <c r="G32" s="61">
        <f>'Portfolio Returns'!I39+'Portfolio Returns'!I40+'Portfolio Returns'!I41</f>
        <v>6.9756849653321549</v>
      </c>
      <c r="H32" s="36">
        <f>G32/B32</f>
        <v>0.14236091765983991</v>
      </c>
      <c r="I32" s="62">
        <f>'Portfolio Returns'!L39+'Portfolio Returns'!L40+'Portfolio Returns'!L41</f>
        <v>562.84427808276564</v>
      </c>
      <c r="J32" s="37">
        <f>I32/B32</f>
        <v>11.486617920056442</v>
      </c>
    </row>
    <row r="33" spans="1:10" ht="15" customHeight="1" x14ac:dyDescent="0.2">
      <c r="A33" s="16" t="s">
        <v>385</v>
      </c>
      <c r="B33" s="57">
        <f>Assumptions!C26</f>
        <v>6.5</v>
      </c>
      <c r="C33" s="61">
        <f>'Portfolio Returns'!C42</f>
        <v>52.182149635709585</v>
      </c>
      <c r="D33" s="36">
        <f>C33/B33</f>
        <v>8.0280230208783969</v>
      </c>
      <c r="E33" s="61">
        <f>'Portfolio Returns'!F42</f>
        <v>127.85055749939191</v>
      </c>
      <c r="F33" s="36">
        <f>E33/B33</f>
        <v>19.669316538367987</v>
      </c>
      <c r="G33" s="61">
        <f>'Portfolio Returns'!I42</f>
        <v>0.24890573501586916</v>
      </c>
      <c r="H33" s="36">
        <f>G33/B33</f>
        <v>3.8293190002441406E-2</v>
      </c>
      <c r="I33" s="62">
        <f>'Portfolio Returns'!L42</f>
        <v>31.243380555763839</v>
      </c>
      <c r="J33" s="37">
        <f>I33/B33</f>
        <v>4.8066739316559755</v>
      </c>
    </row>
    <row r="34" spans="1:10" ht="15" customHeight="1" x14ac:dyDescent="0.2">
      <c r="A34" s="53" t="s">
        <v>389</v>
      </c>
      <c r="B34" s="73">
        <f>SUM(B30:B33)</f>
        <v>250</v>
      </c>
      <c r="C34" s="73">
        <f>SUM(C30:C33)</f>
        <v>1261.4559359608952</v>
      </c>
      <c r="D34" s="74">
        <f>C34/B34</f>
        <v>5.0458237438435809</v>
      </c>
      <c r="E34" s="73">
        <f>SUM(E30:E33)</f>
        <v>3197.6971889939023</v>
      </c>
      <c r="F34" s="74">
        <f>E34/B34</f>
        <v>12.790788755975608</v>
      </c>
      <c r="G34" s="73">
        <f>SUM(G30:G33)</f>
        <v>73.963353941303751</v>
      </c>
      <c r="H34" s="74">
        <f>G34/B34</f>
        <v>0.29585341576521501</v>
      </c>
      <c r="I34" s="75">
        <f>SUM(I30:I33)</f>
        <v>3418.101456119397</v>
      </c>
      <c r="J34" s="76">
        <f>I34/B34</f>
        <v>13.672405824477588</v>
      </c>
    </row>
    <row r="35" spans="1:10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25.5" customHeight="1" x14ac:dyDescent="0.2">
      <c r="A36" s="179" t="s">
        <v>392</v>
      </c>
      <c r="B36" s="177"/>
      <c r="C36" s="177"/>
      <c r="D36" s="177"/>
      <c r="E36" s="177"/>
      <c r="F36" s="177"/>
      <c r="G36" s="177"/>
      <c r="H36" s="177"/>
      <c r="I36" s="177"/>
      <c r="J36" s="177"/>
    </row>
  </sheetData>
  <mergeCells count="1">
    <mergeCell ref="A36:J36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A3B2E"/>
    <pageSetUpPr fitToPage="1"/>
  </sheetPr>
  <dimension ref="A1:V62"/>
  <sheetViews>
    <sheetView showGridLines="0" tabSelected="1" zoomScale="90" zoomScaleNormal="100" workbookViewId="0">
      <pane xSplit="1" ySplit="3" topLeftCell="B20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4" customWidth="1"/>
    <col min="2" max="2" width="12" customWidth="1"/>
    <col min="3" max="4" width="10" customWidth="1"/>
    <col min="5" max="5" width="24" customWidth="1"/>
    <col min="6" max="6" width="9" customWidth="1"/>
    <col min="7" max="9" width="10" customWidth="1"/>
    <col min="10" max="10" width="24" customWidth="1"/>
    <col min="11" max="11" width="10" customWidth="1"/>
    <col min="12" max="14" width="11" customWidth="1"/>
    <col min="16" max="22" width="13" customWidth="1"/>
  </cols>
  <sheetData>
    <row r="1" spans="1:22" ht="18" customHeight="1" x14ac:dyDescent="0.2">
      <c r="A1" s="9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2" ht="15" customHeight="1" x14ac:dyDescent="0.2">
      <c r="A2" s="10" t="s">
        <v>512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2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2" ht="15" customHeight="1" x14ac:dyDescent="0.2">
      <c r="A4" s="11" t="s">
        <v>393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31" t="s">
        <v>498</v>
      </c>
    </row>
    <row r="5" spans="1:22" ht="15" customHeight="1" x14ac:dyDescent="0.2">
      <c r="A5" s="25" t="s">
        <v>394</v>
      </c>
      <c r="B5" s="45">
        <f>'Holdco Summary'!$B$7</f>
        <v>390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t="s">
        <v>499</v>
      </c>
      <c r="Q5" s="134">
        <v>5.0000000000000001E-3</v>
      </c>
    </row>
    <row r="6" spans="1:22" ht="15" customHeight="1" x14ac:dyDescent="0.2">
      <c r="A6" s="25" t="s">
        <v>395</v>
      </c>
      <c r="B6" s="27">
        <v>0.92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t="s">
        <v>500</v>
      </c>
      <c r="Q6" s="134">
        <v>8.0000000000000002E-3</v>
      </c>
    </row>
    <row r="7" spans="1:22" ht="15" customHeight="1" x14ac:dyDescent="0.2">
      <c r="A7" s="25" t="s">
        <v>396</v>
      </c>
      <c r="B7" s="27">
        <v>0.88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P7" t="s">
        <v>501</v>
      </c>
      <c r="Q7" s="134">
        <v>4.0000000000000001E-3</v>
      </c>
    </row>
    <row r="8" spans="1:22" ht="15" customHeight="1" x14ac:dyDescent="0.2">
      <c r="A8" s="25" t="s">
        <v>397</v>
      </c>
      <c r="B8" s="27">
        <v>0.82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P8" t="s">
        <v>502</v>
      </c>
      <c r="Q8" s="134">
        <v>6.0000000000000001E-3</v>
      </c>
    </row>
    <row r="9" spans="1:22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22" ht="15" customHeight="1" x14ac:dyDescent="0.2">
      <c r="A10" s="11" t="s">
        <v>398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2" ht="27.75" customHeight="1" x14ac:dyDescent="0.2">
      <c r="A11" s="12" t="s">
        <v>236</v>
      </c>
      <c r="B11" s="12" t="s">
        <v>237</v>
      </c>
      <c r="C11" s="12" t="s">
        <v>238</v>
      </c>
      <c r="D11" s="12" t="s">
        <v>239</v>
      </c>
      <c r="E11" s="12" t="s">
        <v>399</v>
      </c>
      <c r="F11" s="12" t="s">
        <v>11</v>
      </c>
      <c r="G11" s="12" t="s">
        <v>12</v>
      </c>
      <c r="H11" s="12" t="s">
        <v>13</v>
      </c>
      <c r="I11" s="21" t="s">
        <v>400</v>
      </c>
      <c r="J11" s="12" t="s">
        <v>244</v>
      </c>
      <c r="K11" s="1"/>
      <c r="L11" s="1"/>
      <c r="M11" s="1"/>
      <c r="N11" s="1"/>
      <c r="P11" s="12" t="s">
        <v>503</v>
      </c>
      <c r="Q11" s="12" t="s">
        <v>504</v>
      </c>
      <c r="R11" s="12" t="s">
        <v>505</v>
      </c>
      <c r="S11" s="12" t="s">
        <v>506</v>
      </c>
      <c r="T11" s="12" t="s">
        <v>507</v>
      </c>
      <c r="U11" s="12" t="s">
        <v>508</v>
      </c>
      <c r="V11" s="12" t="s">
        <v>509</v>
      </c>
    </row>
    <row r="12" spans="1:22" ht="40.5" customHeight="1" x14ac:dyDescent="0.2">
      <c r="A12" s="13" t="s">
        <v>401</v>
      </c>
      <c r="B12" s="46">
        <v>9250</v>
      </c>
      <c r="C12" s="46">
        <v>70</v>
      </c>
      <c r="D12" s="15">
        <f t="shared" ref="D12:D20" si="0">C12/B12</f>
        <v>7.5675675675675675E-3</v>
      </c>
      <c r="E12" s="16" t="s">
        <v>402</v>
      </c>
      <c r="F12" s="47">
        <v>0.26</v>
      </c>
      <c r="G12" s="47">
        <v>0.4</v>
      </c>
      <c r="H12" s="47">
        <v>0</v>
      </c>
      <c r="I12" s="77">
        <v>0.38</v>
      </c>
      <c r="J12" s="42" t="s">
        <v>403</v>
      </c>
      <c r="K12" s="1"/>
      <c r="L12" s="1"/>
      <c r="M12" s="1"/>
      <c r="N12" s="1"/>
      <c r="P12" s="135">
        <v>2</v>
      </c>
      <c r="Q12" s="135">
        <v>3</v>
      </c>
      <c r="R12" s="133">
        <f t="shared" ref="R12:R20" si="1">AVERAGE(P12:Q12)</f>
        <v>2.5</v>
      </c>
      <c r="S12" s="132">
        <f t="shared" ref="S12:S20" si="2">F12+$R12*$Q$5</f>
        <v>0.27250000000000002</v>
      </c>
      <c r="T12" s="132">
        <f t="shared" ref="T12:T20" si="3">G12+$R12*$Q$6</f>
        <v>0.42000000000000004</v>
      </c>
      <c r="U12" s="132">
        <f t="shared" ref="U12:U20" si="4">H12+$R12*$Q$7</f>
        <v>0.01</v>
      </c>
      <c r="V12" s="132">
        <f t="shared" ref="V12:V20" si="5">I12+$R12*$Q$8</f>
        <v>0.39500000000000002</v>
      </c>
    </row>
    <row r="13" spans="1:22" ht="27.75" customHeight="1" x14ac:dyDescent="0.2">
      <c r="A13" s="13" t="s">
        <v>404</v>
      </c>
      <c r="B13" s="46">
        <v>1350</v>
      </c>
      <c r="C13" s="46">
        <v>45</v>
      </c>
      <c r="D13" s="15">
        <f t="shared" si="0"/>
        <v>3.3333333333333333E-2</v>
      </c>
      <c r="E13" s="16" t="s">
        <v>405</v>
      </c>
      <c r="F13" s="47">
        <v>0.24</v>
      </c>
      <c r="G13" s="47">
        <v>0.38</v>
      </c>
      <c r="H13" s="47">
        <v>-0.02</v>
      </c>
      <c r="I13" s="77">
        <v>0.4</v>
      </c>
      <c r="J13" s="42" t="s">
        <v>406</v>
      </c>
      <c r="K13" s="1"/>
      <c r="L13" s="1"/>
      <c r="M13" s="1"/>
      <c r="N13" s="1"/>
      <c r="P13" s="135">
        <v>3</v>
      </c>
      <c r="Q13" s="135">
        <v>3</v>
      </c>
      <c r="R13" s="133">
        <f t="shared" si="1"/>
        <v>3</v>
      </c>
      <c r="S13" s="132">
        <f t="shared" si="2"/>
        <v>0.255</v>
      </c>
      <c r="T13" s="132">
        <f t="shared" si="3"/>
        <v>0.40400000000000003</v>
      </c>
      <c r="U13" s="132">
        <f t="shared" si="4"/>
        <v>-8.0000000000000002E-3</v>
      </c>
      <c r="V13" s="132">
        <f t="shared" si="5"/>
        <v>0.41800000000000004</v>
      </c>
    </row>
    <row r="14" spans="1:22" ht="53.25" customHeight="1" x14ac:dyDescent="0.2">
      <c r="A14" s="13" t="s">
        <v>407</v>
      </c>
      <c r="B14" s="46">
        <v>16000</v>
      </c>
      <c r="C14" s="46">
        <v>40</v>
      </c>
      <c r="D14" s="15">
        <f t="shared" si="0"/>
        <v>2.5000000000000001E-3</v>
      </c>
      <c r="E14" s="16" t="s">
        <v>408</v>
      </c>
      <c r="F14" s="47">
        <v>0.17</v>
      </c>
      <c r="G14" s="47">
        <v>0.28000000000000003</v>
      </c>
      <c r="H14" s="47">
        <v>0.06</v>
      </c>
      <c r="I14" s="77">
        <v>0.28000000000000003</v>
      </c>
      <c r="J14" s="42" t="s">
        <v>409</v>
      </c>
      <c r="K14" s="1"/>
      <c r="L14" s="1"/>
      <c r="M14" s="1"/>
      <c r="N14" s="1"/>
      <c r="P14" s="135">
        <v>5</v>
      </c>
      <c r="Q14" s="135">
        <v>5</v>
      </c>
      <c r="R14" s="133">
        <f t="shared" si="1"/>
        <v>5</v>
      </c>
      <c r="S14" s="132">
        <f t="shared" si="2"/>
        <v>0.19500000000000001</v>
      </c>
      <c r="T14" s="132">
        <f t="shared" si="3"/>
        <v>0.32</v>
      </c>
      <c r="U14" s="132">
        <f t="shared" si="4"/>
        <v>0.08</v>
      </c>
      <c r="V14" s="132">
        <f t="shared" si="5"/>
        <v>0.31000000000000005</v>
      </c>
    </row>
    <row r="15" spans="1:22" ht="40.5" customHeight="1" x14ac:dyDescent="0.2">
      <c r="A15" s="13" t="s">
        <v>410</v>
      </c>
      <c r="B15" s="46">
        <v>3000</v>
      </c>
      <c r="C15" s="46">
        <v>30</v>
      </c>
      <c r="D15" s="15">
        <f t="shared" si="0"/>
        <v>0.01</v>
      </c>
      <c r="E15" s="16" t="s">
        <v>411</v>
      </c>
      <c r="F15" s="47">
        <v>0.16</v>
      </c>
      <c r="G15" s="47">
        <v>0.26</v>
      </c>
      <c r="H15" s="47">
        <v>0.05</v>
      </c>
      <c r="I15" s="77">
        <v>0.28000000000000003</v>
      </c>
      <c r="J15" s="42" t="s">
        <v>412</v>
      </c>
      <c r="K15" s="1"/>
      <c r="L15" s="1"/>
      <c r="M15" s="1"/>
      <c r="N15" s="1"/>
      <c r="P15" s="135">
        <v>2</v>
      </c>
      <c r="Q15" s="135">
        <v>4</v>
      </c>
      <c r="R15" s="133">
        <f t="shared" si="1"/>
        <v>3</v>
      </c>
      <c r="S15" s="132">
        <f t="shared" si="2"/>
        <v>0.17499999999999999</v>
      </c>
      <c r="T15" s="132">
        <f t="shared" si="3"/>
        <v>0.28400000000000003</v>
      </c>
      <c r="U15" s="132">
        <f t="shared" si="4"/>
        <v>6.2E-2</v>
      </c>
      <c r="V15" s="132">
        <f t="shared" si="5"/>
        <v>0.29800000000000004</v>
      </c>
    </row>
    <row r="16" spans="1:22" ht="27.75" customHeight="1" x14ac:dyDescent="0.2">
      <c r="A16" s="13" t="s">
        <v>413</v>
      </c>
      <c r="B16" s="46">
        <v>1800</v>
      </c>
      <c r="C16" s="46">
        <v>35</v>
      </c>
      <c r="D16" s="15">
        <f t="shared" si="0"/>
        <v>1.9444444444444445E-2</v>
      </c>
      <c r="E16" s="16" t="s">
        <v>414</v>
      </c>
      <c r="F16" s="47">
        <v>0.12</v>
      </c>
      <c r="G16" s="47">
        <v>0.2</v>
      </c>
      <c r="H16" s="47">
        <v>0.04</v>
      </c>
      <c r="I16" s="77">
        <v>0.22</v>
      </c>
      <c r="J16" s="42" t="s">
        <v>415</v>
      </c>
      <c r="K16" s="1"/>
      <c r="L16" s="1"/>
      <c r="M16" s="1"/>
      <c r="N16" s="1"/>
      <c r="P16" s="135">
        <v>3</v>
      </c>
      <c r="Q16" s="135">
        <v>3</v>
      </c>
      <c r="R16" s="133">
        <f t="shared" si="1"/>
        <v>3</v>
      </c>
      <c r="S16" s="132">
        <f t="shared" si="2"/>
        <v>0.13500000000000001</v>
      </c>
      <c r="T16" s="132">
        <f t="shared" si="3"/>
        <v>0.224</v>
      </c>
      <c r="U16" s="132">
        <f t="shared" si="4"/>
        <v>5.2000000000000005E-2</v>
      </c>
      <c r="V16" s="132">
        <f t="shared" si="5"/>
        <v>0.23799999999999999</v>
      </c>
    </row>
    <row r="17" spans="1:22" ht="27.75" customHeight="1" x14ac:dyDescent="0.2">
      <c r="A17" s="13" t="s">
        <v>416</v>
      </c>
      <c r="B17" s="46">
        <v>150</v>
      </c>
      <c r="C17" s="46">
        <v>40</v>
      </c>
      <c r="D17" s="15">
        <f t="shared" si="0"/>
        <v>0.26666666666666666</v>
      </c>
      <c r="E17" s="16" t="s">
        <v>417</v>
      </c>
      <c r="F17" s="47">
        <v>0.28000000000000003</v>
      </c>
      <c r="G17" s="47">
        <v>0.44</v>
      </c>
      <c r="H17" s="47">
        <v>0.02</v>
      </c>
      <c r="I17" s="77">
        <v>0.46</v>
      </c>
      <c r="J17" s="42" t="s">
        <v>418</v>
      </c>
      <c r="K17" s="1"/>
      <c r="L17" s="1"/>
      <c r="M17" s="1"/>
      <c r="N17" s="1"/>
      <c r="P17" s="135">
        <v>5</v>
      </c>
      <c r="Q17" s="135">
        <v>3</v>
      </c>
      <c r="R17" s="133">
        <f t="shared" si="1"/>
        <v>4</v>
      </c>
      <c r="S17" s="132">
        <f t="shared" si="2"/>
        <v>0.30000000000000004</v>
      </c>
      <c r="T17" s="132">
        <f t="shared" si="3"/>
        <v>0.47199999999999998</v>
      </c>
      <c r="U17" s="132">
        <f t="shared" si="4"/>
        <v>3.6000000000000004E-2</v>
      </c>
      <c r="V17" s="132">
        <f t="shared" si="5"/>
        <v>0.48400000000000004</v>
      </c>
    </row>
    <row r="18" spans="1:22" ht="27.75" customHeight="1" x14ac:dyDescent="0.2">
      <c r="A18" s="13" t="s">
        <v>486</v>
      </c>
      <c r="B18" s="125">
        <v>1200</v>
      </c>
      <c r="C18" s="125">
        <v>50</v>
      </c>
      <c r="D18" s="15">
        <f>C18/B18</f>
        <v>4.1666666666666664E-2</v>
      </c>
      <c r="E18" s="16" t="s">
        <v>487</v>
      </c>
      <c r="F18" s="126">
        <v>0.13</v>
      </c>
      <c r="G18" s="126">
        <v>0.22</v>
      </c>
      <c r="H18" s="126">
        <v>0.04</v>
      </c>
      <c r="I18" s="127">
        <v>0.23</v>
      </c>
      <c r="J18" s="42" t="s">
        <v>515</v>
      </c>
      <c r="K18" s="1"/>
      <c r="L18" s="1"/>
      <c r="M18" s="1"/>
      <c r="N18" s="1"/>
      <c r="P18" s="135">
        <v>5</v>
      </c>
      <c r="Q18" s="135">
        <v>4</v>
      </c>
      <c r="R18" s="133">
        <f t="shared" si="1"/>
        <v>4.5</v>
      </c>
      <c r="S18" s="132">
        <f t="shared" si="2"/>
        <v>0.1525</v>
      </c>
      <c r="T18" s="132">
        <f t="shared" si="3"/>
        <v>0.25600000000000001</v>
      </c>
      <c r="U18" s="132">
        <f t="shared" si="4"/>
        <v>5.8000000000000003E-2</v>
      </c>
      <c r="V18" s="132">
        <f t="shared" si="5"/>
        <v>0.25700000000000001</v>
      </c>
    </row>
    <row r="19" spans="1:22" ht="27.75" customHeight="1" x14ac:dyDescent="0.2">
      <c r="A19" s="13" t="s">
        <v>488</v>
      </c>
      <c r="B19" s="128">
        <v>400</v>
      </c>
      <c r="C19" s="125">
        <v>40</v>
      </c>
      <c r="D19" s="15">
        <f>C19/B19</f>
        <v>0.1</v>
      </c>
      <c r="E19" s="16" t="s">
        <v>489</v>
      </c>
      <c r="F19" s="126">
        <v>0.13</v>
      </c>
      <c r="G19" s="126">
        <v>0.21</v>
      </c>
      <c r="H19" s="126">
        <v>0.03</v>
      </c>
      <c r="I19" s="127">
        <v>0.22</v>
      </c>
      <c r="J19" s="129" t="s">
        <v>490</v>
      </c>
      <c r="K19" s="1"/>
      <c r="L19" s="1"/>
      <c r="M19" s="1"/>
      <c r="N19" s="1"/>
      <c r="P19" s="135">
        <v>5</v>
      </c>
      <c r="Q19" s="135">
        <v>4</v>
      </c>
      <c r="R19" s="133">
        <f t="shared" si="1"/>
        <v>4.5</v>
      </c>
      <c r="S19" s="132">
        <f t="shared" si="2"/>
        <v>0.1525</v>
      </c>
      <c r="T19" s="132">
        <f t="shared" si="3"/>
        <v>0.246</v>
      </c>
      <c r="U19" s="132">
        <f t="shared" si="4"/>
        <v>4.8000000000000001E-2</v>
      </c>
      <c r="V19" s="132">
        <f t="shared" si="5"/>
        <v>0.247</v>
      </c>
    </row>
    <row r="20" spans="1:22" ht="27.75" customHeight="1" x14ac:dyDescent="0.2">
      <c r="A20" s="13" t="s">
        <v>419</v>
      </c>
      <c r="B20" s="46">
        <v>1200</v>
      </c>
      <c r="C20" s="46">
        <v>40</v>
      </c>
      <c r="D20" s="15">
        <f t="shared" si="0"/>
        <v>3.3333333333333333E-2</v>
      </c>
      <c r="E20" s="16" t="s">
        <v>420</v>
      </c>
      <c r="F20" s="47">
        <v>0.14000000000000001</v>
      </c>
      <c r="G20" s="47">
        <v>0.22</v>
      </c>
      <c r="H20" s="47">
        <v>0.06</v>
      </c>
      <c r="I20" s="77">
        <v>0.24</v>
      </c>
      <c r="J20" s="42" t="s">
        <v>421</v>
      </c>
      <c r="K20" s="1"/>
      <c r="L20" s="1"/>
      <c r="M20" s="1"/>
      <c r="N20" s="1"/>
      <c r="P20" s="135">
        <v>3</v>
      </c>
      <c r="Q20" s="135">
        <v>2</v>
      </c>
      <c r="R20" s="133">
        <f t="shared" si="1"/>
        <v>2.5</v>
      </c>
      <c r="S20" s="132">
        <f t="shared" si="2"/>
        <v>0.15250000000000002</v>
      </c>
      <c r="T20" s="132">
        <f t="shared" si="3"/>
        <v>0.24</v>
      </c>
      <c r="U20" s="132">
        <f t="shared" si="4"/>
        <v>6.9999999999999993E-2</v>
      </c>
      <c r="V20" s="132">
        <f t="shared" si="5"/>
        <v>0.255</v>
      </c>
    </row>
    <row r="21" spans="1:22" ht="15" customHeight="1" x14ac:dyDescent="0.2">
      <c r="A21" s="18" t="s">
        <v>491</v>
      </c>
      <c r="B21" s="1"/>
      <c r="C21" s="19">
        <f>SUM(C12:C20)</f>
        <v>390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22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22" ht="15" customHeight="1" x14ac:dyDescent="0.2">
      <c r="A23" s="28" t="s">
        <v>422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22" ht="27.75" customHeight="1" x14ac:dyDescent="0.2">
      <c r="A24" s="12" t="s">
        <v>236</v>
      </c>
      <c r="B24" s="12" t="s">
        <v>238</v>
      </c>
      <c r="C24" s="12" t="s">
        <v>346</v>
      </c>
      <c r="D24" s="12" t="s">
        <v>347</v>
      </c>
      <c r="E24" s="12" t="s">
        <v>348</v>
      </c>
      <c r="F24" s="12" t="s">
        <v>349</v>
      </c>
      <c r="G24" s="12" t="s">
        <v>350</v>
      </c>
      <c r="H24" s="12" t="s">
        <v>351</v>
      </c>
      <c r="I24" s="12" t="s">
        <v>352</v>
      </c>
      <c r="J24" s="12" t="s">
        <v>353</v>
      </c>
      <c r="K24" s="12" t="s">
        <v>354</v>
      </c>
      <c r="L24" s="21" t="s">
        <v>355</v>
      </c>
      <c r="M24" s="21" t="s">
        <v>356</v>
      </c>
      <c r="N24" s="21" t="s">
        <v>357</v>
      </c>
    </row>
    <row r="25" spans="1:22" ht="15" customHeight="1" x14ac:dyDescent="0.2">
      <c r="A25" s="56" t="str">
        <f t="shared" ref="A25:A33" si="6">A12</f>
        <v>Saronic</v>
      </c>
      <c r="B25" s="57">
        <f t="shared" ref="B25:B33" si="7">C12</f>
        <v>70</v>
      </c>
      <c r="C25" s="61">
        <f>B25*(1+S12)^5*'Weapons Sleeve'!$B$6</f>
        <v>214.86952432849174</v>
      </c>
      <c r="D25" s="36">
        <f t="shared" ref="D25:D33" si="8">C25/B25</f>
        <v>3.0695646332641675</v>
      </c>
      <c r="E25" s="15">
        <f t="shared" ref="E25:E33" si="9">(C25/B25)^(1/5)-1</f>
        <v>0.25145534197674424</v>
      </c>
      <c r="F25" s="61">
        <f>B25*(1+T12)^5*'Weapons Sleeve'!$B$6</f>
        <v>371.81558465407994</v>
      </c>
      <c r="G25" s="36">
        <f t="shared" ref="G25:G33" si="10">F25/B25</f>
        <v>5.3116512093439994</v>
      </c>
      <c r="H25" s="15">
        <f t="shared" ref="H25:H33" si="11">(F25/B25)^(1/5)-1</f>
        <v>0.39651598083063022</v>
      </c>
      <c r="I25" s="61">
        <f>B25*(1+U12)^5*'Weapons Sleeve'!$B$6</f>
        <v>67.685047226439991</v>
      </c>
      <c r="J25" s="36">
        <f t="shared" ref="J25:J33" si="12">I25/B25</f>
        <v>0.96692924609199993</v>
      </c>
      <c r="K25" s="15">
        <f t="shared" ref="K25:K33" si="13">(I25/B25)^(1/5)-1</f>
        <v>-6.7034220852559834E-3</v>
      </c>
      <c r="L25" s="62">
        <f>B25*(1+V12)^5*'Weapons Sleeve'!$B$6</f>
        <v>340.21770090154877</v>
      </c>
      <c r="M25" s="37">
        <f t="shared" ref="M25:M33" si="14">L25/B25</f>
        <v>4.8602528700221255</v>
      </c>
      <c r="N25" s="39">
        <f t="shared" ref="N25:N33" si="15">(L25/B25)^(1/5)-1</f>
        <v>0.37192943187234451</v>
      </c>
    </row>
    <row r="26" spans="1:22" ht="15" customHeight="1" x14ac:dyDescent="0.2">
      <c r="A26" s="56" t="str">
        <f t="shared" si="6"/>
        <v>Epirus</v>
      </c>
      <c r="B26" s="57">
        <f t="shared" si="7"/>
        <v>45</v>
      </c>
      <c r="C26" s="61">
        <f>B26*(1+S13)^5*'Weapons Sleeve'!$B$6</f>
        <v>128.88992477122309</v>
      </c>
      <c r="D26" s="36">
        <f t="shared" si="8"/>
        <v>2.8642205504716243</v>
      </c>
      <c r="E26" s="15">
        <f t="shared" si="9"/>
        <v>0.23424475770594433</v>
      </c>
      <c r="F26" s="61">
        <f>B26*(1+T13)^5*'Weapons Sleeve'!$B$6</f>
        <v>225.85820906239118</v>
      </c>
      <c r="G26" s="36">
        <f t="shared" si="10"/>
        <v>5.0190713124975819</v>
      </c>
      <c r="H26" s="15">
        <f t="shared" si="11"/>
        <v>0.38078058949732752</v>
      </c>
      <c r="I26" s="61">
        <f>B26*(1+U13)^5*'Weapons Sleeve'!$B$6</f>
        <v>39.770284878515405</v>
      </c>
      <c r="J26" s="36">
        <f t="shared" si="12"/>
        <v>0.88378410841145338</v>
      </c>
      <c r="K26" s="15">
        <f t="shared" si="13"/>
        <v>-2.4405737335221667E-2</v>
      </c>
      <c r="L26" s="62">
        <f>B26*(1+V13)^5*'Weapons Sleeve'!$B$6</f>
        <v>237.3457696023531</v>
      </c>
      <c r="M26" s="37">
        <f t="shared" si="14"/>
        <v>5.2743504356078468</v>
      </c>
      <c r="N26" s="39">
        <f t="shared" si="15"/>
        <v>0.39454905691396758</v>
      </c>
    </row>
    <row r="27" spans="1:22" ht="15" customHeight="1" x14ac:dyDescent="0.2">
      <c r="A27" s="56" t="str">
        <f t="shared" si="6"/>
        <v>Israel Aerospace Ind.</v>
      </c>
      <c r="B27" s="57">
        <f t="shared" si="7"/>
        <v>40</v>
      </c>
      <c r="C27" s="61">
        <f>B27*(1+S14)^5*'Weapons Sleeve'!$B$6</f>
        <v>89.678295497885003</v>
      </c>
      <c r="D27" s="36">
        <f t="shared" si="8"/>
        <v>2.2419573874471252</v>
      </c>
      <c r="E27" s="15">
        <f t="shared" si="9"/>
        <v>0.17523704020605857</v>
      </c>
      <c r="F27" s="61">
        <f>B27*(1+T14)^5*'Weapons Sleeve'!$B$6</f>
        <v>147.47468414976004</v>
      </c>
      <c r="G27" s="36">
        <f t="shared" si="10"/>
        <v>3.6868671037440008</v>
      </c>
      <c r="H27" s="15">
        <f t="shared" si="11"/>
        <v>0.29816978499748736</v>
      </c>
      <c r="I27" s="61">
        <f>B27*(1+U14)^5*'Weapons Sleeve'!$B$6</f>
        <v>54.07127322624001</v>
      </c>
      <c r="J27" s="36">
        <f t="shared" si="12"/>
        <v>1.3517818306560003</v>
      </c>
      <c r="K27" s="15">
        <f t="shared" si="13"/>
        <v>6.2138914997944106E-2</v>
      </c>
      <c r="L27" s="62">
        <f>B27*(1+V14)^5*'Weapons Sleeve'!$B$6</f>
        <v>141.97252191568003</v>
      </c>
      <c r="M27" s="37">
        <f t="shared" si="14"/>
        <v>3.5493130478920007</v>
      </c>
      <c r="N27" s="39">
        <f t="shared" si="15"/>
        <v>0.28833516541417303</v>
      </c>
    </row>
    <row r="28" spans="1:22" ht="15" customHeight="1" x14ac:dyDescent="0.2">
      <c r="A28" s="56" t="str">
        <f t="shared" si="6"/>
        <v>Elta Systems</v>
      </c>
      <c r="B28" s="57">
        <f t="shared" si="7"/>
        <v>30</v>
      </c>
      <c r="C28" s="61">
        <f>B28*(1+S15)^5*'Weapons Sleeve'!$B$6</f>
        <v>61.815646417968779</v>
      </c>
      <c r="D28" s="36">
        <f t="shared" si="8"/>
        <v>2.0605215472656258</v>
      </c>
      <c r="E28" s="15">
        <f t="shared" si="9"/>
        <v>0.15556780103943013</v>
      </c>
      <c r="F28" s="61">
        <f>B28*(1+T15)^5*'Weapons Sleeve'!$B$6</f>
        <v>96.323931621977721</v>
      </c>
      <c r="G28" s="36">
        <f t="shared" si="10"/>
        <v>3.2107977207325908</v>
      </c>
      <c r="H28" s="15">
        <f t="shared" si="11"/>
        <v>0.26276515449755578</v>
      </c>
      <c r="I28" s="61">
        <f>B28*(1+U15)^5*'Weapons Sleeve'!$B$6</f>
        <v>37.284786947634167</v>
      </c>
      <c r="J28" s="36">
        <f t="shared" si="12"/>
        <v>1.2428262315878056</v>
      </c>
      <c r="K28" s="15">
        <f t="shared" si="13"/>
        <v>4.4436599747978311E-2</v>
      </c>
      <c r="L28" s="62">
        <f>B28*(1+V15)^5*'Weapons Sleeve'!$B$6</f>
        <v>101.69100615934956</v>
      </c>
      <c r="M28" s="37">
        <f t="shared" si="14"/>
        <v>3.3897002053116521</v>
      </c>
      <c r="N28" s="39">
        <f t="shared" si="15"/>
        <v>0.27653362191419584</v>
      </c>
    </row>
    <row r="29" spans="1:22" ht="15" customHeight="1" x14ac:dyDescent="0.2">
      <c r="A29" s="56" t="str">
        <f t="shared" si="6"/>
        <v>Heckler &amp; Koch</v>
      </c>
      <c r="B29" s="57">
        <f t="shared" si="7"/>
        <v>35</v>
      </c>
      <c r="C29" s="61">
        <f>B29*(1+S16)^5*'Weapons Sleeve'!$B$6</f>
        <v>60.650610859391875</v>
      </c>
      <c r="D29" s="36">
        <f t="shared" si="8"/>
        <v>1.7328745959826251</v>
      </c>
      <c r="E29" s="15">
        <f t="shared" si="9"/>
        <v>0.11622932270617281</v>
      </c>
      <c r="F29" s="61">
        <f>B29*(1+T16)^5*'Weapons Sleeve'!$B$6</f>
        <v>88.463264283839692</v>
      </c>
      <c r="G29" s="36">
        <f t="shared" si="10"/>
        <v>2.5275218366811338</v>
      </c>
      <c r="H29" s="15">
        <f t="shared" si="11"/>
        <v>0.20375743699767002</v>
      </c>
      <c r="I29" s="61">
        <f>B29*(1+U16)^5*'Weapons Sleeve'!$B$6</f>
        <v>41.489153188745846</v>
      </c>
      <c r="J29" s="36">
        <f t="shared" si="12"/>
        <v>1.1854043768213098</v>
      </c>
      <c r="K29" s="15">
        <f t="shared" si="13"/>
        <v>3.4601980164664203E-2</v>
      </c>
      <c r="L29" s="62">
        <f>B29*(1+V16)^5*'Weapons Sleeve'!$B$6</f>
        <v>93.639501952607588</v>
      </c>
      <c r="M29" s="37">
        <f t="shared" si="14"/>
        <v>2.6754143415030738</v>
      </c>
      <c r="N29" s="39">
        <f t="shared" si="15"/>
        <v>0.21752590441431008</v>
      </c>
    </row>
    <row r="30" spans="1:22" ht="15" customHeight="1" x14ac:dyDescent="0.2">
      <c r="A30" s="56" t="str">
        <f t="shared" si="6"/>
        <v>Helicon Chemical</v>
      </c>
      <c r="B30" s="57">
        <f t="shared" si="7"/>
        <v>40</v>
      </c>
      <c r="C30" s="61">
        <f>B30*(1+S17)^5*'Weapons Sleeve'!$B$6</f>
        <v>136.63582400000004</v>
      </c>
      <c r="D30" s="36">
        <f t="shared" si="8"/>
        <v>3.4158956000000011</v>
      </c>
      <c r="E30" s="15">
        <f t="shared" si="9"/>
        <v>0.2785005458308587</v>
      </c>
      <c r="F30" s="61">
        <f>B30*(1+T17)^5*'Weapons Sleeve'!$B$6</f>
        <v>254.32372075571442</v>
      </c>
      <c r="G30" s="36">
        <f t="shared" si="10"/>
        <v>6.3580930188928608</v>
      </c>
      <c r="H30" s="15">
        <f t="shared" si="11"/>
        <v>0.44765600266386452</v>
      </c>
      <c r="I30" s="61">
        <f>B30*(1+U17)^5*'Weapons Sleeve'!$B$6</f>
        <v>43.918408682499283</v>
      </c>
      <c r="J30" s="36">
        <f t="shared" si="12"/>
        <v>1.097960217062482</v>
      </c>
      <c r="K30" s="15">
        <f t="shared" si="13"/>
        <v>1.8866588831361275E-2</v>
      </c>
      <c r="L30" s="62">
        <f>B30*(1+V17)^5*'Weapons Sleeve'!$B$6</f>
        <v>264.8605785613484</v>
      </c>
      <c r="M30" s="37">
        <f t="shared" si="14"/>
        <v>6.6215144640337105</v>
      </c>
      <c r="N30" s="39">
        <f t="shared" si="15"/>
        <v>0.45945754616384171</v>
      </c>
    </row>
    <row r="31" spans="1:22" ht="15" customHeight="1" x14ac:dyDescent="0.2">
      <c r="A31" s="56" t="str">
        <f t="shared" si="6"/>
        <v>The Ellwood Group</v>
      </c>
      <c r="B31" s="57">
        <f t="shared" si="7"/>
        <v>50</v>
      </c>
      <c r="C31" s="61">
        <f>B31*(1+S18)^5*'Weapons Sleeve'!$B$6</f>
        <v>93.5324912501803</v>
      </c>
      <c r="D31" s="36">
        <f t="shared" si="8"/>
        <v>1.8706498250036061</v>
      </c>
      <c r="E31" s="15">
        <f t="shared" si="9"/>
        <v>0.13343990697697294</v>
      </c>
      <c r="F31" s="61">
        <f>B31*(1+T18)^5*'Weapons Sleeve'!$B$6</f>
        <v>143.78249937295769</v>
      </c>
      <c r="G31" s="36">
        <f t="shared" si="10"/>
        <v>2.8756499874591537</v>
      </c>
      <c r="H31" s="15">
        <f t="shared" si="11"/>
        <v>0.23522821966427587</v>
      </c>
      <c r="I31" s="61">
        <f>B31*(1+U18)^5*'Weapons Sleeve'!$B$6</f>
        <v>60.979824506491333</v>
      </c>
      <c r="J31" s="36">
        <f t="shared" si="12"/>
        <v>1.2195964901298266</v>
      </c>
      <c r="K31" s="15">
        <f t="shared" si="13"/>
        <v>4.0502751914652801E-2</v>
      </c>
      <c r="L31" s="62">
        <f>B31*(1+V18)^5*'Weapons Sleeve'!$B$6</f>
        <v>144.35579409731071</v>
      </c>
      <c r="M31" s="37">
        <f t="shared" si="14"/>
        <v>2.8871158819462139</v>
      </c>
      <c r="N31" s="39">
        <f t="shared" si="15"/>
        <v>0.23621168162260742</v>
      </c>
    </row>
    <row r="32" spans="1:22" ht="15" customHeight="1" x14ac:dyDescent="0.2">
      <c r="A32" s="56" t="str">
        <f t="shared" si="6"/>
        <v>Superior &amp; Grand Valley</v>
      </c>
      <c r="B32" s="57">
        <f t="shared" si="7"/>
        <v>40</v>
      </c>
      <c r="C32" s="61">
        <f>B32*(1+S19)^5*'Weapons Sleeve'!$B$6</f>
        <v>74.825993000144223</v>
      </c>
      <c r="D32" s="36">
        <f t="shared" si="8"/>
        <v>1.8706498250036057</v>
      </c>
      <c r="E32" s="15">
        <f t="shared" si="9"/>
        <v>0.13343990697697272</v>
      </c>
      <c r="F32" s="61">
        <f>B32*(1+T19)^5*'Weapons Sleeve'!$B$6</f>
        <v>110.51927575884233</v>
      </c>
      <c r="G32" s="36">
        <f t="shared" si="10"/>
        <v>2.762981893971058</v>
      </c>
      <c r="H32" s="15">
        <f t="shared" si="11"/>
        <v>0.22539360008096154</v>
      </c>
      <c r="I32" s="61">
        <f>B32*(1+U19)^5*'Weapons Sleeve'!$B$6</f>
        <v>46.521555981330039</v>
      </c>
      <c r="J32" s="36">
        <f t="shared" si="12"/>
        <v>1.163038899533251</v>
      </c>
      <c r="K32" s="15">
        <f t="shared" si="13"/>
        <v>3.0668132331338471E-2</v>
      </c>
      <c r="L32" s="62">
        <f>B32*(1+V19)^5*'Weapons Sleeve'!$B$6</f>
        <v>110.96348449362101</v>
      </c>
      <c r="M32" s="37">
        <f t="shared" si="14"/>
        <v>2.7740871123405251</v>
      </c>
      <c r="N32" s="39">
        <f t="shared" si="15"/>
        <v>0.22637706203929286</v>
      </c>
    </row>
    <row r="33" spans="1:14" ht="15" customHeight="1" x14ac:dyDescent="0.2">
      <c r="A33" s="56" t="str">
        <f t="shared" si="6"/>
        <v>Applied Research Assoc.</v>
      </c>
      <c r="B33" s="57">
        <f t="shared" si="7"/>
        <v>40</v>
      </c>
      <c r="C33" s="61">
        <f>B33*(1+S20)^5*'Weapons Sleeve'!$B$6</f>
        <v>74.825993000144223</v>
      </c>
      <c r="D33" s="36">
        <f t="shared" si="8"/>
        <v>1.8706498250036057</v>
      </c>
      <c r="E33" s="15">
        <f t="shared" si="9"/>
        <v>0.13343990697697272</v>
      </c>
      <c r="F33" s="61">
        <f>B33*(1+T20)^5*'Weapons Sleeve'!$B$6</f>
        <v>107.88380229632001</v>
      </c>
      <c r="G33" s="36">
        <f t="shared" si="10"/>
        <v>2.6970950574080002</v>
      </c>
      <c r="H33" s="15">
        <f t="shared" si="11"/>
        <v>0.21949282833097294</v>
      </c>
      <c r="I33" s="61">
        <f>B33*(1+U20)^5*'Weapons Sleeve'!$B$6</f>
        <v>51.613903689760008</v>
      </c>
      <c r="J33" s="36">
        <f t="shared" si="12"/>
        <v>1.2903475922440002</v>
      </c>
      <c r="K33" s="15">
        <f t="shared" si="13"/>
        <v>5.2304295414629776E-2</v>
      </c>
      <c r="L33" s="62">
        <f>B33*(1+V20)^5*'Weapons Sleeve'!$B$6</f>
        <v>114.56882201886496</v>
      </c>
      <c r="M33" s="37">
        <f t="shared" si="14"/>
        <v>2.8642205504716243</v>
      </c>
      <c r="N33" s="39">
        <f t="shared" si="15"/>
        <v>0.23424475770594433</v>
      </c>
    </row>
    <row r="34" spans="1:14" ht="15" customHeight="1" x14ac:dyDescent="0.2">
      <c r="A34" s="53" t="s">
        <v>389</v>
      </c>
      <c r="B34" s="63">
        <f>SUM(B25:B33)</f>
        <v>390</v>
      </c>
      <c r="C34" s="63">
        <f>SUM(C25:C33)</f>
        <v>935.72430312542929</v>
      </c>
      <c r="D34" s="64">
        <f t="shared" ref="D34" si="16">C34/B34</f>
        <v>2.399293084936998</v>
      </c>
      <c r="E34" s="65">
        <f t="shared" ref="E34" si="17">(C34/B34)^(1/5)-1</f>
        <v>0.19128770749316026</v>
      </c>
      <c r="F34" s="63">
        <f>SUM(F25:F33)</f>
        <v>1546.4449719558831</v>
      </c>
      <c r="G34" s="64">
        <f t="shared" ref="G34" si="18">F34/B34</f>
        <v>3.965243517835598</v>
      </c>
      <c r="H34" s="65">
        <f t="shared" ref="H34" si="19">(F34/B34)^(1/5)-1</f>
        <v>0.31720682639533604</v>
      </c>
      <c r="I34" s="63">
        <f>SUM(I25:I33)</f>
        <v>443.33423832765607</v>
      </c>
      <c r="J34" s="64">
        <f t="shared" ref="J34" si="20">I34/B34</f>
        <v>1.1367544572504003</v>
      </c>
      <c r="K34" s="65">
        <f t="shared" ref="K34" si="21">(I34/B34)^(1/5)-1</f>
        <v>2.5966860944417691E-2</v>
      </c>
      <c r="L34" s="66">
        <f>SUM(L25:L33)</f>
        <v>1549.6151797026841</v>
      </c>
      <c r="M34" s="67">
        <f t="shared" ref="M34" si="22">L34/B34</f>
        <v>3.9733722556479081</v>
      </c>
      <c r="N34" s="68">
        <f t="shared" ref="N34" si="23">(L34/B34)^(1/5)-1</f>
        <v>0.31774643813704251</v>
      </c>
    </row>
    <row r="35" spans="1:14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">
      <c r="A37" s="28" t="s">
        <v>423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7.75" customHeight="1" x14ac:dyDescent="0.2">
      <c r="A38" s="12" t="s">
        <v>236</v>
      </c>
      <c r="B38" s="12" t="s">
        <v>238</v>
      </c>
      <c r="C38" s="12" t="s">
        <v>346</v>
      </c>
      <c r="D38" s="12" t="s">
        <v>347</v>
      </c>
      <c r="E38" s="12" t="s">
        <v>348</v>
      </c>
      <c r="F38" s="12" t="s">
        <v>349</v>
      </c>
      <c r="G38" s="12" t="s">
        <v>350</v>
      </c>
      <c r="H38" s="12" t="s">
        <v>351</v>
      </c>
      <c r="I38" s="12" t="s">
        <v>352</v>
      </c>
      <c r="J38" s="12" t="s">
        <v>353</v>
      </c>
      <c r="K38" s="12" t="s">
        <v>354</v>
      </c>
      <c r="L38" s="21" t="s">
        <v>355</v>
      </c>
      <c r="M38" s="21" t="s">
        <v>356</v>
      </c>
      <c r="N38" s="21" t="s">
        <v>357</v>
      </c>
    </row>
    <row r="39" spans="1:14" ht="15" customHeight="1" x14ac:dyDescent="0.2">
      <c r="A39" s="56" t="str">
        <f t="shared" ref="A39:A47" si="24">A12</f>
        <v>Saronic</v>
      </c>
      <c r="B39" s="57">
        <f t="shared" ref="B39:B47" si="25">C12</f>
        <v>70</v>
      </c>
      <c r="C39" s="61">
        <f>B39*(1+S12)^7*'Weapons Sleeve'!$B$7</f>
        <v>332.8014801945921</v>
      </c>
      <c r="D39" s="36">
        <f t="shared" ref="D39:D47" si="26">C39/B39</f>
        <v>4.7543068599227443</v>
      </c>
      <c r="E39" s="15">
        <f t="shared" ref="E39:E47" si="27">(C39/B39)^(1/7)-1</f>
        <v>0.24947262117346347</v>
      </c>
      <c r="F39" s="61">
        <f>B39*(1+T12)^7*'Weapons Sleeve'!$B$7</f>
        <v>717.13203424881351</v>
      </c>
      <c r="G39" s="36">
        <f t="shared" ref="G39:G47" si="28">F39/B39</f>
        <v>10.244743346411621</v>
      </c>
      <c r="H39" s="15">
        <f t="shared" ref="H39:H47" si="29">(F39/B39)^(1/7)-1</f>
        <v>0.39430343580850158</v>
      </c>
      <c r="I39" s="61">
        <f>B39*(1+U12)^7*'Weapons Sleeve'!$B$7</f>
        <v>66.043537689791805</v>
      </c>
      <c r="J39" s="36">
        <f t="shared" ref="J39:J47" si="30">I39/B39</f>
        <v>0.94347910985416861</v>
      </c>
      <c r="K39" s="15">
        <f t="shared" ref="K39:K47" si="31">(I39/B39)^(1/7)-1</f>
        <v>-8.2771336855024247E-3</v>
      </c>
      <c r="L39" s="62">
        <f>B39*(1+V12)^7*'Weapons Sleeve'!$B$7</f>
        <v>633.28640568402625</v>
      </c>
      <c r="M39" s="37">
        <f t="shared" ref="M39:M47" si="32">L39/B39</f>
        <v>9.0469486526289469</v>
      </c>
      <c r="N39" s="39">
        <f t="shared" ref="N39:N47" si="33">(L39/B39)^(1/7)-1</f>
        <v>0.36975584010764773</v>
      </c>
    </row>
    <row r="40" spans="1:14" ht="15" customHeight="1" x14ac:dyDescent="0.2">
      <c r="A40" s="56" t="str">
        <f t="shared" si="24"/>
        <v>Epirus</v>
      </c>
      <c r="B40" s="57">
        <f t="shared" si="25"/>
        <v>45</v>
      </c>
      <c r="C40" s="61">
        <f>B40*(1+S13)^7*'Weapons Sleeve'!$B$7</f>
        <v>194.17855577310883</v>
      </c>
      <c r="D40" s="36">
        <f t="shared" si="26"/>
        <v>4.3150790171801958</v>
      </c>
      <c r="E40" s="15">
        <f t="shared" si="27"/>
        <v>0.23228930418286575</v>
      </c>
      <c r="F40" s="61">
        <f>B40*(1+T13)^7*'Weapons Sleeve'!$B$7</f>
        <v>425.85812780751604</v>
      </c>
      <c r="G40" s="36">
        <f t="shared" si="28"/>
        <v>9.4635139512781343</v>
      </c>
      <c r="H40" s="15">
        <f t="shared" si="29"/>
        <v>0.378592974559955</v>
      </c>
      <c r="I40" s="61">
        <f>B40*(1+U13)^7*'Weapons Sleeve'!$B$7</f>
        <v>37.434918417878706</v>
      </c>
      <c r="J40" s="36">
        <f t="shared" si="30"/>
        <v>0.83188707595286016</v>
      </c>
      <c r="K40" s="15">
        <f t="shared" si="31"/>
        <v>-2.595140259011719E-2</v>
      </c>
      <c r="L40" s="62">
        <f>B40*(1+V13)^7*'Weapons Sleeve'!$B$7</f>
        <v>456.48740761888183</v>
      </c>
      <c r="M40" s="37">
        <f t="shared" si="32"/>
        <v>10.144164613752929</v>
      </c>
      <c r="N40" s="39">
        <f t="shared" si="33"/>
        <v>0.3923396281524334</v>
      </c>
    </row>
    <row r="41" spans="1:14" ht="15" customHeight="1" x14ac:dyDescent="0.2">
      <c r="A41" s="56" t="str">
        <f t="shared" si="24"/>
        <v>Israel Aerospace Ind.</v>
      </c>
      <c r="B41" s="57">
        <f t="shared" si="25"/>
        <v>40</v>
      </c>
      <c r="C41" s="61">
        <f>B41*(1+S14)^7*'Weapons Sleeve'!$B$7</f>
        <v>122.49489801843823</v>
      </c>
      <c r="D41" s="36">
        <f t="shared" si="26"/>
        <v>3.062372450460956</v>
      </c>
      <c r="E41" s="15">
        <f t="shared" si="27"/>
        <v>0.17337507450081646</v>
      </c>
      <c r="F41" s="61">
        <f>B41*(1+T14)^7*'Weapons Sleeve'!$B$7</f>
        <v>245.78772054677918</v>
      </c>
      <c r="G41" s="36">
        <f t="shared" si="28"/>
        <v>6.14469301366948</v>
      </c>
      <c r="H41" s="15">
        <f t="shared" si="29"/>
        <v>0.29611305300508595</v>
      </c>
      <c r="I41" s="61">
        <f>B41*(1+U14)^7*'Weapons Sleeve'!$B$7</f>
        <v>60.326614261039126</v>
      </c>
      <c r="J41" s="36">
        <f t="shared" si="30"/>
        <v>1.5081653565259781</v>
      </c>
      <c r="K41" s="15">
        <f t="shared" si="31"/>
        <v>6.0456134276888562E-2</v>
      </c>
      <c r="L41" s="62">
        <f>B41*(1+V14)^7*'Weapons Sleeve'!$B$7</f>
        <v>233.0460429090856</v>
      </c>
      <c r="M41" s="37">
        <f t="shared" si="32"/>
        <v>5.8261510727271402</v>
      </c>
      <c r="N41" s="39">
        <f t="shared" si="33"/>
        <v>0.28629401472474458</v>
      </c>
    </row>
    <row r="42" spans="1:14" ht="15" customHeight="1" x14ac:dyDescent="0.2">
      <c r="A42" s="56" t="str">
        <f t="shared" si="24"/>
        <v>Elta Systems</v>
      </c>
      <c r="B42" s="57">
        <f t="shared" si="25"/>
        <v>30</v>
      </c>
      <c r="C42" s="61">
        <f>B42*(1+S15)^7*'Weapons Sleeve'!$B$7</f>
        <v>81.633608277729536</v>
      </c>
      <c r="D42" s="36">
        <f t="shared" si="26"/>
        <v>2.721120275924318</v>
      </c>
      <c r="E42" s="15">
        <f t="shared" si="27"/>
        <v>0.15373699794013351</v>
      </c>
      <c r="F42" s="61">
        <f>B42*(1+T15)^7*'Weapons Sleeve'!$B$7</f>
        <v>151.90046138554749</v>
      </c>
      <c r="G42" s="36">
        <f t="shared" si="28"/>
        <v>5.0633487128515826</v>
      </c>
      <c r="H42" s="15">
        <f t="shared" si="29"/>
        <v>0.26076451519585642</v>
      </c>
      <c r="I42" s="61">
        <f>B42*(1+U15)^7*'Weapons Sleeve'!$B$7</f>
        <v>40.223100500160228</v>
      </c>
      <c r="J42" s="36">
        <f t="shared" si="30"/>
        <v>1.3407700166720076</v>
      </c>
      <c r="K42" s="15">
        <f t="shared" si="31"/>
        <v>4.2781865372273797E-2</v>
      </c>
      <c r="L42" s="62">
        <f>B42*(1+V15)^7*'Weapons Sleeve'!$B$7</f>
        <v>163.88030898732734</v>
      </c>
      <c r="M42" s="37">
        <f t="shared" si="32"/>
        <v>5.4626769662442447</v>
      </c>
      <c r="N42" s="39">
        <f t="shared" si="33"/>
        <v>0.27451116878833459</v>
      </c>
    </row>
    <row r="43" spans="1:14" ht="15" customHeight="1" x14ac:dyDescent="0.2">
      <c r="A43" s="56" t="str">
        <f t="shared" si="24"/>
        <v>Heckler &amp; Koch</v>
      </c>
      <c r="B43" s="57">
        <f t="shared" si="25"/>
        <v>35</v>
      </c>
      <c r="C43" s="61">
        <f>B43*(1+S16)^7*'Weapons Sleeve'!$B$7</f>
        <v>74.734605645020963</v>
      </c>
      <c r="D43" s="36">
        <f t="shared" si="26"/>
        <v>2.1352744470005991</v>
      </c>
      <c r="E43" s="15">
        <f t="shared" si="27"/>
        <v>0.11446084481876717</v>
      </c>
      <c r="F43" s="61">
        <f>B43*(1+T16)^7*'Weapons Sleeve'!$B$7</f>
        <v>126.7712116303273</v>
      </c>
      <c r="G43" s="36">
        <f t="shared" si="28"/>
        <v>3.6220346180093514</v>
      </c>
      <c r="H43" s="15">
        <f t="shared" si="29"/>
        <v>0.2018502855138069</v>
      </c>
      <c r="I43" s="61">
        <f>B43*(1+U16)^7*'Weapons Sleeve'!$B$7</f>
        <v>43.91985475622397</v>
      </c>
      <c r="J43" s="36">
        <f t="shared" si="30"/>
        <v>1.2548529930349706</v>
      </c>
      <c r="K43" s="15">
        <f t="shared" si="31"/>
        <v>3.2962827091932212E-2</v>
      </c>
      <c r="L43" s="62">
        <f>B43*(1+V16)^7*'Weapons Sleeve'!$B$7</f>
        <v>137.27619383801525</v>
      </c>
      <c r="M43" s="37">
        <f t="shared" si="32"/>
        <v>3.9221769668004356</v>
      </c>
      <c r="N43" s="39">
        <f t="shared" si="33"/>
        <v>0.21559693910628508</v>
      </c>
    </row>
    <row r="44" spans="1:14" ht="15" customHeight="1" x14ac:dyDescent="0.2">
      <c r="A44" s="56" t="str">
        <f t="shared" si="24"/>
        <v>Helicon Chemical</v>
      </c>
      <c r="B44" s="57">
        <f t="shared" si="25"/>
        <v>40</v>
      </c>
      <c r="C44" s="61">
        <f>B44*(1+S17)^7*'Weapons Sleeve'!$B$7</f>
        <v>220.87477984000009</v>
      </c>
      <c r="D44" s="36">
        <f t="shared" si="26"/>
        <v>5.5218694960000025</v>
      </c>
      <c r="E44" s="15">
        <f t="shared" si="27"/>
        <v>0.276474976444403</v>
      </c>
      <c r="F44" s="61">
        <f>B44*(1+T17)^7*'Weapons Sleeve'!$B$7</f>
        <v>527.10523986899557</v>
      </c>
      <c r="G44" s="36">
        <f t="shared" si="28"/>
        <v>13.17763099672489</v>
      </c>
      <c r="H44" s="15">
        <f t="shared" si="29"/>
        <v>0.44536243486627769</v>
      </c>
      <c r="I44" s="61">
        <f>B44*(1+U17)^7*'Weapons Sleeve'!$B$7</f>
        <v>45.087997914626897</v>
      </c>
      <c r="J44" s="36">
        <f t="shared" si="30"/>
        <v>1.1271999478656725</v>
      </c>
      <c r="K44" s="15">
        <f t="shared" si="31"/>
        <v>1.7252365843385631E-2</v>
      </c>
      <c r="L44" s="62">
        <f>B44*(1+V17)^7*'Weapons Sleeve'!$B$7</f>
        <v>557.93032880888768</v>
      </c>
      <c r="M44" s="37">
        <f t="shared" si="32"/>
        <v>13.948258220222192</v>
      </c>
      <c r="N44" s="39">
        <f t="shared" si="33"/>
        <v>0.45714528080268746</v>
      </c>
    </row>
    <row r="45" spans="1:14" ht="15" customHeight="1" x14ac:dyDescent="0.2">
      <c r="A45" s="56" t="str">
        <f t="shared" si="24"/>
        <v>The Ellwood Group</v>
      </c>
      <c r="B45" s="57">
        <f t="shared" si="25"/>
        <v>50</v>
      </c>
      <c r="C45" s="61">
        <f>B45*(1+S18)^7*'Weapons Sleeve'!$B$7</f>
        <v>118.83358929498657</v>
      </c>
      <c r="D45" s="36">
        <f t="shared" si="26"/>
        <v>2.3766717858997315</v>
      </c>
      <c r="E45" s="15">
        <f t="shared" si="27"/>
        <v>0.13164416180936489</v>
      </c>
      <c r="F45" s="61">
        <f>B45*(1+T18)^7*'Weapons Sleeve'!$B$7</f>
        <v>216.96023984686957</v>
      </c>
      <c r="G45" s="36">
        <f t="shared" si="28"/>
        <v>4.3392047969373913</v>
      </c>
      <c r="H45" s="15">
        <f t="shared" si="29"/>
        <v>0.23327120801090007</v>
      </c>
      <c r="I45" s="61">
        <f>B45*(1+U18)^7*'Weapons Sleeve'!$B$7</f>
        <v>65.290854179802253</v>
      </c>
      <c r="J45" s="36">
        <f t="shared" si="30"/>
        <v>1.305817083596045</v>
      </c>
      <c r="K45" s="15">
        <f t="shared" si="31"/>
        <v>3.8854250060137208E-2</v>
      </c>
      <c r="L45" s="62">
        <f>B45*(1+V18)^7*'Weapons Sleeve'!$B$7</f>
        <v>218.172305146459</v>
      </c>
      <c r="M45" s="37">
        <f t="shared" si="32"/>
        <v>4.3634461029291796</v>
      </c>
      <c r="N45" s="39">
        <f t="shared" si="33"/>
        <v>0.23425311183893416</v>
      </c>
    </row>
    <row r="46" spans="1:14" ht="15" customHeight="1" x14ac:dyDescent="0.2">
      <c r="A46" s="56" t="str">
        <f t="shared" si="24"/>
        <v>Superior &amp; Grand Valley</v>
      </c>
      <c r="B46" s="57">
        <f t="shared" si="25"/>
        <v>40</v>
      </c>
      <c r="C46" s="61">
        <f>B46*(1+S19)^7*'Weapons Sleeve'!$B$7</f>
        <v>95.066871435989256</v>
      </c>
      <c r="D46" s="36">
        <f t="shared" si="26"/>
        <v>2.3766717858997315</v>
      </c>
      <c r="E46" s="15">
        <f t="shared" si="27"/>
        <v>0.13164416180936489</v>
      </c>
      <c r="F46" s="61">
        <f>B46*(1+T19)^7*'Weapons Sleeve'!$B$7</f>
        <v>164.12281592731853</v>
      </c>
      <c r="G46" s="36">
        <f t="shared" si="28"/>
        <v>4.1030703981829628</v>
      </c>
      <c r="H46" s="15">
        <f t="shared" si="29"/>
        <v>0.22345216973055848</v>
      </c>
      <c r="I46" s="61">
        <f>B46*(1+U19)^7*'Weapons Sleeve'!$B$7</f>
        <v>48.873297497887464</v>
      </c>
      <c r="J46" s="36">
        <f t="shared" si="30"/>
        <v>1.2218324374471865</v>
      </c>
      <c r="K46" s="15">
        <f t="shared" si="31"/>
        <v>2.9035211779795622E-2</v>
      </c>
      <c r="L46" s="62">
        <f>B46*(1+V19)^7*'Weapons Sleeve'!$B$7</f>
        <v>165.04707718681317</v>
      </c>
      <c r="M46" s="37">
        <f t="shared" si="32"/>
        <v>4.1261769296703292</v>
      </c>
      <c r="N46" s="39">
        <f t="shared" si="33"/>
        <v>0.22443407355859235</v>
      </c>
    </row>
    <row r="47" spans="1:14" ht="15" customHeight="1" x14ac:dyDescent="0.2">
      <c r="A47" s="56" t="str">
        <f t="shared" si="24"/>
        <v>Applied Research Assoc.</v>
      </c>
      <c r="B47" s="57">
        <f t="shared" si="25"/>
        <v>40</v>
      </c>
      <c r="C47" s="61">
        <f>B47*(1+S20)^7*'Weapons Sleeve'!$B$7</f>
        <v>95.066871435989256</v>
      </c>
      <c r="D47" s="36">
        <f t="shared" si="26"/>
        <v>2.3766717858997315</v>
      </c>
      <c r="E47" s="15">
        <f t="shared" si="27"/>
        <v>0.13164416180936489</v>
      </c>
      <c r="F47" s="61">
        <f>B47*(1+T20)^7*'Weapons Sleeve'!$B$7</f>
        <v>158.66986769730767</v>
      </c>
      <c r="G47" s="36">
        <f t="shared" si="28"/>
        <v>3.9667466924326917</v>
      </c>
      <c r="H47" s="15">
        <f t="shared" si="29"/>
        <v>0.21756074676235349</v>
      </c>
      <c r="I47" s="61">
        <f>B47*(1+U20)^7*'Weapons Sleeve'!$B$7</f>
        <v>56.52350797204074</v>
      </c>
      <c r="J47" s="36">
        <f t="shared" si="30"/>
        <v>1.4130876993010184</v>
      </c>
      <c r="K47" s="15">
        <f t="shared" si="31"/>
        <v>5.0637095996546977E-2</v>
      </c>
      <c r="L47" s="62">
        <f>B47*(1+V20)^7*'Weapons Sleeve'!$B$7</f>
        <v>172.60316068720786</v>
      </c>
      <c r="M47" s="37">
        <f t="shared" si="32"/>
        <v>4.3150790171801967</v>
      </c>
      <c r="N47" s="39">
        <f t="shared" si="33"/>
        <v>0.23228930418286575</v>
      </c>
    </row>
    <row r="48" spans="1:14" ht="15" customHeight="1" x14ac:dyDescent="0.2">
      <c r="A48" s="53" t="s">
        <v>389</v>
      </c>
      <c r="B48" s="63">
        <f>SUM(B39:B47)</f>
        <v>390</v>
      </c>
      <c r="C48" s="63">
        <f>SUM(C39:C47)</f>
        <v>1335.6852599158549</v>
      </c>
      <c r="D48" s="64">
        <f t="shared" ref="D48" si="34">C48/B48</f>
        <v>3.4248339997842434</v>
      </c>
      <c r="E48" s="65">
        <f t="shared" ref="E48" si="35">(C48/B48)^(1/7)-1</f>
        <v>0.19227675029385383</v>
      </c>
      <c r="F48" s="63">
        <f>SUM(F39:F47)</f>
        <v>2734.3077189594756</v>
      </c>
      <c r="G48" s="64">
        <f t="shared" ref="G48" si="36">F48/B48</f>
        <v>7.0110454332294241</v>
      </c>
      <c r="H48" s="65">
        <f t="shared" ref="H48" si="37">(F48/B48)^(1/7)-1</f>
        <v>0.32076670288480602</v>
      </c>
      <c r="I48" s="63">
        <f>SUM(I39:I47)</f>
        <v>463.72368318945121</v>
      </c>
      <c r="J48" s="64">
        <f t="shared" ref="J48" si="38">I48/B48</f>
        <v>1.1890350851011569</v>
      </c>
      <c r="K48" s="65">
        <f t="shared" ref="K48" si="39">(I48/B48)^(1/7)-1</f>
        <v>2.5043027066785628E-2</v>
      </c>
      <c r="L48" s="66">
        <f>SUM(L39:L47)</f>
        <v>2737.7292308667038</v>
      </c>
      <c r="M48" s="67">
        <f t="shared" ref="M48" si="40">L48/B48</f>
        <v>7.0198185406838558</v>
      </c>
      <c r="N48" s="68">
        <f t="shared" ref="N48" si="41">(L48/B48)^(1/7)-1</f>
        <v>0.32100267786161396</v>
      </c>
    </row>
    <row r="49" spans="1:14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">
      <c r="A51" s="28" t="s">
        <v>424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27.75" customHeight="1" x14ac:dyDescent="0.2">
      <c r="A52" s="12" t="s">
        <v>236</v>
      </c>
      <c r="B52" s="12" t="s">
        <v>238</v>
      </c>
      <c r="C52" s="12" t="s">
        <v>346</v>
      </c>
      <c r="D52" s="12" t="s">
        <v>347</v>
      </c>
      <c r="E52" s="12" t="s">
        <v>348</v>
      </c>
      <c r="F52" s="12" t="s">
        <v>349</v>
      </c>
      <c r="G52" s="12" t="s">
        <v>350</v>
      </c>
      <c r="H52" s="12" t="s">
        <v>351</v>
      </c>
      <c r="I52" s="12" t="s">
        <v>352</v>
      </c>
      <c r="J52" s="12" t="s">
        <v>353</v>
      </c>
      <c r="K52" s="12" t="s">
        <v>354</v>
      </c>
      <c r="L52" s="21" t="s">
        <v>355</v>
      </c>
      <c r="M52" s="21" t="s">
        <v>356</v>
      </c>
      <c r="N52" s="21" t="s">
        <v>357</v>
      </c>
    </row>
    <row r="53" spans="1:14" ht="15" customHeight="1" x14ac:dyDescent="0.2">
      <c r="A53" s="56" t="str">
        <f t="shared" ref="A53:A61" si="42">A12</f>
        <v>Saronic</v>
      </c>
      <c r="B53" s="57">
        <f t="shared" ref="B53:B61" si="43">C12</f>
        <v>70</v>
      </c>
      <c r="C53" s="61">
        <f>B53*(1+S12)^10*'Weapons Sleeve'!$B$8</f>
        <v>638.98373342264517</v>
      </c>
      <c r="D53" s="36">
        <f t="shared" ref="D53:D61" si="44">C53/B53</f>
        <v>9.1283390488949312</v>
      </c>
      <c r="E53" s="15">
        <f t="shared" ref="E53:E61" si="45">(C53/B53)^(1/10)-1</f>
        <v>0.24749604159723892</v>
      </c>
      <c r="F53" s="61">
        <f>B53*(1+T12)^10*'Weapons Sleeve'!$B$8</f>
        <v>1913.3540334383836</v>
      </c>
      <c r="G53" s="36">
        <f t="shared" ref="G53:G61" si="46">F53/B53</f>
        <v>27.333629049119764</v>
      </c>
      <c r="H53" s="15">
        <f t="shared" ref="H53:H61" si="47">(F53/B53)^(1/10)-1</f>
        <v>0.39209774386489538</v>
      </c>
      <c r="I53" s="61">
        <f>B53*(1+U12)^10*'Weapons Sleeve'!$B$8</f>
        <v>63.405309998603144</v>
      </c>
      <c r="J53" s="36">
        <f t="shared" ref="J53:J61" si="48">I53/B53</f>
        <v>0.90579014283718773</v>
      </c>
      <c r="K53" s="15">
        <f t="shared" ref="K53:K61" si="49">(I53/B53)^(1/10)-1</f>
        <v>-9.845970912996993E-3</v>
      </c>
      <c r="L53" s="62">
        <f>B53*(1+V12)^10*'Weapons Sleeve'!$B$8</f>
        <v>1601.9684864556318</v>
      </c>
      <c r="M53" s="37">
        <f t="shared" ref="M53:M61" si="50">L53/B53</f>
        <v>22.885264092223313</v>
      </c>
      <c r="N53" s="39">
        <f t="shared" ref="N53:N61" si="51">(L53/B53)^(1/10)-1</f>
        <v>0.36758898076868229</v>
      </c>
    </row>
    <row r="54" spans="1:14" ht="15" customHeight="1" x14ac:dyDescent="0.2">
      <c r="A54" s="56" t="str">
        <f t="shared" si="42"/>
        <v>Epirus</v>
      </c>
      <c r="B54" s="57">
        <f t="shared" si="43"/>
        <v>45</v>
      </c>
      <c r="C54" s="61">
        <f>B54*(1+S13)^10*'Weapons Sleeve'!$B$8</f>
        <v>357.65444287376243</v>
      </c>
      <c r="D54" s="36">
        <f t="shared" si="44"/>
        <v>7.947876508305832</v>
      </c>
      <c r="E54" s="15">
        <f t="shared" si="45"/>
        <v>0.23033990742988975</v>
      </c>
      <c r="F54" s="61">
        <f>B54*(1+T13)^10*'Weapons Sleeve'!$B$8</f>
        <v>1098.2404718733999</v>
      </c>
      <c r="G54" s="36">
        <f t="shared" si="46"/>
        <v>24.405343819408888</v>
      </c>
      <c r="H54" s="15">
        <f t="shared" si="47"/>
        <v>0.37641213548331898</v>
      </c>
      <c r="I54" s="61">
        <f>B54*(1+U13)^10*'Weapons Sleeve'!$B$8</f>
        <v>34.052036301223005</v>
      </c>
      <c r="J54" s="36">
        <f t="shared" si="48"/>
        <v>0.75671191780495561</v>
      </c>
      <c r="K54" s="15">
        <f t="shared" si="49"/>
        <v>-2.7492280342270359E-2</v>
      </c>
      <c r="L54" s="62">
        <f>B54*(1+V13)^10*'Weapons Sleeve'!$B$8</f>
        <v>1212.7985655710272</v>
      </c>
      <c r="M54" s="37">
        <f t="shared" si="50"/>
        <v>26.951079234911717</v>
      </c>
      <c r="N54" s="39">
        <f t="shared" si="51"/>
        <v>0.39013704281719841</v>
      </c>
    </row>
    <row r="55" spans="1:14" ht="15" customHeight="1" x14ac:dyDescent="0.2">
      <c r="A55" s="56" t="str">
        <f t="shared" si="42"/>
        <v>Israel Aerospace Ind.</v>
      </c>
      <c r="B55" s="57">
        <f t="shared" si="43"/>
        <v>40</v>
      </c>
      <c r="C55" s="61">
        <f>B55*(1+S14)^10*'Weapons Sleeve'!$B$8</f>
        <v>194.78382798892085</v>
      </c>
      <c r="D55" s="36">
        <f t="shared" si="44"/>
        <v>4.8695956997230212</v>
      </c>
      <c r="E55" s="15">
        <f t="shared" si="45"/>
        <v>0.17151887599897875</v>
      </c>
      <c r="F55" s="61">
        <f>B55*(1+T14)^10*'Weapons Sleeve'!$B$8</f>
        <v>526.76044486527098</v>
      </c>
      <c r="G55" s="36">
        <f t="shared" si="46"/>
        <v>13.169011121631774</v>
      </c>
      <c r="H55" s="15">
        <f t="shared" si="47"/>
        <v>0.29406269148004349</v>
      </c>
      <c r="I55" s="61">
        <f>B55*(1+U14)^10*'Weapons Sleeve'!$B$8</f>
        <v>70.812739910547435</v>
      </c>
      <c r="J55" s="36">
        <f t="shared" si="48"/>
        <v>1.7703184977636859</v>
      </c>
      <c r="K55" s="15">
        <f t="shared" si="49"/>
        <v>5.8778565756399281E-2</v>
      </c>
      <c r="L55" s="62">
        <f>B55*(1+V14)^10*'Weapons Sleeve'!$B$8</f>
        <v>488.18766312797038</v>
      </c>
      <c r="M55" s="37">
        <f t="shared" si="50"/>
        <v>12.20469157819926</v>
      </c>
      <c r="N55" s="39">
        <f t="shared" si="51"/>
        <v>0.28425918624155844</v>
      </c>
    </row>
    <row r="56" spans="1:14" ht="15" customHeight="1" x14ac:dyDescent="0.2">
      <c r="A56" s="56" t="str">
        <f t="shared" si="42"/>
        <v>Elta Systems</v>
      </c>
      <c r="B56" s="57">
        <f t="shared" si="43"/>
        <v>30</v>
      </c>
      <c r="C56" s="61">
        <f>B56*(1+S15)^10*'Weapons Sleeve'!$B$8</f>
        <v>123.39960603727532</v>
      </c>
      <c r="D56" s="36">
        <f t="shared" si="44"/>
        <v>4.1133202012425105</v>
      </c>
      <c r="E56" s="15">
        <f t="shared" si="45"/>
        <v>0.15191186552200842</v>
      </c>
      <c r="F56" s="61">
        <f>B56*(1+T15)^10*'Weapons Sleeve'!$B$8</f>
        <v>299.6300345996637</v>
      </c>
      <c r="G56" s="36">
        <f t="shared" si="46"/>
        <v>9.9876678199887898</v>
      </c>
      <c r="H56" s="15">
        <f t="shared" si="47"/>
        <v>0.25877007262149698</v>
      </c>
      <c r="I56" s="61">
        <f>B56*(1+U15)^10*'Weapons Sleeve'!$B$8</f>
        <v>44.893170169304753</v>
      </c>
      <c r="J56" s="36">
        <f t="shared" si="48"/>
        <v>1.4964390056434917</v>
      </c>
      <c r="K56" s="15">
        <f t="shared" si="49"/>
        <v>4.1132256327125916E-2</v>
      </c>
      <c r="L56" s="62">
        <f>B56*(1+V15)^10*'Weapons Sleeve'!$B$8</f>
        <v>333.95044902468146</v>
      </c>
      <c r="M56" s="37">
        <f t="shared" si="50"/>
        <v>11.131681634156049</v>
      </c>
      <c r="N56" s="39">
        <f t="shared" si="51"/>
        <v>0.27249497995537619</v>
      </c>
    </row>
    <row r="57" spans="1:14" ht="15" customHeight="1" x14ac:dyDescent="0.2">
      <c r="A57" s="56" t="str">
        <f t="shared" si="42"/>
        <v>Heckler &amp; Koch</v>
      </c>
      <c r="B57" s="57">
        <f t="shared" si="43"/>
        <v>35</v>
      </c>
      <c r="C57" s="61">
        <f>B57*(1+S16)^10*'Weapons Sleeve'!$B$8</f>
        <v>101.82173946956028</v>
      </c>
      <c r="D57" s="36">
        <f t="shared" si="44"/>
        <v>2.9091925562731511</v>
      </c>
      <c r="E57" s="15">
        <f t="shared" si="45"/>
        <v>0.11269784456806775</v>
      </c>
      <c r="F57" s="61">
        <f>B57*(1+T16)^10*'Weapons Sleeve'!$B$8</f>
        <v>216.61876467583792</v>
      </c>
      <c r="G57" s="36">
        <f t="shared" si="46"/>
        <v>6.1891075621667975</v>
      </c>
      <c r="H57" s="15">
        <f t="shared" si="47"/>
        <v>0.19994904119058576</v>
      </c>
      <c r="I57" s="61">
        <f>B57*(1+U16)^10*'Weapons Sleeve'!$B$8</f>
        <v>47.647409617261673</v>
      </c>
      <c r="J57" s="36">
        <f t="shared" si="48"/>
        <v>1.3613545604931907</v>
      </c>
      <c r="K57" s="15">
        <f t="shared" si="49"/>
        <v>3.132875108864086E-2</v>
      </c>
      <c r="L57" s="62">
        <f>B57*(1+V16)^10*'Weapons Sleeve'!$B$8</f>
        <v>242.71037629167463</v>
      </c>
      <c r="M57" s="37">
        <f t="shared" si="50"/>
        <v>6.9345821797621321</v>
      </c>
      <c r="N57" s="39">
        <f t="shared" si="51"/>
        <v>0.21367394852446497</v>
      </c>
    </row>
    <row r="58" spans="1:14" ht="15" customHeight="1" x14ac:dyDescent="0.2">
      <c r="A58" s="56" t="str">
        <f t="shared" si="42"/>
        <v>Helicon Chemical</v>
      </c>
      <c r="B58" s="57">
        <f t="shared" si="43"/>
        <v>40</v>
      </c>
      <c r="C58" s="61">
        <f>B58*(1+S17)^10*'Weapons Sleeve'!$B$8</f>
        <v>452.1758532647201</v>
      </c>
      <c r="D58" s="36">
        <f t="shared" si="44"/>
        <v>11.304396331618003</v>
      </c>
      <c r="E58" s="15">
        <f t="shared" si="45"/>
        <v>0.27445568100307316</v>
      </c>
      <c r="F58" s="61">
        <f>B58*(1+T17)^10*'Weapons Sleeve'!$B$8</f>
        <v>1566.5777129609255</v>
      </c>
      <c r="G58" s="36">
        <f t="shared" si="46"/>
        <v>39.164442824023141</v>
      </c>
      <c r="H58" s="15">
        <f t="shared" si="47"/>
        <v>0.44307597110501828</v>
      </c>
      <c r="I58" s="61">
        <f>B58*(1+U17)^10*'Weapons Sleeve'!$B$8</f>
        <v>46.716618306547822</v>
      </c>
      <c r="J58" s="36">
        <f t="shared" si="48"/>
        <v>1.1679154576636956</v>
      </c>
      <c r="K58" s="15">
        <f t="shared" si="49"/>
        <v>1.5643142707064461E-2</v>
      </c>
      <c r="L58" s="62">
        <f>B58*(1+V17)^10*'Weapons Sleeve'!$B$8</f>
        <v>1699.0761868560603</v>
      </c>
      <c r="M58" s="37">
        <f t="shared" si="50"/>
        <v>42.476904671401506</v>
      </c>
      <c r="N58" s="39">
        <f t="shared" si="51"/>
        <v>0.45484017739120031</v>
      </c>
    </row>
    <row r="59" spans="1:14" ht="15" customHeight="1" x14ac:dyDescent="0.2">
      <c r="A59" s="56" t="str">
        <f t="shared" si="42"/>
        <v>The Ellwood Group</v>
      </c>
      <c r="B59" s="57">
        <f t="shared" si="43"/>
        <v>50</v>
      </c>
      <c r="C59" s="61">
        <f>B59*(1+S18)^10*'Weapons Sleeve'!$B$8</f>
        <v>169.50916998963478</v>
      </c>
      <c r="D59" s="36">
        <f t="shared" si="44"/>
        <v>3.3901833997926958</v>
      </c>
      <c r="E59" s="15">
        <f t="shared" si="45"/>
        <v>0.12985397873541693</v>
      </c>
      <c r="F59" s="61">
        <f>B59*(1+T18)^10*'Weapons Sleeve'!$B$8</f>
        <v>400.57168816791949</v>
      </c>
      <c r="G59" s="36">
        <f t="shared" si="46"/>
        <v>8.0114337633583901</v>
      </c>
      <c r="H59" s="15">
        <f t="shared" si="47"/>
        <v>0.23132025795373834</v>
      </c>
      <c r="I59" s="61">
        <f>B59*(1+U18)^10*'Weapons Sleeve'!$B$8</f>
        <v>72.051086422751268</v>
      </c>
      <c r="J59" s="36">
        <f t="shared" si="48"/>
        <v>1.4410217284550253</v>
      </c>
      <c r="K59" s="15">
        <f t="shared" si="49"/>
        <v>3.721085423173176E-2</v>
      </c>
      <c r="L59" s="62">
        <f>B59*(1+V18)^10*'Weapons Sleeve'!$B$8</f>
        <v>403.77240400192409</v>
      </c>
      <c r="M59" s="37">
        <f t="shared" si="50"/>
        <v>8.0754480800384822</v>
      </c>
      <c r="N59" s="39">
        <f t="shared" si="51"/>
        <v>0.23230060847758693</v>
      </c>
    </row>
    <row r="60" spans="1:14" ht="15" customHeight="1" x14ac:dyDescent="0.2">
      <c r="A60" s="56" t="str">
        <f t="shared" si="42"/>
        <v>Superior &amp; Grand Valley</v>
      </c>
      <c r="B60" s="57">
        <f t="shared" si="43"/>
        <v>40</v>
      </c>
      <c r="C60" s="61">
        <f>B60*(1+S19)^10*'Weapons Sleeve'!$B$8</f>
        <v>135.60733599170783</v>
      </c>
      <c r="D60" s="36">
        <f t="shared" si="44"/>
        <v>3.3901833997926958</v>
      </c>
      <c r="E60" s="15">
        <f t="shared" si="45"/>
        <v>0.12985397873541693</v>
      </c>
      <c r="F60" s="61">
        <f>B60*(1+T19)^10*'Weapons Sleeve'!$B$8</f>
        <v>295.83821058874065</v>
      </c>
      <c r="G60" s="36">
        <f t="shared" si="46"/>
        <v>7.3959552647185163</v>
      </c>
      <c r="H60" s="15">
        <f t="shared" si="47"/>
        <v>0.22151675271525328</v>
      </c>
      <c r="I60" s="61">
        <f>B60*(1+U19)^10*'Weapons Sleeve'!$B$8</f>
        <v>52.418751186132454</v>
      </c>
      <c r="J60" s="36">
        <f t="shared" si="48"/>
        <v>1.3104687796533114</v>
      </c>
      <c r="K60" s="15">
        <f t="shared" si="49"/>
        <v>2.7407348993246705E-2</v>
      </c>
      <c r="L60" s="62">
        <f>B60*(1+V19)^10*'Weapons Sleeve'!$B$8</f>
        <v>298.2211073544475</v>
      </c>
      <c r="M60" s="37">
        <f t="shared" si="50"/>
        <v>7.4555276838611872</v>
      </c>
      <c r="N60" s="39">
        <f t="shared" si="51"/>
        <v>0.22249710323910166</v>
      </c>
    </row>
    <row r="61" spans="1:14" ht="15" customHeight="1" x14ac:dyDescent="0.2">
      <c r="A61" s="56" t="str">
        <f t="shared" si="42"/>
        <v>Applied Research Assoc.</v>
      </c>
      <c r="B61" s="57">
        <f t="shared" si="43"/>
        <v>40</v>
      </c>
      <c r="C61" s="61">
        <f>B61*(1+S20)^10*'Weapons Sleeve'!$B$8</f>
        <v>135.60733599170783</v>
      </c>
      <c r="D61" s="36">
        <f t="shared" si="44"/>
        <v>3.3901833997926958</v>
      </c>
      <c r="E61" s="15">
        <f t="shared" si="45"/>
        <v>0.12985397873541693</v>
      </c>
      <c r="F61" s="61">
        <f>B61*(1+T20)^10*'Weapons Sleeve'!$B$8</f>
        <v>281.89715661293121</v>
      </c>
      <c r="G61" s="36">
        <f t="shared" si="46"/>
        <v>7.0474289153232803</v>
      </c>
      <c r="H61" s="15">
        <f t="shared" si="47"/>
        <v>0.21563464957216216</v>
      </c>
      <c r="I61" s="61">
        <f>B61*(1+U20)^10*'Weapons Sleeve'!$B$8</f>
        <v>64.522564519097742</v>
      </c>
      <c r="J61" s="36">
        <f t="shared" si="48"/>
        <v>1.6130641129774435</v>
      </c>
      <c r="K61" s="15">
        <f t="shared" si="49"/>
        <v>4.8975060517914004E-2</v>
      </c>
      <c r="L61" s="62">
        <f>B61*(1+V20)^10*'Weapons Sleeve'!$B$8</f>
        <v>317.91506033223328</v>
      </c>
      <c r="M61" s="37">
        <f t="shared" si="50"/>
        <v>7.947876508305832</v>
      </c>
      <c r="N61" s="39">
        <f t="shared" si="51"/>
        <v>0.23033990742988975</v>
      </c>
    </row>
    <row r="62" spans="1:14" ht="15" customHeight="1" x14ac:dyDescent="0.2">
      <c r="A62" s="53" t="s">
        <v>389</v>
      </c>
      <c r="B62" s="63">
        <f>SUM(B53:B61)</f>
        <v>390</v>
      </c>
      <c r="C62" s="63">
        <f>SUM(C53:C61)</f>
        <v>2309.5430450299345</v>
      </c>
      <c r="D62" s="64">
        <f t="shared" ref="D62" si="52">C62/B62</f>
        <v>5.9219052436664992</v>
      </c>
      <c r="E62" s="65">
        <f t="shared" ref="E62" si="53">(C62/B62)^(1/10)-1</f>
        <v>0.19466501377167633</v>
      </c>
      <c r="F62" s="63">
        <f>SUM(F53:F61)</f>
        <v>6599.4885177830729</v>
      </c>
      <c r="G62" s="64">
        <f t="shared" ref="G62" si="54">F62/B62</f>
        <v>16.921765430213007</v>
      </c>
      <c r="H62" s="65">
        <f t="shared" ref="H62" si="55">(F62/B62)^(1/10)-1</f>
        <v>0.3269194714688306</v>
      </c>
      <c r="I62" s="63">
        <f>SUM(I53:I61)</f>
        <v>496.51968643146927</v>
      </c>
      <c r="J62" s="64">
        <f t="shared" ref="J62" si="56">I62/B62</f>
        <v>1.2731274011063314</v>
      </c>
      <c r="K62" s="65">
        <f t="shared" ref="K62" si="57">(I62/B62)^(1/10)-1</f>
        <v>2.444155466167075E-2</v>
      </c>
      <c r="L62" s="66">
        <f>SUM(L53:L61)</f>
        <v>6598.6002990156503</v>
      </c>
      <c r="M62" s="67">
        <f t="shared" ref="M62" si="58">L62/B62</f>
        <v>16.919487946193975</v>
      </c>
      <c r="N62" s="68">
        <f t="shared" ref="N62" si="59">(L62/B62)^(1/10)-1</f>
        <v>0.32690161150647157</v>
      </c>
    </row>
  </sheetData>
  <printOptions horizontalCentered="1"/>
  <pageMargins left="0.4" right="0.4" top="1" bottom="1" header="0.511811023622047" footer="0.511811023622047"/>
  <pageSetup paperSize="9" scale="45" fitToHeight="0" orientation="landscape" horizontalDpi="300" verticalDpi="300"/>
  <headerFooter>
    <oddFooter>&amp;LLeviathan Core PE Holdco — Internal / Confidential&amp;R&amp;A  |  Page &amp;P of 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E5E3A"/>
    <pageSetUpPr fitToPage="1"/>
  </sheetPr>
  <dimension ref="A1:N66"/>
  <sheetViews>
    <sheetView showGridLines="0" zoomScale="90" zoomScaleNormal="100" workbookViewId="0">
      <pane xSplit="1" ySplit="3" topLeftCell="B13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4" width="10" customWidth="1"/>
    <col min="5" max="5" width="24" customWidth="1"/>
    <col min="6" max="6" width="9" customWidth="1"/>
    <col min="7" max="9" width="10" customWidth="1"/>
    <col min="10" max="10" width="26" customWidth="1"/>
    <col min="11" max="11" width="10" customWidth="1"/>
    <col min="12" max="14" width="11" customWidth="1"/>
  </cols>
  <sheetData>
    <row r="1" spans="1:14" ht="18" customHeight="1" x14ac:dyDescent="0.2">
      <c r="A1" s="9" t="s">
        <v>425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 x14ac:dyDescent="0.2">
      <c r="A2" s="10" t="s">
        <v>426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">
      <c r="A4" s="11" t="s">
        <v>393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">
      <c r="A5" s="25" t="s">
        <v>394</v>
      </c>
      <c r="B5" s="45">
        <f>'Holdco Summary'!$B$8</f>
        <v>200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 x14ac:dyDescent="0.2">
      <c r="A6" s="25" t="s">
        <v>395</v>
      </c>
      <c r="B6" s="27">
        <v>0.9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 x14ac:dyDescent="0.2">
      <c r="A7" s="25" t="s">
        <v>396</v>
      </c>
      <c r="B7" s="27">
        <v>0.84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">
      <c r="A8" s="25" t="s">
        <v>397</v>
      </c>
      <c r="B8" s="27">
        <v>0.75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 x14ac:dyDescent="0.2">
      <c r="A10" s="11" t="s">
        <v>398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7.75" customHeight="1" x14ac:dyDescent="0.2">
      <c r="A11" s="12" t="s">
        <v>236</v>
      </c>
      <c r="B11" s="12" t="s">
        <v>237</v>
      </c>
      <c r="C11" s="12" t="s">
        <v>238</v>
      </c>
      <c r="D11" s="12" t="s">
        <v>239</v>
      </c>
      <c r="E11" s="12" t="s">
        <v>427</v>
      </c>
      <c r="F11" s="12" t="s">
        <v>11</v>
      </c>
      <c r="G11" s="12" t="s">
        <v>12</v>
      </c>
      <c r="H11" s="12" t="s">
        <v>13</v>
      </c>
      <c r="I11" s="21" t="s">
        <v>400</v>
      </c>
      <c r="J11" s="12" t="s">
        <v>244</v>
      </c>
      <c r="K11" s="1"/>
      <c r="L11" s="1"/>
      <c r="M11" s="1"/>
      <c r="N11" s="1"/>
    </row>
    <row r="12" spans="1:14" ht="48" customHeight="1" x14ac:dyDescent="0.2">
      <c r="A12" s="13" t="s">
        <v>428</v>
      </c>
      <c r="B12" s="46">
        <v>10100</v>
      </c>
      <c r="C12" s="46">
        <v>35</v>
      </c>
      <c r="D12" s="15">
        <f t="shared" ref="D12:D20" si="0">C12/B12</f>
        <v>3.4653465346534654E-3</v>
      </c>
      <c r="E12" s="16" t="s">
        <v>429</v>
      </c>
      <c r="F12" s="47">
        <v>0.28000000000000003</v>
      </c>
      <c r="G12" s="47">
        <v>0.45</v>
      </c>
      <c r="H12" s="47">
        <v>0.02</v>
      </c>
      <c r="I12" s="77">
        <v>-0.18</v>
      </c>
      <c r="J12" s="42" t="s">
        <v>430</v>
      </c>
      <c r="K12" s="1"/>
      <c r="L12" s="1"/>
      <c r="M12" s="1"/>
      <c r="N12" s="1"/>
    </row>
    <row r="13" spans="1:14" ht="48" customHeight="1" x14ac:dyDescent="0.2">
      <c r="A13" s="13" t="s">
        <v>431</v>
      </c>
      <c r="B13" s="46">
        <v>10100</v>
      </c>
      <c r="C13" s="46">
        <v>31.5</v>
      </c>
      <c r="D13" s="15">
        <f t="shared" si="0"/>
        <v>3.118811881188119E-3</v>
      </c>
      <c r="E13" s="16" t="s">
        <v>432</v>
      </c>
      <c r="F13" s="47">
        <v>0.27</v>
      </c>
      <c r="G13" s="47">
        <v>0.42</v>
      </c>
      <c r="H13" s="47">
        <v>-0.03</v>
      </c>
      <c r="I13" s="77">
        <v>-0.16</v>
      </c>
      <c r="J13" s="42" t="s">
        <v>433</v>
      </c>
      <c r="K13" s="1"/>
      <c r="L13" s="1"/>
      <c r="M13" s="1"/>
      <c r="N13" s="1"/>
    </row>
    <row r="14" spans="1:14" ht="71.25" customHeight="1" x14ac:dyDescent="0.2">
      <c r="A14" s="13" t="s">
        <v>434</v>
      </c>
      <c r="B14" s="46">
        <v>3760</v>
      </c>
      <c r="C14" s="46">
        <v>24.5</v>
      </c>
      <c r="D14" s="15">
        <f t="shared" si="0"/>
        <v>6.5159574468085105E-3</v>
      </c>
      <c r="E14" s="16" t="s">
        <v>435</v>
      </c>
      <c r="F14" s="47">
        <v>0.22</v>
      </c>
      <c r="G14" s="47">
        <v>0.34</v>
      </c>
      <c r="H14" s="47">
        <v>0.1</v>
      </c>
      <c r="I14" s="77">
        <v>-0.05</v>
      </c>
      <c r="J14" s="42" t="s">
        <v>436</v>
      </c>
      <c r="K14" s="1"/>
      <c r="L14" s="1"/>
      <c r="M14" s="1"/>
      <c r="N14" s="1"/>
    </row>
    <row r="15" spans="1:14" ht="60" customHeight="1" x14ac:dyDescent="0.2">
      <c r="A15" s="13" t="s">
        <v>437</v>
      </c>
      <c r="B15" s="46">
        <v>280</v>
      </c>
      <c r="C15" s="46">
        <v>17.5</v>
      </c>
      <c r="D15" s="15">
        <f t="shared" si="0"/>
        <v>6.25E-2</v>
      </c>
      <c r="E15" s="16" t="s">
        <v>438</v>
      </c>
      <c r="F15" s="47">
        <v>0.14000000000000001</v>
      </c>
      <c r="G15" s="47">
        <v>0.26</v>
      </c>
      <c r="H15" s="47">
        <v>-0.1</v>
      </c>
      <c r="I15" s="77">
        <v>-0.14000000000000001</v>
      </c>
      <c r="J15" s="42" t="s">
        <v>439</v>
      </c>
      <c r="K15" s="1"/>
      <c r="L15" s="1"/>
      <c r="M15" s="1"/>
      <c r="N15" s="1"/>
    </row>
    <row r="16" spans="1:14" ht="82.5" customHeight="1" x14ac:dyDescent="0.2">
      <c r="A16" s="13" t="s">
        <v>440</v>
      </c>
      <c r="B16" s="46">
        <v>945</v>
      </c>
      <c r="C16" s="46">
        <v>14</v>
      </c>
      <c r="D16" s="15">
        <f t="shared" si="0"/>
        <v>1.4814814814814815E-2</v>
      </c>
      <c r="E16" s="16" t="s">
        <v>441</v>
      </c>
      <c r="F16" s="47">
        <v>7.0000000000000007E-2</v>
      </c>
      <c r="G16" s="47">
        <v>0.16</v>
      </c>
      <c r="H16" s="47">
        <v>-0.05</v>
      </c>
      <c r="I16" s="77">
        <v>-0.08</v>
      </c>
      <c r="J16" s="42" t="s">
        <v>442</v>
      </c>
      <c r="K16" s="1"/>
      <c r="L16" s="1"/>
      <c r="M16" s="1"/>
      <c r="N16" s="1"/>
    </row>
    <row r="17" spans="1:14" ht="93.75" customHeight="1" x14ac:dyDescent="0.2">
      <c r="A17" s="13" t="s">
        <v>443</v>
      </c>
      <c r="B17" s="46">
        <v>110</v>
      </c>
      <c r="C17" s="46">
        <v>7</v>
      </c>
      <c r="D17" s="15">
        <f t="shared" si="0"/>
        <v>6.363636363636363E-2</v>
      </c>
      <c r="E17" s="16" t="s">
        <v>444</v>
      </c>
      <c r="F17" s="47">
        <v>0.2</v>
      </c>
      <c r="G17" s="47">
        <v>0.5</v>
      </c>
      <c r="H17" s="47">
        <v>-0.22</v>
      </c>
      <c r="I17" s="77">
        <v>-0.28000000000000003</v>
      </c>
      <c r="J17" s="42" t="s">
        <v>445</v>
      </c>
      <c r="K17" s="1"/>
      <c r="L17" s="1"/>
      <c r="M17" s="1"/>
      <c r="N17" s="1"/>
    </row>
    <row r="18" spans="1:14" ht="60" customHeight="1" x14ac:dyDescent="0.2">
      <c r="A18" s="13" t="s">
        <v>446</v>
      </c>
      <c r="B18" s="46">
        <v>18000</v>
      </c>
      <c r="C18" s="46">
        <v>10.5</v>
      </c>
      <c r="D18" s="15">
        <f t="shared" si="0"/>
        <v>5.8333333333333338E-4</v>
      </c>
      <c r="E18" s="16" t="s">
        <v>447</v>
      </c>
      <c r="F18" s="47">
        <v>0.25</v>
      </c>
      <c r="G18" s="47">
        <v>0.4</v>
      </c>
      <c r="H18" s="47">
        <v>-0.05</v>
      </c>
      <c r="I18" s="77">
        <v>-0.12</v>
      </c>
      <c r="J18" s="42" t="s">
        <v>448</v>
      </c>
      <c r="K18" s="1"/>
      <c r="L18" s="1"/>
      <c r="M18" s="1"/>
      <c r="N18" s="1"/>
    </row>
    <row r="19" spans="1:14" ht="60" customHeight="1" x14ac:dyDescent="0.2">
      <c r="A19" s="13" t="s">
        <v>449</v>
      </c>
      <c r="B19" s="46">
        <v>3730</v>
      </c>
      <c r="C19" s="46">
        <v>15</v>
      </c>
      <c r="D19" s="15">
        <f t="shared" si="0"/>
        <v>4.0214477211796247E-3</v>
      </c>
      <c r="E19" s="16" t="s">
        <v>450</v>
      </c>
      <c r="F19" s="47">
        <v>0.15</v>
      </c>
      <c r="G19" s="47">
        <v>0.28000000000000003</v>
      </c>
      <c r="H19" s="47">
        <v>-0.12</v>
      </c>
      <c r="I19" s="77">
        <v>-0.16</v>
      </c>
      <c r="J19" s="42" t="s">
        <v>451</v>
      </c>
      <c r="K19" s="1"/>
      <c r="L19" s="1"/>
      <c r="M19" s="1"/>
      <c r="N19" s="1"/>
    </row>
    <row r="20" spans="1:14" ht="60" customHeight="1" x14ac:dyDescent="0.2">
      <c r="A20" s="13" t="s">
        <v>452</v>
      </c>
      <c r="B20" s="46">
        <v>159000</v>
      </c>
      <c r="C20" s="46">
        <v>45</v>
      </c>
      <c r="D20" s="15">
        <f t="shared" si="0"/>
        <v>2.8301886792452831E-4</v>
      </c>
      <c r="E20" s="16" t="s">
        <v>453</v>
      </c>
      <c r="F20" s="47">
        <v>0.18</v>
      </c>
      <c r="G20" s="47">
        <v>0.35</v>
      </c>
      <c r="H20" s="47">
        <v>-0.05</v>
      </c>
      <c r="I20" s="77">
        <v>-0.08</v>
      </c>
      <c r="J20" s="42" t="s">
        <v>454</v>
      </c>
      <c r="K20" s="1"/>
      <c r="L20" s="1"/>
      <c r="M20" s="1"/>
      <c r="N20" s="1"/>
    </row>
    <row r="21" spans="1:14" ht="15" customHeight="1" x14ac:dyDescent="0.2">
      <c r="A21" s="18" t="s">
        <v>455</v>
      </c>
      <c r="B21" s="1"/>
      <c r="C21" s="19">
        <f>SUM(C12:C20)</f>
        <v>200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7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" customHeight="1" x14ac:dyDescent="0.2">
      <c r="A23" s="28" t="s">
        <v>422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" customHeight="1" x14ac:dyDescent="0.2">
      <c r="A24" s="12" t="s">
        <v>236</v>
      </c>
      <c r="B24" s="12" t="s">
        <v>238</v>
      </c>
      <c r="C24" s="12" t="s">
        <v>346</v>
      </c>
      <c r="D24" s="12" t="s">
        <v>347</v>
      </c>
      <c r="E24" s="12" t="s">
        <v>348</v>
      </c>
      <c r="F24" s="12" t="s">
        <v>349</v>
      </c>
      <c r="G24" s="12" t="s">
        <v>350</v>
      </c>
      <c r="H24" s="12" t="s">
        <v>351</v>
      </c>
      <c r="I24" s="12" t="s">
        <v>352</v>
      </c>
      <c r="J24" s="12" t="s">
        <v>353</v>
      </c>
      <c r="K24" s="12" t="s">
        <v>354</v>
      </c>
      <c r="L24" s="21" t="s">
        <v>355</v>
      </c>
      <c r="M24" s="21" t="s">
        <v>356</v>
      </c>
      <c r="N24" s="21" t="s">
        <v>357</v>
      </c>
    </row>
    <row r="25" spans="1:14" ht="15" customHeight="1" x14ac:dyDescent="0.2">
      <c r="A25" s="78" t="str">
        <f t="shared" ref="A25:A33" si="1">A12</f>
        <v>Quince</v>
      </c>
      <c r="B25" s="79">
        <f t="shared" ref="B25:B33" si="2">C12</f>
        <v>35</v>
      </c>
      <c r="C25" s="79">
        <f>B25*(1+F12)^5*'Consumer Sleeve'!$B$6</f>
        <v>108.23317585920002</v>
      </c>
      <c r="D25" s="80">
        <f t="shared" ref="D25:D34" si="3">C25/B25</f>
        <v>3.0923764531200004</v>
      </c>
      <c r="E25" s="81">
        <f t="shared" ref="E25:E34" si="4">(C25/B25)^(1/5)-1</f>
        <v>0.25330990382205032</v>
      </c>
      <c r="F25" s="79">
        <f>B25*(1+G12)^5*'Consumer Sleeve'!$B$6</f>
        <v>201.90662296874999</v>
      </c>
      <c r="G25" s="80">
        <f t="shared" ref="G25:G34" si="5">F25/B25</f>
        <v>5.7687606562499996</v>
      </c>
      <c r="H25" s="81">
        <f t="shared" ref="H25:H34" si="6">(F25/B25)^(1/5)-1</f>
        <v>0.41976512542341649</v>
      </c>
      <c r="I25" s="79">
        <f>B25*(1+H12)^5*'Consumer Sleeve'!$B$6</f>
        <v>34.778545300800005</v>
      </c>
      <c r="J25" s="80">
        <f t="shared" ref="J25:J34" si="7">I25/B25</f>
        <v>0.99367272288000008</v>
      </c>
      <c r="K25" s="81">
        <f t="shared" ref="K25:K34" si="8">(I25/B25)^(1/5)-1</f>
        <v>-1.2686703918036724E-3</v>
      </c>
      <c r="L25" s="82">
        <f>B25*(1+I12)^5*'Consumer Sleeve'!$B$6</f>
        <v>11.678305060800005</v>
      </c>
      <c r="M25" s="83">
        <f t="shared" ref="M25:M34" si="9">L25/B25</f>
        <v>0.33366585888000017</v>
      </c>
      <c r="N25" s="84">
        <f t="shared" ref="N25:N34" si="10">(L25/B25)^(1/5)-1</f>
        <v>-0.19709834286399897</v>
      </c>
    </row>
    <row r="26" spans="1:14" ht="15" customHeight="1" x14ac:dyDescent="0.2">
      <c r="A26" s="78" t="str">
        <f t="shared" si="1"/>
        <v>Whoop</v>
      </c>
      <c r="B26" s="79">
        <f t="shared" si="2"/>
        <v>31.5</v>
      </c>
      <c r="C26" s="79">
        <f>B26*(1+F13)^5*'Consumer Sleeve'!$B$6</f>
        <v>93.663777268844996</v>
      </c>
      <c r="D26" s="80">
        <f t="shared" si="3"/>
        <v>2.9734532466299997</v>
      </c>
      <c r="E26" s="81">
        <f t="shared" si="4"/>
        <v>0.24351842019844061</v>
      </c>
      <c r="F26" s="79">
        <f>B26*(1+G13)^5*'Consumer Sleeve'!$B$6</f>
        <v>163.67968672271996</v>
      </c>
      <c r="G26" s="80">
        <f t="shared" si="5"/>
        <v>5.1961805308799986</v>
      </c>
      <c r="H26" s="81">
        <f t="shared" si="6"/>
        <v>0.39039067455258691</v>
      </c>
      <c r="I26" s="79">
        <f>B26*(1+H13)^5*'Consumer Sleeve'!$B$6</f>
        <v>24.345109628594997</v>
      </c>
      <c r="J26" s="80">
        <f t="shared" si="7"/>
        <v>0.77286062312999992</v>
      </c>
      <c r="K26" s="81">
        <f t="shared" si="8"/>
        <v>-5.0226088509852551E-2</v>
      </c>
      <c r="L26" s="82">
        <f>B26*(1+I13)^5*'Consumer Sleeve'!$B$6</f>
        <v>11.856308567039997</v>
      </c>
      <c r="M26" s="83">
        <f t="shared" si="9"/>
        <v>0.3763907481599999</v>
      </c>
      <c r="N26" s="84">
        <f t="shared" si="10"/>
        <v>-0.17751537561677955</v>
      </c>
    </row>
    <row r="27" spans="1:14" ht="15" customHeight="1" x14ac:dyDescent="0.2">
      <c r="A27" s="78" t="str">
        <f t="shared" si="1"/>
        <v>The Farmer's Dog</v>
      </c>
      <c r="B27" s="79">
        <f t="shared" si="2"/>
        <v>24.5</v>
      </c>
      <c r="C27" s="79">
        <f>B27*(1+F14)^5*'Consumer Sleeve'!$B$6</f>
        <v>59.594714998559994</v>
      </c>
      <c r="D27" s="80">
        <f t="shared" si="3"/>
        <v>2.4324373468799996</v>
      </c>
      <c r="E27" s="81">
        <f t="shared" si="4"/>
        <v>0.19456100208039162</v>
      </c>
      <c r="F27" s="79">
        <f>B27*(1+G14)^5*'Consumer Sleeve'!$B$6</f>
        <v>95.264827549920042</v>
      </c>
      <c r="G27" s="80">
        <f t="shared" si="5"/>
        <v>3.8883603081600016</v>
      </c>
      <c r="H27" s="81">
        <f t="shared" si="6"/>
        <v>0.31205880556370902</v>
      </c>
      <c r="I27" s="79">
        <f>B27*(1+H14)^5*'Consumer Sleeve'!$B$6</f>
        <v>35.511745500000018</v>
      </c>
      <c r="J27" s="80">
        <f t="shared" si="7"/>
        <v>1.4494590000000007</v>
      </c>
      <c r="K27" s="81">
        <f t="shared" si="8"/>
        <v>7.7063198597074667E-2</v>
      </c>
      <c r="L27" s="82">
        <f>B27*(1+I14)^5*'Consumer Sleeve'!$B$6</f>
        <v>17.061869671875002</v>
      </c>
      <c r="M27" s="83">
        <f t="shared" si="9"/>
        <v>0.69640284375000006</v>
      </c>
      <c r="N27" s="84">
        <f t="shared" si="10"/>
        <v>-6.980905575707208E-2</v>
      </c>
    </row>
    <row r="28" spans="1:14" ht="15" customHeight="1" x14ac:dyDescent="0.2">
      <c r="A28" s="78" t="str">
        <f t="shared" si="1"/>
        <v>Made In Cookware</v>
      </c>
      <c r="B28" s="79">
        <f t="shared" si="2"/>
        <v>17.5</v>
      </c>
      <c r="C28" s="79">
        <f>B28*(1+F15)^5*'Consumer Sleeve'!$B$6</f>
        <v>30.325279672800015</v>
      </c>
      <c r="D28" s="80">
        <f t="shared" si="3"/>
        <v>1.7328731241600008</v>
      </c>
      <c r="E28" s="81">
        <f t="shared" si="4"/>
        <v>0.11622913309151373</v>
      </c>
      <c r="F28" s="79">
        <f>B28*(1+G15)^5*'Consumer Sleeve'!$B$6</f>
        <v>50.01880176720001</v>
      </c>
      <c r="G28" s="80">
        <f t="shared" si="5"/>
        <v>2.8582172438400004</v>
      </c>
      <c r="H28" s="81">
        <f t="shared" si="6"/>
        <v>0.2337269365748309</v>
      </c>
      <c r="I28" s="79">
        <f>B28*(1+H15)^5*'Consumer Sleeve'!$B$6</f>
        <v>9.300217500000004</v>
      </c>
      <c r="J28" s="80">
        <f t="shared" si="7"/>
        <v>0.53144100000000027</v>
      </c>
      <c r="K28" s="81">
        <f t="shared" si="8"/>
        <v>-0.11876647387512085</v>
      </c>
      <c r="L28" s="82">
        <f>B28*(1+I15)^5*'Consumer Sleeve'!$B$6</f>
        <v>7.4092255271999976</v>
      </c>
      <c r="M28" s="83">
        <f t="shared" si="9"/>
        <v>0.42338431583999986</v>
      </c>
      <c r="N28" s="84">
        <f t="shared" si="10"/>
        <v>-0.15793240836956002</v>
      </c>
    </row>
    <row r="29" spans="1:14" ht="15" customHeight="1" x14ac:dyDescent="0.2">
      <c r="A29" s="78" t="str">
        <f t="shared" si="1"/>
        <v>Thrive Market</v>
      </c>
      <c r="B29" s="79">
        <f t="shared" si="2"/>
        <v>14</v>
      </c>
      <c r="C29" s="79">
        <f>B29*(1+F16)^5*'Consumer Sleeve'!$B$6</f>
        <v>17.672151806820001</v>
      </c>
      <c r="D29" s="80">
        <f t="shared" si="3"/>
        <v>1.26229655763</v>
      </c>
      <c r="E29" s="81">
        <f t="shared" si="4"/>
        <v>4.7688747726245095E-2</v>
      </c>
      <c r="F29" s="79">
        <f>B29*(1+G16)^5*'Consumer Sleeve'!$B$6</f>
        <v>26.464304885759994</v>
      </c>
      <c r="G29" s="80">
        <f t="shared" si="5"/>
        <v>1.8903074918399996</v>
      </c>
      <c r="H29" s="81">
        <f t="shared" si="6"/>
        <v>0.13581210033873292</v>
      </c>
      <c r="I29" s="79">
        <f>B29*(1+H16)^5*'Consumer Sleeve'!$B$6</f>
        <v>9.7496398124999999</v>
      </c>
      <c r="J29" s="80">
        <f t="shared" si="7"/>
        <v>0.69640284374999994</v>
      </c>
      <c r="K29" s="81">
        <f t="shared" si="8"/>
        <v>-6.980905575707208E-2</v>
      </c>
      <c r="L29" s="82">
        <f>B29*(1+I16)^5*'Consumer Sleeve'!$B$6</f>
        <v>8.3044271923200021</v>
      </c>
      <c r="M29" s="83">
        <f t="shared" si="9"/>
        <v>0.59317337088000011</v>
      </c>
      <c r="N29" s="84">
        <f t="shared" si="10"/>
        <v>-9.9183506627901319E-2</v>
      </c>
    </row>
    <row r="30" spans="1:14" ht="15" customHeight="1" x14ac:dyDescent="0.2">
      <c r="A30" s="78" t="str">
        <f t="shared" si="1"/>
        <v>Plunge</v>
      </c>
      <c r="B30" s="79">
        <f t="shared" si="2"/>
        <v>7</v>
      </c>
      <c r="C30" s="79">
        <f>B30*(1+F17)^5*'Consumer Sleeve'!$B$6</f>
        <v>15.676415999999998</v>
      </c>
      <c r="D30" s="80">
        <f t="shared" si="3"/>
        <v>2.2394879999999997</v>
      </c>
      <c r="E30" s="81">
        <f t="shared" si="4"/>
        <v>0.1749780348331722</v>
      </c>
      <c r="F30" s="79">
        <f>B30*(1+G17)^5*'Consumer Sleeve'!$B$6</f>
        <v>47.840625000000003</v>
      </c>
      <c r="G30" s="80">
        <f t="shared" si="5"/>
        <v>6.8343750000000005</v>
      </c>
      <c r="H30" s="81">
        <f t="shared" si="6"/>
        <v>0.46872254354146525</v>
      </c>
      <c r="I30" s="79">
        <f>B30*(1+H17)^5*'Consumer Sleeve'!$B$6</f>
        <v>1.8189198518400007</v>
      </c>
      <c r="J30" s="80">
        <f t="shared" si="7"/>
        <v>0.25984569312000011</v>
      </c>
      <c r="K30" s="81">
        <f t="shared" si="8"/>
        <v>-0.23626427735843802</v>
      </c>
      <c r="L30" s="82">
        <f>B30*(1+I17)^5*'Consumer Sleeve'!$B$6</f>
        <v>1.2189981081599999</v>
      </c>
      <c r="M30" s="83">
        <f t="shared" si="9"/>
        <v>0.17414258687999998</v>
      </c>
      <c r="N30" s="84">
        <f t="shared" si="10"/>
        <v>-0.29501317910009672</v>
      </c>
    </row>
    <row r="31" spans="1:14" ht="15" customHeight="1" x14ac:dyDescent="0.2">
      <c r="A31" s="78" t="str">
        <f t="shared" si="1"/>
        <v>Polymarket</v>
      </c>
      <c r="B31" s="79">
        <f t="shared" si="2"/>
        <v>10.5</v>
      </c>
      <c r="C31" s="79">
        <f>B31*(1+F18)^5*'Consumer Sleeve'!$B$6</f>
        <v>28.839111328125</v>
      </c>
      <c r="D31" s="80">
        <f t="shared" si="3"/>
        <v>2.74658203125</v>
      </c>
      <c r="E31" s="81">
        <f t="shared" si="4"/>
        <v>0.22393545295122097</v>
      </c>
      <c r="F31" s="79">
        <f>B31*(1+G18)^5*'Consumer Sleeve'!$B$6</f>
        <v>50.824367999999986</v>
      </c>
      <c r="G31" s="80">
        <f t="shared" si="5"/>
        <v>4.8404159999999985</v>
      </c>
      <c r="H31" s="81">
        <f t="shared" si="6"/>
        <v>0.3708077073053675</v>
      </c>
      <c r="I31" s="79">
        <f>B31*(1+H18)^5*'Consumer Sleeve'!$B$6</f>
        <v>7.3122298593749999</v>
      </c>
      <c r="J31" s="80">
        <f t="shared" si="7"/>
        <v>0.69640284374999994</v>
      </c>
      <c r="K31" s="81">
        <f t="shared" si="8"/>
        <v>-6.980905575707208E-2</v>
      </c>
      <c r="L31" s="82">
        <f>B31*(1+I18)^5*'Consumer Sleeve'!$B$6</f>
        <v>4.9870666137599997</v>
      </c>
      <c r="M31" s="83">
        <f t="shared" si="9"/>
        <v>0.47495872511999998</v>
      </c>
      <c r="N31" s="84">
        <f t="shared" si="10"/>
        <v>-0.13834944112234049</v>
      </c>
    </row>
    <row r="32" spans="1:14" ht="15" customHeight="1" x14ac:dyDescent="0.2">
      <c r="A32" s="78" t="str">
        <f t="shared" si="1"/>
        <v>Goat Group</v>
      </c>
      <c r="B32" s="79">
        <f t="shared" si="2"/>
        <v>15</v>
      </c>
      <c r="C32" s="79">
        <f>B32*(1+F19)^5*'Consumer Sleeve'!$B$6</f>
        <v>27.153322031249992</v>
      </c>
      <c r="D32" s="80">
        <f t="shared" si="3"/>
        <v>1.8102214687499996</v>
      </c>
      <c r="E32" s="81">
        <f t="shared" si="4"/>
        <v>0.12602061671512321</v>
      </c>
      <c r="F32" s="79">
        <f>B32*(1+G19)^5*'Consumer Sleeve'!$B$6</f>
        <v>46.385646796800003</v>
      </c>
      <c r="G32" s="80">
        <f t="shared" si="5"/>
        <v>3.0923764531200004</v>
      </c>
      <c r="H32" s="81">
        <f t="shared" si="6"/>
        <v>0.25330990382205032</v>
      </c>
      <c r="I32" s="79">
        <f>B32*(1+H19)^5*'Consumer Sleeve'!$B$6</f>
        <v>7.1243808768000001</v>
      </c>
      <c r="J32" s="80">
        <f t="shared" si="7"/>
        <v>0.47495872511999998</v>
      </c>
      <c r="K32" s="81">
        <f t="shared" si="8"/>
        <v>-0.13834944112234049</v>
      </c>
      <c r="L32" s="82">
        <f>B32*(1+I19)^5*'Consumer Sleeve'!$B$6</f>
        <v>5.645861222399998</v>
      </c>
      <c r="M32" s="83">
        <f t="shared" si="9"/>
        <v>0.37639074815999984</v>
      </c>
      <c r="N32" s="84">
        <f t="shared" si="10"/>
        <v>-0.17751537561677955</v>
      </c>
    </row>
    <row r="33" spans="1:14" ht="15" customHeight="1" x14ac:dyDescent="0.2">
      <c r="A33" s="78" t="str">
        <f t="shared" si="1"/>
        <v>Stripe</v>
      </c>
      <c r="B33" s="79">
        <f t="shared" si="2"/>
        <v>45</v>
      </c>
      <c r="C33" s="79">
        <f>B33*(1+F20)^5*'Consumer Sleeve'!$B$6</f>
        <v>92.654189150399972</v>
      </c>
      <c r="D33" s="80">
        <f t="shared" si="3"/>
        <v>2.0589819811199992</v>
      </c>
      <c r="E33" s="81">
        <f t="shared" si="4"/>
        <v>0.15539506758595256</v>
      </c>
      <c r="F33" s="79">
        <f>B33*(1+G20)^5*'Consumer Sleeve'!$B$6</f>
        <v>181.60335421875007</v>
      </c>
      <c r="G33" s="80">
        <f t="shared" si="5"/>
        <v>4.0356300937500018</v>
      </c>
      <c r="H33" s="81">
        <f t="shared" si="6"/>
        <v>0.32185028918731873</v>
      </c>
      <c r="I33" s="79">
        <f>B33*(1+H20)^5*'Consumer Sleeve'!$B$6</f>
        <v>31.338127968749998</v>
      </c>
      <c r="J33" s="80">
        <f t="shared" si="7"/>
        <v>0.69640284374999994</v>
      </c>
      <c r="K33" s="81">
        <f t="shared" si="8"/>
        <v>-6.980905575707208E-2</v>
      </c>
      <c r="L33" s="82">
        <f>B33*(1+I20)^5*'Consumer Sleeve'!$B$6</f>
        <v>26.692801689600003</v>
      </c>
      <c r="M33" s="83">
        <f t="shared" si="9"/>
        <v>0.59317337088000011</v>
      </c>
      <c r="N33" s="84">
        <f t="shared" si="10"/>
        <v>-9.9183506627901319E-2</v>
      </c>
    </row>
    <row r="34" spans="1:14" ht="27.75" customHeight="1" x14ac:dyDescent="0.2">
      <c r="A34" s="53" t="s">
        <v>389</v>
      </c>
      <c r="B34" s="63">
        <f>SUM(B25:B33)</f>
        <v>200</v>
      </c>
      <c r="C34" s="63">
        <f>SUM(C25:C33)</f>
        <v>473.81213811600009</v>
      </c>
      <c r="D34" s="64">
        <f t="shared" si="3"/>
        <v>2.3690606905800005</v>
      </c>
      <c r="E34" s="65">
        <f t="shared" si="4"/>
        <v>0.18827028620003428</v>
      </c>
      <c r="F34" s="63">
        <f>SUM(F25:F33)</f>
        <v>863.98823790990002</v>
      </c>
      <c r="G34" s="64">
        <f t="shared" si="5"/>
        <v>4.3199411895494997</v>
      </c>
      <c r="H34" s="65">
        <f t="shared" si="6"/>
        <v>0.33997151694622652</v>
      </c>
      <c r="I34" s="63">
        <f>SUM(I25:I33)</f>
        <v>161.27891629866002</v>
      </c>
      <c r="J34" s="64">
        <f t="shared" si="7"/>
        <v>0.80639458149330012</v>
      </c>
      <c r="K34" s="65">
        <f t="shared" si="8"/>
        <v>-4.2123496634719482E-2</v>
      </c>
      <c r="L34" s="66">
        <f>SUM(L25:L33)</f>
        <v>94.854863653155007</v>
      </c>
      <c r="M34" s="67">
        <f t="shared" si="9"/>
        <v>0.47427431826577504</v>
      </c>
      <c r="N34" s="68">
        <f t="shared" si="10"/>
        <v>-0.1385979089244701</v>
      </c>
    </row>
    <row r="35" spans="1:14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">
      <c r="A37" s="28" t="s">
        <v>423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">
      <c r="A38" s="12" t="s">
        <v>236</v>
      </c>
      <c r="B38" s="12" t="s">
        <v>238</v>
      </c>
      <c r="C38" s="12" t="s">
        <v>346</v>
      </c>
      <c r="D38" s="12" t="s">
        <v>347</v>
      </c>
      <c r="E38" s="12" t="s">
        <v>348</v>
      </c>
      <c r="F38" s="12" t="s">
        <v>349</v>
      </c>
      <c r="G38" s="12" t="s">
        <v>350</v>
      </c>
      <c r="H38" s="12" t="s">
        <v>351</v>
      </c>
      <c r="I38" s="12" t="s">
        <v>352</v>
      </c>
      <c r="J38" s="12" t="s">
        <v>353</v>
      </c>
      <c r="K38" s="12" t="s">
        <v>354</v>
      </c>
      <c r="L38" s="21" t="s">
        <v>355</v>
      </c>
      <c r="M38" s="21" t="s">
        <v>356</v>
      </c>
      <c r="N38" s="21" t="s">
        <v>357</v>
      </c>
    </row>
    <row r="39" spans="1:14" ht="15" customHeight="1" x14ac:dyDescent="0.2">
      <c r="A39" s="78" t="str">
        <f t="shared" ref="A39:A47" si="11">A12</f>
        <v>Quince</v>
      </c>
      <c r="B39" s="79">
        <f t="shared" ref="B39:B47" si="12">C12</f>
        <v>35</v>
      </c>
      <c r="C39" s="79">
        <f>B39*(1+F12)^7*'Consumer Sleeve'!$B$7</f>
        <v>165.50728630586576</v>
      </c>
      <c r="D39" s="80">
        <f t="shared" ref="D39:D48" si="13">C39/B39</f>
        <v>4.7287796087390221</v>
      </c>
      <c r="E39" s="81">
        <f t="shared" ref="E39:E48" si="14">(C39/B39)^(1/7)-1</f>
        <v>0.24851201120067157</v>
      </c>
      <c r="F39" s="79">
        <f>B39*(1+G12)^7*'Consumer Sleeve'!$B$7</f>
        <v>396.2080964723437</v>
      </c>
      <c r="G39" s="80">
        <f t="shared" ref="G39:G48" si="15">F39/B39</f>
        <v>11.320231327781249</v>
      </c>
      <c r="H39" s="81">
        <f t="shared" ref="H39:H48" si="16">(F39/B39)^(1/7)-1</f>
        <v>0.41433001268826075</v>
      </c>
      <c r="I39" s="79">
        <f>B39*(1+H12)^7*'Consumer Sleeve'!$B$7</f>
        <v>33.771358628888827</v>
      </c>
      <c r="J39" s="80">
        <f t="shared" ref="J39:J48" si="17">I39/B39</f>
        <v>0.96489596082539508</v>
      </c>
      <c r="K39" s="81">
        <f t="shared" ref="K39:K48" si="18">(I39/B39)^(1/7)-1</f>
        <v>-5.0919910744647856E-3</v>
      </c>
      <c r="L39" s="82">
        <f>B39*(1+I12)^7*'Consumer Sleeve'!$B$7</f>
        <v>7.3289928346897959</v>
      </c>
      <c r="M39" s="83">
        <f t="shared" ref="M39:M48" si="19">L39/B39</f>
        <v>0.20939979527685132</v>
      </c>
      <c r="N39" s="84">
        <f t="shared" ref="N39:N48" si="20">(L39/B39)^(1/7)-1</f>
        <v>-0.20017199282456966</v>
      </c>
    </row>
    <row r="40" spans="1:14" ht="15" customHeight="1" x14ac:dyDescent="0.2">
      <c r="A40" s="78" t="str">
        <f t="shared" si="11"/>
        <v>Whoop</v>
      </c>
      <c r="B40" s="79">
        <f t="shared" si="12"/>
        <v>31.5</v>
      </c>
      <c r="C40" s="79">
        <f>B40*(1+F13)^7*'Consumer Sleeve'!$B$7</f>
        <v>140.99895259979209</v>
      </c>
      <c r="D40" s="80">
        <f t="shared" si="13"/>
        <v>4.4761572253902253</v>
      </c>
      <c r="E40" s="81">
        <f t="shared" si="14"/>
        <v>0.23875801111316641</v>
      </c>
      <c r="F40" s="79">
        <f>B40*(1+G13)^7*'Consumer Sleeve'!$B$7</f>
        <v>308.04080562051303</v>
      </c>
      <c r="G40" s="80">
        <f t="shared" si="15"/>
        <v>9.7790731943020006</v>
      </c>
      <c r="H40" s="81">
        <f t="shared" si="16"/>
        <v>0.38506801242574507</v>
      </c>
      <c r="I40" s="79">
        <f>B40*(1+H13)^7*'Consumer Sleeve'!$B$7</f>
        <v>21.379226072908697</v>
      </c>
      <c r="J40" s="80">
        <f t="shared" si="17"/>
        <v>0.67870558961614913</v>
      </c>
      <c r="K40" s="81">
        <f t="shared" si="18"/>
        <v>-5.3861991511991114E-2</v>
      </c>
      <c r="L40" s="82">
        <f>B40*(1+I13)^7*'Consumer Sleeve'!$B$7</f>
        <v>7.8080905699098588</v>
      </c>
      <c r="M40" s="83">
        <f t="shared" si="19"/>
        <v>0.24787589110824948</v>
      </c>
      <c r="N40" s="84">
        <f t="shared" si="20"/>
        <v>-0.18066399264955935</v>
      </c>
    </row>
    <row r="41" spans="1:14" ht="15" customHeight="1" x14ac:dyDescent="0.2">
      <c r="A41" s="78" t="str">
        <f t="shared" si="11"/>
        <v>The Farmer's Dog</v>
      </c>
      <c r="B41" s="79">
        <f t="shared" si="12"/>
        <v>24.5</v>
      </c>
      <c r="C41" s="79">
        <f>B41*(1+F14)^7*'Consumer Sleeve'!$B$7</f>
        <v>82.787388883599576</v>
      </c>
      <c r="D41" s="80">
        <f t="shared" si="13"/>
        <v>3.3790770972897786</v>
      </c>
      <c r="E41" s="81">
        <f t="shared" si="14"/>
        <v>0.18998801067563997</v>
      </c>
      <c r="F41" s="79">
        <f>B41*(1+G14)^7*'Consumer Sleeve'!$B$7</f>
        <v>159.65368939206067</v>
      </c>
      <c r="G41" s="80">
        <f t="shared" si="15"/>
        <v>6.5164771180432925</v>
      </c>
      <c r="H41" s="81">
        <f t="shared" si="16"/>
        <v>0.30703601172570316</v>
      </c>
      <c r="I41" s="79">
        <f>B41*(1+H14)^7*'Consumer Sleeve'!$B$7</f>
        <v>40.104597918000024</v>
      </c>
      <c r="J41" s="80">
        <f t="shared" si="17"/>
        <v>1.636922364000001</v>
      </c>
      <c r="K41" s="81">
        <f t="shared" si="18"/>
        <v>7.2940009625577229E-2</v>
      </c>
      <c r="L41" s="82">
        <f>B41*(1+I14)^7*'Consumer Sleeve'!$B$7</f>
        <v>14.371781553609372</v>
      </c>
      <c r="M41" s="83">
        <f t="shared" si="19"/>
        <v>0.58660332871874987</v>
      </c>
      <c r="N41" s="84">
        <f t="shared" si="20"/>
        <v>-7.3369991687001535E-2</v>
      </c>
    </row>
    <row r="42" spans="1:14" ht="15" customHeight="1" x14ac:dyDescent="0.2">
      <c r="A42" s="78" t="str">
        <f t="shared" si="11"/>
        <v>Made In Cookware</v>
      </c>
      <c r="B42" s="79">
        <f t="shared" si="12"/>
        <v>17.5</v>
      </c>
      <c r="C42" s="79">
        <f>B42*(1+F15)^7*'Consumer Sleeve'!$B$7</f>
        <v>36.783351231919518</v>
      </c>
      <c r="D42" s="80">
        <f t="shared" si="13"/>
        <v>2.1019057846811151</v>
      </c>
      <c r="E42" s="81">
        <f t="shared" si="14"/>
        <v>0.11195600997559829</v>
      </c>
      <c r="F42" s="79">
        <f>B42*(1+G15)^7*'Consumer Sleeve'!$B$7</f>
        <v>74.115859706566283</v>
      </c>
      <c r="G42" s="80">
        <f t="shared" si="15"/>
        <v>4.235191983232359</v>
      </c>
      <c r="H42" s="81">
        <f t="shared" si="16"/>
        <v>0.22900401102566104</v>
      </c>
      <c r="I42" s="79">
        <f>B42*(1+H15)^7*'Consumer Sleeve'!$B$7</f>
        <v>7.0309644300000018</v>
      </c>
      <c r="J42" s="80">
        <f t="shared" si="17"/>
        <v>0.40176939600000011</v>
      </c>
      <c r="K42" s="81">
        <f t="shared" si="18"/>
        <v>-0.12213999212452775</v>
      </c>
      <c r="L42" s="82">
        <f>B42*(1+I15)^7*'Consumer Sleeve'!$B$7</f>
        <v>5.1145389865893103</v>
      </c>
      <c r="M42" s="83">
        <f t="shared" si="19"/>
        <v>0.29225937066224628</v>
      </c>
      <c r="N42" s="84">
        <f t="shared" si="20"/>
        <v>-0.16115599247454881</v>
      </c>
    </row>
    <row r="43" spans="1:14" ht="15" customHeight="1" x14ac:dyDescent="0.2">
      <c r="A43" s="78" t="str">
        <f t="shared" si="11"/>
        <v>Thrive Market</v>
      </c>
      <c r="B43" s="79">
        <f t="shared" si="12"/>
        <v>14</v>
      </c>
      <c r="C43" s="79">
        <f>B43*(1+F16)^7*'Consumer Sleeve'!$B$7</f>
        <v>18.883990163386336</v>
      </c>
      <c r="D43" s="80">
        <f t="shared" si="13"/>
        <v>1.3488564402418812</v>
      </c>
      <c r="E43" s="81">
        <f t="shared" si="14"/>
        <v>4.3678009363061321E-2</v>
      </c>
      <c r="F43" s="79">
        <f>B43*(1+G16)^7*'Consumer Sleeve'!$B$7</f>
        <v>33.236344077326734</v>
      </c>
      <c r="G43" s="80">
        <f t="shared" si="15"/>
        <v>2.3740245769519097</v>
      </c>
      <c r="H43" s="81">
        <f t="shared" si="16"/>
        <v>0.1314640101506086</v>
      </c>
      <c r="I43" s="79">
        <f>B43*(1+H16)^7*'Consumer Sleeve'!$B$7</f>
        <v>8.2124466020624993</v>
      </c>
      <c r="J43" s="80">
        <f t="shared" si="17"/>
        <v>0.58660332871874998</v>
      </c>
      <c r="K43" s="81">
        <f t="shared" si="18"/>
        <v>-7.3369991687001535E-2</v>
      </c>
      <c r="L43" s="82">
        <f>B43*(1+I16)^7*'Consumer Sleeve'!$B$7</f>
        <v>6.5602760305410053</v>
      </c>
      <c r="M43" s="83">
        <f t="shared" si="19"/>
        <v>0.46859114503864324</v>
      </c>
      <c r="N43" s="84">
        <f t="shared" si="20"/>
        <v>-0.10263199194951722</v>
      </c>
    </row>
    <row r="44" spans="1:14" ht="15" customHeight="1" x14ac:dyDescent="0.2">
      <c r="A44" s="78" t="str">
        <f t="shared" si="11"/>
        <v>Plunge</v>
      </c>
      <c r="B44" s="79">
        <f t="shared" si="12"/>
        <v>7</v>
      </c>
      <c r="C44" s="79">
        <f>B44*(1+F17)^7*'Consumer Sleeve'!$B$7</f>
        <v>21.069103103999996</v>
      </c>
      <c r="D44" s="80">
        <f t="shared" si="13"/>
        <v>3.0098718719999993</v>
      </c>
      <c r="E44" s="81">
        <f t="shared" si="14"/>
        <v>0.17048001050062966</v>
      </c>
      <c r="F44" s="79">
        <f>B44*(1+G17)^7*'Consumer Sleeve'!$B$7</f>
        <v>100.4653125</v>
      </c>
      <c r="G44" s="80">
        <f t="shared" si="15"/>
        <v>14.352187499999999</v>
      </c>
      <c r="H44" s="81">
        <f t="shared" si="16"/>
        <v>0.46310001312578697</v>
      </c>
      <c r="I44" s="79">
        <f>B44*(1+H17)^7*'Consumer Sleeve'!$B$7</f>
        <v>1.0328554486688259</v>
      </c>
      <c r="J44" s="80">
        <f t="shared" si="17"/>
        <v>0.14755077838126085</v>
      </c>
      <c r="K44" s="81">
        <f t="shared" si="18"/>
        <v>-0.23918799317459072</v>
      </c>
      <c r="L44" s="82">
        <f>B44*(1+I17)^7*'Consumer Sleeve'!$B$7</f>
        <v>0.5898000446521342</v>
      </c>
      <c r="M44" s="83">
        <f t="shared" si="19"/>
        <v>8.4257149236019166E-2</v>
      </c>
      <c r="N44" s="84">
        <f t="shared" si="20"/>
        <v>-0.29771199369962231</v>
      </c>
    </row>
    <row r="45" spans="1:14" ht="15" customHeight="1" x14ac:dyDescent="0.2">
      <c r="A45" s="78" t="str">
        <f t="shared" si="11"/>
        <v>Polymarket</v>
      </c>
      <c r="B45" s="79">
        <f t="shared" si="12"/>
        <v>10.5</v>
      </c>
      <c r="C45" s="79">
        <f>B45*(1+F18)^7*'Consumer Sleeve'!$B$7</f>
        <v>42.057037353515625</v>
      </c>
      <c r="D45" s="80">
        <f t="shared" si="13"/>
        <v>4.00543212890625</v>
      </c>
      <c r="E45" s="81">
        <f t="shared" si="14"/>
        <v>0.21925001093815588</v>
      </c>
      <c r="F45" s="79">
        <f>B45*(1+G18)^7*'Consumer Sleeve'!$B$7</f>
        <v>92.974710527999946</v>
      </c>
      <c r="G45" s="80">
        <f t="shared" si="15"/>
        <v>8.8547343359999946</v>
      </c>
      <c r="H45" s="81">
        <f t="shared" si="16"/>
        <v>0.36556001225073431</v>
      </c>
      <c r="I45" s="79">
        <f>B45*(1+H18)^7*'Consumer Sleeve'!$B$7</f>
        <v>6.1593349515468745</v>
      </c>
      <c r="J45" s="80">
        <f t="shared" si="17"/>
        <v>0.58660332871874998</v>
      </c>
      <c r="K45" s="81">
        <f t="shared" si="18"/>
        <v>-7.3369991687001535E-2</v>
      </c>
      <c r="L45" s="82">
        <f>B45*(1+I18)^7*'Consumer Sleeve'!$B$7</f>
        <v>3.6045187599826947</v>
      </c>
      <c r="M45" s="83">
        <f t="shared" si="19"/>
        <v>0.34328750095073285</v>
      </c>
      <c r="N45" s="84">
        <f t="shared" si="20"/>
        <v>-0.14164799229953828</v>
      </c>
    </row>
    <row r="46" spans="1:14" ht="15" customHeight="1" x14ac:dyDescent="0.2">
      <c r="A46" s="78" t="str">
        <f t="shared" si="11"/>
        <v>Goat Group</v>
      </c>
      <c r="B46" s="79">
        <f t="shared" si="12"/>
        <v>15</v>
      </c>
      <c r="C46" s="79">
        <f>B46*(1+F19)^7*'Consumer Sleeve'!$B$7</f>
        <v>33.516250493906227</v>
      </c>
      <c r="D46" s="80">
        <f t="shared" si="13"/>
        <v>2.2344166995937487</v>
      </c>
      <c r="E46" s="81">
        <f t="shared" si="14"/>
        <v>0.12171001006310322</v>
      </c>
      <c r="F46" s="79">
        <f>B46*(1+G19)^7*'Consumer Sleeve'!$B$7</f>
        <v>70.931694131085322</v>
      </c>
      <c r="G46" s="80">
        <f t="shared" si="15"/>
        <v>4.7287796087390213</v>
      </c>
      <c r="H46" s="81">
        <f t="shared" si="16"/>
        <v>0.24851201120067157</v>
      </c>
      <c r="I46" s="79">
        <f>B46*(1+H19)^7*'Consumer Sleeve'!$B$7</f>
        <v>5.1493125142609921</v>
      </c>
      <c r="J46" s="80">
        <f t="shared" si="17"/>
        <v>0.34328750095073279</v>
      </c>
      <c r="K46" s="81">
        <f t="shared" si="18"/>
        <v>-0.14164799229953828</v>
      </c>
      <c r="L46" s="82">
        <f>B46*(1+I19)^7*'Consumer Sleeve'!$B$7</f>
        <v>3.7181383666237426</v>
      </c>
      <c r="M46" s="83">
        <f t="shared" si="19"/>
        <v>0.24787589110824951</v>
      </c>
      <c r="N46" s="84">
        <f t="shared" si="20"/>
        <v>-0.18066399264955935</v>
      </c>
    </row>
    <row r="47" spans="1:14" ht="15" customHeight="1" x14ac:dyDescent="0.2">
      <c r="A47" s="78" t="str">
        <f t="shared" si="11"/>
        <v>Stripe</v>
      </c>
      <c r="B47" s="79">
        <f t="shared" si="12"/>
        <v>45</v>
      </c>
      <c r="C47" s="79">
        <f>B47*(1+F20)^7*'Consumer Sleeve'!$B$7</f>
        <v>120.41091344148245</v>
      </c>
      <c r="D47" s="80">
        <f t="shared" si="13"/>
        <v>2.6757980764773879</v>
      </c>
      <c r="E47" s="81">
        <f t="shared" si="14"/>
        <v>0.15097201032561913</v>
      </c>
      <c r="F47" s="79">
        <f>B47*(1+G20)^7*'Consumer Sleeve'!$B$7</f>
        <v>308.90730552609386</v>
      </c>
      <c r="G47" s="80">
        <f t="shared" si="15"/>
        <v>6.8646067894687528</v>
      </c>
      <c r="H47" s="81">
        <f t="shared" si="16"/>
        <v>0.31679001181320832</v>
      </c>
      <c r="I47" s="79">
        <f>B47*(1+H20)^7*'Consumer Sleeve'!$B$7</f>
        <v>26.397149792343747</v>
      </c>
      <c r="J47" s="80">
        <f t="shared" si="17"/>
        <v>0.58660332871874998</v>
      </c>
      <c r="K47" s="81">
        <f t="shared" si="18"/>
        <v>-7.3369991687001535E-2</v>
      </c>
      <c r="L47" s="82">
        <f>B47*(1+I20)^7*'Consumer Sleeve'!$B$7</f>
        <v>21.086601526738949</v>
      </c>
      <c r="M47" s="83">
        <f t="shared" si="19"/>
        <v>0.4685911450386433</v>
      </c>
      <c r="N47" s="84">
        <f t="shared" si="20"/>
        <v>-0.10263199194951722</v>
      </c>
    </row>
    <row r="48" spans="1:14" ht="15" customHeight="1" x14ac:dyDescent="0.2">
      <c r="A48" s="53" t="s">
        <v>389</v>
      </c>
      <c r="B48" s="63">
        <f>SUM(B39:B47)</f>
        <v>200</v>
      </c>
      <c r="C48" s="63">
        <f>SUM(C39:C47)</f>
        <v>662.01427357746763</v>
      </c>
      <c r="D48" s="64">
        <f t="shared" si="13"/>
        <v>3.3100713678873381</v>
      </c>
      <c r="E48" s="65">
        <f t="shared" si="14"/>
        <v>0.18648562177434669</v>
      </c>
      <c r="F48" s="63">
        <f>SUM(F39:F47)</f>
        <v>1544.5338179539895</v>
      </c>
      <c r="G48" s="64">
        <f t="shared" si="15"/>
        <v>7.7226690897699477</v>
      </c>
      <c r="H48" s="65">
        <f t="shared" si="16"/>
        <v>0.33913363395901319</v>
      </c>
      <c r="I48" s="63">
        <f>SUM(I39:I47)</f>
        <v>149.23724635868049</v>
      </c>
      <c r="J48" s="64">
        <f t="shared" si="17"/>
        <v>0.74618623179340249</v>
      </c>
      <c r="K48" s="65">
        <f t="shared" si="18"/>
        <v>-4.0963097075313426E-2</v>
      </c>
      <c r="L48" s="66">
        <f>SUM(L39:L47)</f>
        <v>70.182738673336857</v>
      </c>
      <c r="M48" s="67">
        <f t="shared" si="19"/>
        <v>0.35091369336668427</v>
      </c>
      <c r="N48" s="68">
        <f t="shared" si="20"/>
        <v>-0.13894951338080663</v>
      </c>
    </row>
    <row r="49" spans="1:14" ht="1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">
      <c r="A51" s="28" t="s">
        <v>424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">
      <c r="A52" s="12" t="s">
        <v>236</v>
      </c>
      <c r="B52" s="12" t="s">
        <v>238</v>
      </c>
      <c r="C52" s="12" t="s">
        <v>346</v>
      </c>
      <c r="D52" s="12" t="s">
        <v>347</v>
      </c>
      <c r="E52" s="12" t="s">
        <v>348</v>
      </c>
      <c r="F52" s="12" t="s">
        <v>349</v>
      </c>
      <c r="G52" s="12" t="s">
        <v>350</v>
      </c>
      <c r="H52" s="12" t="s">
        <v>351</v>
      </c>
      <c r="I52" s="12" t="s">
        <v>352</v>
      </c>
      <c r="J52" s="12" t="s">
        <v>353</v>
      </c>
      <c r="K52" s="12" t="s">
        <v>354</v>
      </c>
      <c r="L52" s="21" t="s">
        <v>355</v>
      </c>
      <c r="M52" s="21" t="s">
        <v>356</v>
      </c>
      <c r="N52" s="21" t="s">
        <v>357</v>
      </c>
    </row>
    <row r="53" spans="1:14" ht="15" customHeight="1" x14ac:dyDescent="0.2">
      <c r="A53" s="78" t="str">
        <f t="shared" ref="A53:A61" si="21">A12</f>
        <v>Quince</v>
      </c>
      <c r="B53" s="79">
        <f t="shared" ref="B53:B61" si="22">C12</f>
        <v>35</v>
      </c>
      <c r="C53" s="79">
        <f>B53*(1+F12)^10*'Consumer Sleeve'!$B$8</f>
        <v>309.90530043832047</v>
      </c>
      <c r="D53" s="80">
        <f t="shared" ref="D53:D62" si="23">C53/B53</f>
        <v>8.8544371553805856</v>
      </c>
      <c r="E53" s="81">
        <f t="shared" ref="E53:E62" si="24">(C53/B53)^(1/10)-1</f>
        <v>0.24370132206473416</v>
      </c>
      <c r="F53" s="79">
        <f>B53*(1+G12)^10*'Consumer Sleeve'!$B$8</f>
        <v>1078.4731322392847</v>
      </c>
      <c r="G53" s="80">
        <f t="shared" ref="G53:G62" si="25">F53/B53</f>
        <v>30.813518063979565</v>
      </c>
      <c r="H53" s="81">
        <f t="shared" ref="H53:H62" si="26">(F53/B53)^(1/10)-1</f>
        <v>0.40888040390145663</v>
      </c>
      <c r="I53" s="79">
        <f>B53*(1+H12)^10*'Consumer Sleeve'!$B$8</f>
        <v>31.998603524862375</v>
      </c>
      <c r="J53" s="80">
        <f t="shared" ref="J53:J62" si="27">I53/B53</f>
        <v>0.91424581499606783</v>
      </c>
      <c r="K53" s="81">
        <f t="shared" ref="K53:K62" si="28">(I53/B53)^(1/10)-1</f>
        <v>-8.9255089796650422E-3</v>
      </c>
      <c r="L53" s="82">
        <f>B53*(1+I12)^10*'Consumer Sleeve'!$B$8</f>
        <v>3.6080108225689687</v>
      </c>
      <c r="M53" s="83">
        <f t="shared" ref="M53:M62" si="29">L53/B53</f>
        <v>0.10308602350197053</v>
      </c>
      <c r="N53" s="84">
        <f t="shared" ref="N53:N62" si="30">(L53/B53)^(1/10)-1</f>
        <v>-0.20325384055227969</v>
      </c>
    </row>
    <row r="54" spans="1:14" ht="15" customHeight="1" x14ac:dyDescent="0.2">
      <c r="A54" s="78" t="str">
        <f t="shared" si="21"/>
        <v>Whoop</v>
      </c>
      <c r="B54" s="79">
        <f t="shared" si="22"/>
        <v>31.5</v>
      </c>
      <c r="C54" s="79">
        <f>B54*(1+F13)^10*'Consumer Sleeve'!$B$8</f>
        <v>257.87487278858919</v>
      </c>
      <c r="D54" s="80">
        <f t="shared" si="23"/>
        <v>8.1865038980504501</v>
      </c>
      <c r="E54" s="81">
        <f t="shared" si="24"/>
        <v>0.2339849054861034</v>
      </c>
      <c r="F54" s="79">
        <f>B54*(1+G13)^10*'Consumer Sleeve'!$B$8</f>
        <v>787.50851986031034</v>
      </c>
      <c r="G54" s="80">
        <f t="shared" si="25"/>
        <v>25.000270471755883</v>
      </c>
      <c r="H54" s="81">
        <f t="shared" si="26"/>
        <v>0.37973115416556436</v>
      </c>
      <c r="I54" s="79">
        <f>B54*(1+H13)^10*'Consumer Sleeve'!$B$8</f>
        <v>17.421644997892678</v>
      </c>
      <c r="J54" s="80">
        <f t="shared" si="27"/>
        <v>0.55306809517119615</v>
      </c>
      <c r="K54" s="81">
        <f t="shared" si="28"/>
        <v>-5.7507591872818731E-2</v>
      </c>
      <c r="L54" s="82">
        <f>B54*(1+I13)^10*'Consumer Sleeve'!$B$8</f>
        <v>4.1320415295962967</v>
      </c>
      <c r="M54" s="83">
        <f t="shared" si="29"/>
        <v>0.1311759215744856</v>
      </c>
      <c r="N54" s="84">
        <f t="shared" si="30"/>
        <v>-0.18382100739501828</v>
      </c>
    </row>
    <row r="55" spans="1:14" ht="139.5" customHeight="1" x14ac:dyDescent="0.2">
      <c r="A55" s="78" t="str">
        <f t="shared" si="21"/>
        <v>The Farmer's Dog</v>
      </c>
      <c r="B55" s="79">
        <f t="shared" si="22"/>
        <v>24.5</v>
      </c>
      <c r="C55" s="79">
        <f>B55*(1+F14)^10*'Consumer Sleeve'!$B$8</f>
        <v>134.22260225848794</v>
      </c>
      <c r="D55" s="80">
        <f t="shared" si="23"/>
        <v>5.4784735615709366</v>
      </c>
      <c r="E55" s="81">
        <f t="shared" si="24"/>
        <v>0.1854028225929496</v>
      </c>
      <c r="F55" s="79">
        <f>B55*(1+G14)^10*'Consumer Sleeve'!$B$8</f>
        <v>342.98516130445978</v>
      </c>
      <c r="G55" s="80">
        <f t="shared" si="25"/>
        <v>13.999394338957542</v>
      </c>
      <c r="H55" s="81">
        <f t="shared" si="26"/>
        <v>0.30199982153651872</v>
      </c>
      <c r="I55" s="79">
        <f>B55*(1+H14)^10*'Consumer Sleeve'!$B$8</f>
        <v>47.660017704337534</v>
      </c>
      <c r="J55" s="80">
        <f t="shared" si="27"/>
        <v>1.9453068450750013</v>
      </c>
      <c r="K55" s="81">
        <f t="shared" si="28"/>
        <v>6.8805823649380926E-2</v>
      </c>
      <c r="L55" s="82">
        <f>B55*(1+I14)^10*'Consumer Sleeve'!$B$8</f>
        <v>11.001791258505213</v>
      </c>
      <c r="M55" s="83">
        <f t="shared" si="29"/>
        <v>0.4490527044287842</v>
      </c>
      <c r="N55" s="84">
        <f t="shared" si="30"/>
        <v>-7.694042503008014E-2</v>
      </c>
    </row>
    <row r="56" spans="1:14" ht="15" customHeight="1" x14ac:dyDescent="0.2">
      <c r="A56" s="78" t="str">
        <f t="shared" si="21"/>
        <v>Made In Cookware</v>
      </c>
      <c r="B56" s="79">
        <f t="shared" si="22"/>
        <v>17.5</v>
      </c>
      <c r="C56" s="79">
        <f>B56*(1+F15)^10*'Consumer Sleeve'!$B$8</f>
        <v>48.657279747806243</v>
      </c>
      <c r="D56" s="80">
        <f t="shared" si="23"/>
        <v>2.7804159855889283</v>
      </c>
      <c r="E56" s="81">
        <f t="shared" si="24"/>
        <v>0.10767148996390397</v>
      </c>
      <c r="F56" s="79">
        <f>B56*(1+G15)^10*'Consumer Sleeve'!$B$8</f>
        <v>132.37463122891273</v>
      </c>
      <c r="G56" s="80">
        <f t="shared" si="25"/>
        <v>7.564264641652156</v>
      </c>
      <c r="H56" s="81">
        <f t="shared" si="26"/>
        <v>0.22426848890747264</v>
      </c>
      <c r="I56" s="79">
        <f>B56*(1+H15)^10*'Consumer Sleeve'!$B$8</f>
        <v>4.5764045263125013</v>
      </c>
      <c r="J56" s="80">
        <f t="shared" si="27"/>
        <v>0.26150883007500009</v>
      </c>
      <c r="K56" s="81">
        <f t="shared" si="28"/>
        <v>-0.12552250792323383</v>
      </c>
      <c r="L56" s="82">
        <f>B56*(1+I15)^10*'Consumer Sleeve'!$B$8</f>
        <v>2.9045832229054014</v>
      </c>
      <c r="M56" s="83">
        <f t="shared" si="29"/>
        <v>0.16597618416602294</v>
      </c>
      <c r="N56" s="84">
        <f t="shared" si="30"/>
        <v>-0.16438817423775687</v>
      </c>
    </row>
    <row r="57" spans="1:14" ht="15" customHeight="1" x14ac:dyDescent="0.2">
      <c r="A57" s="78" t="str">
        <f t="shared" si="21"/>
        <v>Thrive Market</v>
      </c>
      <c r="B57" s="79">
        <f t="shared" si="22"/>
        <v>14</v>
      </c>
      <c r="C57" s="79">
        <f>B57*(1+F16)^10*'Consumer Sleeve'!$B$8</f>
        <v>20.655089251540439</v>
      </c>
      <c r="D57" s="80">
        <f t="shared" si="23"/>
        <v>1.4753635179671742</v>
      </c>
      <c r="E57" s="81">
        <f t="shared" si="24"/>
        <v>3.9656573913488646E-2</v>
      </c>
      <c r="F57" s="79">
        <f>B57*(1+G16)^10*'Consumer Sleeve'!$B$8</f>
        <v>46.320068325824096</v>
      </c>
      <c r="G57" s="80">
        <f t="shared" si="25"/>
        <v>3.3085763089874356</v>
      </c>
      <c r="H57" s="81">
        <f t="shared" si="26"/>
        <v>0.12710432312116526</v>
      </c>
      <c r="I57" s="79">
        <f>B57*(1+H16)^10*'Consumer Sleeve'!$B$8</f>
        <v>6.2867378620029779</v>
      </c>
      <c r="J57" s="80">
        <f t="shared" si="27"/>
        <v>0.44905270442878414</v>
      </c>
      <c r="K57" s="81">
        <f t="shared" si="28"/>
        <v>-7.694042503008014E-2</v>
      </c>
      <c r="L57" s="82">
        <f>B57*(1+I16)^10*'Consumer Sleeve'!$B$8</f>
        <v>4.5610787693481392</v>
      </c>
      <c r="M57" s="83">
        <f t="shared" si="29"/>
        <v>0.32579134066772425</v>
      </c>
      <c r="N57" s="84">
        <f t="shared" si="30"/>
        <v>-0.10608967476597231</v>
      </c>
    </row>
    <row r="58" spans="1:14" ht="105.75" customHeight="1" x14ac:dyDescent="0.2">
      <c r="A58" s="78" t="str">
        <f t="shared" si="21"/>
        <v>Plunge</v>
      </c>
      <c r="B58" s="79">
        <f t="shared" si="22"/>
        <v>7</v>
      </c>
      <c r="C58" s="79">
        <f>B58*(1+F17)^10*'Consumer Sleeve'!$B$8</f>
        <v>32.506616217599998</v>
      </c>
      <c r="D58" s="80">
        <f t="shared" si="23"/>
        <v>4.6438023167999996</v>
      </c>
      <c r="E58" s="81">
        <f t="shared" si="24"/>
        <v>0.1659699894356883</v>
      </c>
      <c r="F58" s="79">
        <f>B58*(1+G17)^10*'Consumer Sleeve'!$B$8</f>
        <v>302.741455078125</v>
      </c>
      <c r="G58" s="80">
        <f t="shared" si="25"/>
        <v>43.248779296875</v>
      </c>
      <c r="H58" s="81">
        <f t="shared" si="26"/>
        <v>0.45746248679461043</v>
      </c>
      <c r="I58" s="79">
        <f>B58*(1+H17)^10*'Consumer Sleeve'!$B$8</f>
        <v>0.43762823113990068</v>
      </c>
      <c r="J58" s="80">
        <f t="shared" si="27"/>
        <v>6.2518318734271522E-2</v>
      </c>
      <c r="K58" s="81">
        <f t="shared" si="28"/>
        <v>-0.24211950686680261</v>
      </c>
      <c r="L58" s="82">
        <f>B58*(1+I17)^10*'Consumer Sleeve'!$B$8</f>
        <v>0.19655507773778552</v>
      </c>
      <c r="M58" s="83">
        <f t="shared" si="29"/>
        <v>2.8079296819683647E-2</v>
      </c>
      <c r="N58" s="84">
        <f t="shared" si="30"/>
        <v>-0.30041800633858706</v>
      </c>
    </row>
    <row r="59" spans="1:14" x14ac:dyDescent="0.2">
      <c r="A59" s="78" t="str">
        <f t="shared" si="21"/>
        <v>Polymarket</v>
      </c>
      <c r="B59" s="79">
        <f t="shared" si="22"/>
        <v>10.5</v>
      </c>
      <c r="C59" s="79">
        <f>B59*(1+F18)^10*'Consumer Sleeve'!$B$8</f>
        <v>73.341652750968933</v>
      </c>
      <c r="D59" s="80">
        <f t="shared" si="23"/>
        <v>6.9849193096160889</v>
      </c>
      <c r="E59" s="81">
        <f t="shared" si="24"/>
        <v>0.21455207232884188</v>
      </c>
      <c r="F59" s="79">
        <f>B59*(1+G18)^10*'Consumer Sleeve'!$B$8</f>
        <v>227.78804079359983</v>
      </c>
      <c r="G59" s="80">
        <f t="shared" si="25"/>
        <v>21.694099123199983</v>
      </c>
      <c r="H59" s="81">
        <f t="shared" si="26"/>
        <v>0.36029832100830284</v>
      </c>
      <c r="I59" s="79">
        <f>B59*(1+H18)^10*'Consumer Sleeve'!$B$8</f>
        <v>4.7150533965022339</v>
      </c>
      <c r="J59" s="80">
        <f t="shared" si="27"/>
        <v>0.4490527044287842</v>
      </c>
      <c r="K59" s="81">
        <f t="shared" si="28"/>
        <v>-7.694042503008014E-2</v>
      </c>
      <c r="L59" s="82">
        <f>B59*(1+I18)^10*'Consumer Sleeve'!$B$8</f>
        <v>2.1931951860740413</v>
      </c>
      <c r="M59" s="83">
        <f t="shared" si="29"/>
        <v>0.20887573200705156</v>
      </c>
      <c r="N59" s="84">
        <f t="shared" si="30"/>
        <v>-0.14495534108049535</v>
      </c>
    </row>
    <row r="60" spans="1:14" x14ac:dyDescent="0.2">
      <c r="A60" s="78" t="str">
        <f t="shared" si="21"/>
        <v>Goat Group</v>
      </c>
      <c r="B60" s="79">
        <f t="shared" si="22"/>
        <v>15</v>
      </c>
      <c r="C60" s="79">
        <f>B60*(1+F19)^10*'Consumer Sleeve'!$B$8</f>
        <v>45.512524526713946</v>
      </c>
      <c r="D60" s="80">
        <f t="shared" si="23"/>
        <v>3.0341683017809298</v>
      </c>
      <c r="E60" s="81">
        <f t="shared" si="24"/>
        <v>0.1173879065425345</v>
      </c>
      <c r="F60" s="79">
        <f>B60*(1+G19)^10*'Consumer Sleeve'!$B$8</f>
        <v>132.8165573307088</v>
      </c>
      <c r="G60" s="80">
        <f t="shared" si="25"/>
        <v>8.8544371553805874</v>
      </c>
      <c r="H60" s="81">
        <f t="shared" si="26"/>
        <v>0.24370132206473416</v>
      </c>
      <c r="I60" s="79">
        <f>B60*(1+H19)^10*'Consumer Sleeve'!$B$8</f>
        <v>3.1331359801057737</v>
      </c>
      <c r="J60" s="80">
        <f t="shared" si="27"/>
        <v>0.20887573200705159</v>
      </c>
      <c r="K60" s="81">
        <f t="shared" si="28"/>
        <v>-0.14495534108049535</v>
      </c>
      <c r="L60" s="82">
        <f>B60*(1+I19)^10*'Consumer Sleeve'!$B$8</f>
        <v>1.9676388236172841</v>
      </c>
      <c r="M60" s="83">
        <f t="shared" si="29"/>
        <v>0.1311759215744856</v>
      </c>
      <c r="N60" s="84">
        <f t="shared" si="30"/>
        <v>-0.18382100739501828</v>
      </c>
    </row>
    <row r="61" spans="1:14" x14ac:dyDescent="0.2">
      <c r="A61" s="78" t="str">
        <f t="shared" si="21"/>
        <v>Stripe</v>
      </c>
      <c r="B61" s="79">
        <f t="shared" si="22"/>
        <v>45</v>
      </c>
      <c r="C61" s="79">
        <f>B61*(1+F20)^10*'Consumer Sleeve'!$B$8</f>
        <v>176.64194994070158</v>
      </c>
      <c r="D61" s="80">
        <f t="shared" si="23"/>
        <v>3.9253766653489239</v>
      </c>
      <c r="E61" s="81">
        <f t="shared" si="24"/>
        <v>0.14653715627842656</v>
      </c>
      <c r="F61" s="79">
        <f>B61*(1+G20)^10*'Consumer Sleeve'!$B$8</f>
        <v>678.59626056586023</v>
      </c>
      <c r="G61" s="80">
        <f t="shared" si="25"/>
        <v>15.079916901463561</v>
      </c>
      <c r="H61" s="81">
        <f t="shared" si="26"/>
        <v>0.31171623811514926</v>
      </c>
      <c r="I61" s="79">
        <f>B61*(1+H20)^10*'Consumer Sleeve'!$B$8</f>
        <v>20.207371699295287</v>
      </c>
      <c r="J61" s="80">
        <f t="shared" si="27"/>
        <v>0.44905270442878414</v>
      </c>
      <c r="K61" s="81">
        <f t="shared" si="28"/>
        <v>-7.694042503008014E-2</v>
      </c>
      <c r="L61" s="82">
        <f>B61*(1+I20)^10*'Consumer Sleeve'!$B$8</f>
        <v>14.660610330047589</v>
      </c>
      <c r="M61" s="83">
        <f t="shared" si="29"/>
        <v>0.32579134066772419</v>
      </c>
      <c r="N61" s="84">
        <f t="shared" si="30"/>
        <v>-0.10608967476597231</v>
      </c>
    </row>
    <row r="62" spans="1:14" x14ac:dyDescent="0.2">
      <c r="A62" s="53" t="s">
        <v>389</v>
      </c>
      <c r="B62" s="63">
        <f>SUM(B53:B61)</f>
        <v>200</v>
      </c>
      <c r="C62" s="63">
        <f>SUM(C53:C61)</f>
        <v>1099.3178879207289</v>
      </c>
      <c r="D62" s="64">
        <f t="shared" si="23"/>
        <v>5.4965894396036443</v>
      </c>
      <c r="E62" s="65">
        <f t="shared" si="24"/>
        <v>0.18579422221474395</v>
      </c>
      <c r="F62" s="63">
        <f>SUM(F53:F61)</f>
        <v>3729.6038267270856</v>
      </c>
      <c r="G62" s="64">
        <f t="shared" si="25"/>
        <v>18.64801913363543</v>
      </c>
      <c r="H62" s="65">
        <f t="shared" si="26"/>
        <v>0.33987187373758232</v>
      </c>
      <c r="I62" s="63">
        <f>SUM(I53:I61)</f>
        <v>136.43659792245126</v>
      </c>
      <c r="J62" s="64">
        <f t="shared" si="27"/>
        <v>0.68218298961225632</v>
      </c>
      <c r="K62" s="65">
        <f t="shared" si="28"/>
        <v>-3.7523601722883715E-2</v>
      </c>
      <c r="L62" s="66">
        <f>SUM(L53:L61)</f>
        <v>45.225505020400718</v>
      </c>
      <c r="M62" s="67">
        <f t="shared" si="29"/>
        <v>0.2261275251020036</v>
      </c>
      <c r="N62" s="68">
        <f t="shared" si="30"/>
        <v>-0.13814274273310445</v>
      </c>
    </row>
    <row r="63" spans="1:14" ht="6" customHeight="1" x14ac:dyDescent="0.2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"/>
      <c r="L63" s="1"/>
      <c r="M63" s="1"/>
      <c r="N63" s="1"/>
    </row>
    <row r="64" spans="1: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11" t="s">
        <v>456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60" customHeight="1" x14ac:dyDescent="0.2">
      <c r="A66" s="179" t="s">
        <v>457</v>
      </c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</sheetData>
  <mergeCells count="2">
    <mergeCell ref="A66:N66"/>
    <mergeCell ref="A63:J63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4374"/>
    <pageSetUpPr fitToPage="1"/>
  </sheetPr>
  <dimension ref="A1:F121"/>
  <sheetViews>
    <sheetView showGridLines="0" zoomScale="120" zoomScaleNormal="120" workbookViewId="0">
      <pane xSplit="1" ySplit="3" topLeftCell="B99" activePane="bottomRight" state="frozen"/>
      <selection pane="topRight"/>
      <selection pane="bottomLeft"/>
      <selection pane="bottomRight" activeCell="K95" sqref="K95"/>
    </sheetView>
  </sheetViews>
  <sheetFormatPr baseColWidth="10" defaultColWidth="8.6640625" defaultRowHeight="15" x14ac:dyDescent="0.2"/>
  <cols>
    <col min="1" max="1" width="34" customWidth="1"/>
    <col min="2" max="4" width="13" customWidth="1"/>
    <col min="5" max="5" width="16" customWidth="1"/>
    <col min="6" max="6" width="14" customWidth="1"/>
  </cols>
  <sheetData>
    <row r="1" spans="1:6" ht="18" customHeight="1" x14ac:dyDescent="0.2">
      <c r="A1" s="136" t="s">
        <v>458</v>
      </c>
      <c r="B1" s="1"/>
      <c r="C1" s="1"/>
      <c r="D1" s="1"/>
      <c r="E1" s="1"/>
      <c r="F1" s="1"/>
    </row>
    <row r="2" spans="1:6" ht="15" customHeight="1" x14ac:dyDescent="0.2">
      <c r="A2" s="10" t="s">
        <v>516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11" t="s">
        <v>459</v>
      </c>
      <c r="B4" s="1"/>
      <c r="C4" s="1"/>
      <c r="D4" s="1"/>
      <c r="E4" s="1"/>
      <c r="F4" s="1"/>
    </row>
    <row r="5" spans="1:6" ht="15" customHeight="1" x14ac:dyDescent="0.2">
      <c r="A5" s="25" t="s">
        <v>99</v>
      </c>
      <c r="B5" s="27">
        <v>0.09</v>
      </c>
      <c r="C5" s="1"/>
      <c r="D5" s="1"/>
      <c r="E5" s="1"/>
      <c r="F5" s="1"/>
    </row>
    <row r="6" spans="1:6" ht="15" customHeight="1" x14ac:dyDescent="0.2">
      <c r="A6" s="25" t="s">
        <v>100</v>
      </c>
      <c r="B6" s="27">
        <v>0.13</v>
      </c>
      <c r="C6" s="1"/>
      <c r="D6" s="1"/>
      <c r="E6" s="1"/>
      <c r="F6" s="1"/>
    </row>
    <row r="7" spans="1:6" ht="15" customHeight="1" x14ac:dyDescent="0.2">
      <c r="A7" s="10" t="s">
        <v>460</v>
      </c>
      <c r="B7" s="1"/>
      <c r="C7" s="1"/>
      <c r="D7" s="1"/>
      <c r="E7" s="1"/>
      <c r="F7" s="1"/>
    </row>
    <row r="8" spans="1:6" ht="15" customHeight="1" x14ac:dyDescent="0.2">
      <c r="A8" s="1"/>
      <c r="B8" s="1"/>
      <c r="C8" s="1"/>
      <c r="D8" s="1"/>
      <c r="E8" s="1"/>
      <c r="F8" s="1"/>
    </row>
    <row r="9" spans="1:6" ht="36.75" customHeight="1" x14ac:dyDescent="0.2">
      <c r="A9" s="179" t="s">
        <v>461</v>
      </c>
      <c r="B9" s="177"/>
      <c r="C9" s="177"/>
      <c r="D9" s="177"/>
      <c r="E9" s="177"/>
      <c r="F9" s="177"/>
    </row>
    <row r="10" spans="1:6" ht="15" customHeight="1" x14ac:dyDescent="0.2">
      <c r="A10" s="1"/>
      <c r="B10" s="1"/>
      <c r="C10" s="1"/>
      <c r="D10" s="1"/>
      <c r="E10" s="1"/>
      <c r="F10" s="1"/>
    </row>
    <row r="11" spans="1:6" ht="15" customHeight="1" x14ac:dyDescent="0.2">
      <c r="A11" s="28" t="s">
        <v>517</v>
      </c>
      <c r="B11" s="1"/>
      <c r="C11" s="1"/>
      <c r="D11" s="1"/>
      <c r="E11" s="1"/>
      <c r="F11" s="1"/>
    </row>
    <row r="12" spans="1:6" ht="15" customHeight="1" x14ac:dyDescent="0.2">
      <c r="A12" s="12" t="s">
        <v>2</v>
      </c>
      <c r="B12" s="12" t="s">
        <v>11</v>
      </c>
      <c r="C12" s="12" t="s">
        <v>12</v>
      </c>
      <c r="D12" s="12" t="s">
        <v>13</v>
      </c>
      <c r="E12" s="21" t="s">
        <v>14</v>
      </c>
      <c r="F12" s="21" t="s">
        <v>15</v>
      </c>
    </row>
    <row r="13" spans="1:6" ht="15" customHeight="1" x14ac:dyDescent="0.2">
      <c r="A13" s="13" t="s">
        <v>4</v>
      </c>
      <c r="B13" s="36">
        <f>'Fund Economics'!B14</f>
        <v>2.0045241105768166</v>
      </c>
      <c r="C13" s="36">
        <f>'Fund Economics'!C14</f>
        <v>3.0878221475160164</v>
      </c>
      <c r="D13" s="36">
        <f>'Fund Economics'!D14</f>
        <v>0.40517410275635002</v>
      </c>
      <c r="E13" s="37">
        <f>'Fund Economics'!E14</f>
        <v>3.1231658193606862</v>
      </c>
      <c r="F13" s="37">
        <f>'Fund Economics'!F14</f>
        <v>2.2032423749561265</v>
      </c>
    </row>
    <row r="14" spans="1:6" ht="15" customHeight="1" x14ac:dyDescent="0.2">
      <c r="A14" s="13" t="s">
        <v>462</v>
      </c>
      <c r="B14" s="36">
        <f>'Fund Economics'!B12/Assumptions!$B$5</f>
        <v>2.0045241105768166</v>
      </c>
      <c r="C14" s="36">
        <f>'Fund Economics'!C12/Assumptions!$B$5</f>
        <v>3.0878221475160164</v>
      </c>
      <c r="D14" s="36">
        <f>'Fund Economics'!D12/Assumptions!$B$5</f>
        <v>0.40517410275635002</v>
      </c>
      <c r="E14" s="37">
        <f>'Fund Economics'!E12/Assumptions!$B$5</f>
        <v>3.1231658193606862</v>
      </c>
      <c r="F14" s="37">
        <f>'Fund Economics'!F12/Assumptions!$B$5</f>
        <v>2.2032423749561265</v>
      </c>
    </row>
    <row r="15" spans="1:6" ht="15" customHeight="1" x14ac:dyDescent="0.2">
      <c r="A15" s="13" t="s">
        <v>463</v>
      </c>
      <c r="B15" s="36">
        <f>'Fund Economics'!B6/Assumptions!$B$5</f>
        <v>2.2633231190210203</v>
      </c>
      <c r="C15" s="36">
        <f>'Fund Economics'!C6/Assumptions!$B$5</f>
        <v>3.61744566519502</v>
      </c>
      <c r="D15" s="36">
        <f>'Fund Economics'!D6/Assumptions!$B$5</f>
        <v>0.50517410275635</v>
      </c>
      <c r="E15" s="37">
        <f>'Fund Economics'!E6/Assumptions!$B$5</f>
        <v>3.6616252550008577</v>
      </c>
      <c r="F15" s="37">
        <f>'Fund Economics'!F6/Assumptions!$B$5</f>
        <v>2.5478767235217954</v>
      </c>
    </row>
    <row r="16" spans="1:6" ht="15" customHeight="1" x14ac:dyDescent="0.2">
      <c r="A16" s="13" t="s">
        <v>3</v>
      </c>
      <c r="B16" s="15">
        <f>'Fund Economics'!B16</f>
        <v>0.14921756925053842</v>
      </c>
      <c r="C16" s="15">
        <f>'Fund Economics'!C16</f>
        <v>0.2529405230598698</v>
      </c>
      <c r="D16" s="15">
        <f>'Fund Economics'!D16</f>
        <v>-0.1653039932407776</v>
      </c>
      <c r="E16" s="39">
        <f>'Fund Economics'!E16</f>
        <v>0.25579574901845725</v>
      </c>
      <c r="F16" s="39">
        <f>'Fund Economics'!F16</f>
        <v>0.1711498177436066</v>
      </c>
    </row>
    <row r="17" spans="1:6" ht="15" customHeight="1" x14ac:dyDescent="0.2">
      <c r="A17" s="13" t="s">
        <v>464</v>
      </c>
      <c r="B17" s="36">
        <f>(1+'PME, DPI &amp; Sensitivity'!$B$5)^5</f>
        <v>1.5386239549000005</v>
      </c>
      <c r="C17" s="36">
        <f>(1+'PME, DPI &amp; Sensitivity'!$B$5)^5</f>
        <v>1.5386239549000005</v>
      </c>
      <c r="D17" s="36">
        <f>(1+'PME, DPI &amp; Sensitivity'!$B$5)^5</f>
        <v>1.5386239549000005</v>
      </c>
      <c r="E17" s="37">
        <f>(1+'PME, DPI &amp; Sensitivity'!$B$5)^5</f>
        <v>1.5386239549000005</v>
      </c>
      <c r="F17" s="37">
        <f>(1+'PME, DPI &amp; Sensitivity'!$B$5)^5</f>
        <v>1.5386239549000005</v>
      </c>
    </row>
    <row r="18" spans="1:6" ht="15" customHeight="1" x14ac:dyDescent="0.2">
      <c r="A18" s="33" t="s">
        <v>465</v>
      </c>
      <c r="B18" s="35">
        <f>'Fund Economics'!B14/(1+'PME, DPI &amp; Sensitivity'!$B$5)^5</f>
        <v>1.3028031340556478</v>
      </c>
      <c r="C18" s="35">
        <f>'Fund Economics'!C14/(1+'PME, DPI &amp; Sensitivity'!$B$5)^5</f>
        <v>2.006872528977818</v>
      </c>
      <c r="D18" s="35">
        <f>'Fund Economics'!D14/(1+'PME, DPI &amp; Sensitivity'!$B$5)^5</f>
        <v>0.2633353662966228</v>
      </c>
      <c r="E18" s="35">
        <f>'Fund Economics'!E14/(1+'PME, DPI &amp; Sensitivity'!$B$5)^5</f>
        <v>2.029843490616698</v>
      </c>
      <c r="F18" s="35">
        <f>'Fund Economics'!F14/(1+'PME, DPI &amp; Sensitivity'!$B$5)^5</f>
        <v>1.431956371106494</v>
      </c>
    </row>
    <row r="19" spans="1:6" ht="15" customHeight="1" x14ac:dyDescent="0.2">
      <c r="A19" s="13" t="s">
        <v>466</v>
      </c>
      <c r="B19" s="15">
        <f>('Fund Economics'!B14/(1+'PME, DPI &amp; Sensitivity'!$B$5)^5)^(1/5)-1</f>
        <v>5.4328045183980045E-2</v>
      </c>
      <c r="C19" s="15">
        <f>('Fund Economics'!C14/(1+'PME, DPI &amp; Sensitivity'!$B$5)^5)^(1/5)-1</f>
        <v>0.14948671840354999</v>
      </c>
      <c r="D19" s="15">
        <f>('Fund Economics'!D14/(1+'PME, DPI &amp; Sensitivity'!$B$5)^5)^(1/5)-1</f>
        <v>-0.23422384700988774</v>
      </c>
      <c r="E19" s="39">
        <f>('Fund Economics'!E14/(1+'PME, DPI &amp; Sensitivity'!$B$5)^5)^(1/5)-1</f>
        <v>0.15210619176005236</v>
      </c>
      <c r="F19" s="39">
        <f>('Fund Economics'!F14/(1+'PME, DPI &amp; Sensitivity'!$B$5)^5)^(1/5)-1</f>
        <v>7.4449374076703378E-2</v>
      </c>
    </row>
    <row r="20" spans="1:6" ht="15" customHeight="1" x14ac:dyDescent="0.2">
      <c r="A20" s="13" t="s">
        <v>467</v>
      </c>
      <c r="B20" s="36">
        <f>(1+'PME, DPI &amp; Sensitivity'!$B$6)^5</f>
        <v>1.8424351792999989</v>
      </c>
      <c r="C20" s="36">
        <f>(1+'PME, DPI &amp; Sensitivity'!$B$6)^5</f>
        <v>1.8424351792999989</v>
      </c>
      <c r="D20" s="36">
        <f>(1+'PME, DPI &amp; Sensitivity'!$B$6)^5</f>
        <v>1.8424351792999989</v>
      </c>
      <c r="E20" s="37">
        <f>(1+'PME, DPI &amp; Sensitivity'!$B$6)^5</f>
        <v>1.8424351792999989</v>
      </c>
      <c r="F20" s="37">
        <f>(1+'PME, DPI &amp; Sensitivity'!$B$6)^5</f>
        <v>1.8424351792999989</v>
      </c>
    </row>
    <row r="21" spans="1:6" ht="15" customHeight="1" x14ac:dyDescent="0.2">
      <c r="A21" s="33" t="s">
        <v>468</v>
      </c>
      <c r="B21" s="35">
        <f>'Fund Economics'!B14/(1+'PME, DPI &amp; Sensitivity'!$B$6)^5</f>
        <v>1.0879753779660246</v>
      </c>
      <c r="C21" s="35">
        <f>'Fund Economics'!C14/(1+'PME, DPI &amp; Sensitivity'!$B$6)^5</f>
        <v>1.675946151163473</v>
      </c>
      <c r="D21" s="35">
        <f>'Fund Economics'!D14/(1+'PME, DPI &amp; Sensitivity'!$B$6)^5</f>
        <v>0.21991227008067055</v>
      </c>
      <c r="E21" s="35">
        <f>'Fund Economics'!E14/(1+'PME, DPI &amp; Sensitivity'!$B$6)^5</f>
        <v>1.6951292802318714</v>
      </c>
      <c r="F21" s="35">
        <f>'Fund Economics'!F14/(1+'PME, DPI &amp; Sensitivity'!$B$6)^5</f>
        <v>1.1958316904224604</v>
      </c>
    </row>
    <row r="22" spans="1:6" ht="15" customHeight="1" x14ac:dyDescent="0.2">
      <c r="A22" s="13" t="s">
        <v>469</v>
      </c>
      <c r="B22" s="15">
        <f>('Fund Economics'!B14/(1+'PME, DPI &amp; Sensitivity'!$B$6)^5)^(1/5)-1</f>
        <v>1.7006698451804025E-2</v>
      </c>
      <c r="C22" s="15">
        <f>('Fund Economics'!C14/(1+'PME, DPI &amp; Sensitivity'!$B$6)^5)^(1/5)-1</f>
        <v>0.10879692306183175</v>
      </c>
      <c r="D22" s="15">
        <f>('Fund Economics'!D14/(1+'PME, DPI &amp; Sensitivity'!$B$6)^5)^(1/5)-1</f>
        <v>-0.26133096746971451</v>
      </c>
      <c r="E22" s="39">
        <f>('Fund Economics'!E14/(1+'PME, DPI &amp; Sensitivity'!$B$6)^5)^(1/5)-1</f>
        <v>0.11132367169774993</v>
      </c>
      <c r="F22" s="39">
        <f>('Fund Economics'!F14/(1+'PME, DPI &amp; Sensitivity'!$B$6)^5)^(1/5)-1</f>
        <v>3.6415767914696362E-2</v>
      </c>
    </row>
    <row r="23" spans="1:6" ht="15" customHeight="1" x14ac:dyDescent="0.2">
      <c r="A23" s="23" t="s">
        <v>470</v>
      </c>
      <c r="B23" s="36">
        <f>('Fund Economics'!B6/Assumptions!$B$5)/(1+'PME, DPI &amp; Sensitivity'!$B$5)^5</f>
        <v>1.4710047323864266</v>
      </c>
      <c r="C23" s="36">
        <f>('Fund Economics'!C6/Assumptions!$B$5)/(1+'PME, DPI &amp; Sensitivity'!$B$5)^5</f>
        <v>2.351091476039139</v>
      </c>
      <c r="D23" s="36">
        <f>('Fund Economics'!D6/Assumptions!$B$5)/(1+'PME, DPI &amp; Sensitivity'!$B$5)^5</f>
        <v>0.32832850492645727</v>
      </c>
      <c r="E23" s="37">
        <f>('Fund Economics'!E6/Assumptions!$B$5)/(1+'PME, DPI &amp; Sensitivity'!$B$5)^5</f>
        <v>2.3798051780877394</v>
      </c>
      <c r="F23" s="37">
        <f>('Fund Economics'!F6/Assumptions!$B$5)/(1+'PME, DPI &amp; Sensitivity'!$B$5)^5</f>
        <v>1.6559450510358062</v>
      </c>
    </row>
    <row r="24" spans="1:6" ht="15" customHeight="1" x14ac:dyDescent="0.2">
      <c r="A24" s="23" t="s">
        <v>471</v>
      </c>
      <c r="B24" s="36">
        <f>('Fund Economics'!B6/Assumptions!$B$5)/(1+'PME, DPI &amp; Sensitivity'!$B$6)^5</f>
        <v>1.2284411112259215</v>
      </c>
      <c r="C24" s="36">
        <f>('Fund Economics'!C6/Assumptions!$B$5)/(1+'PME, DPI &amp; Sensitivity'!$B$6)^5</f>
        <v>1.9634045777227318</v>
      </c>
      <c r="D24" s="36">
        <f>('Fund Economics'!D6/Assumptions!$B$5)/(1+'PME, DPI &amp; Sensitivity'!$B$6)^5</f>
        <v>0.27418826368061539</v>
      </c>
      <c r="E24" s="37">
        <f>('Fund Economics'!E6/Assumptions!$B$5)/(1+'PME, DPI &amp; Sensitivity'!$B$6)^5</f>
        <v>1.9873834890582303</v>
      </c>
      <c r="F24" s="37">
        <f>('Fund Economics'!F6/Assumptions!$B$5)/(1+'PME, DPI &amp; Sensitivity'!$B$6)^5</f>
        <v>1.3828854073931744</v>
      </c>
    </row>
    <row r="25" spans="1:6" ht="15" customHeight="1" x14ac:dyDescent="0.2">
      <c r="A25" s="1"/>
      <c r="B25" s="1"/>
      <c r="C25" s="1"/>
      <c r="D25" s="1"/>
      <c r="E25" s="1"/>
      <c r="F25" s="1"/>
    </row>
    <row r="26" spans="1:6" ht="15" customHeight="1" x14ac:dyDescent="0.2">
      <c r="A26" s="1"/>
      <c r="B26" s="1"/>
      <c r="C26" s="1"/>
      <c r="D26" s="1"/>
      <c r="E26" s="1"/>
      <c r="F26" s="1"/>
    </row>
    <row r="27" spans="1:6" ht="15" customHeight="1" x14ac:dyDescent="0.2">
      <c r="A27" s="28" t="s">
        <v>518</v>
      </c>
      <c r="B27" s="1"/>
      <c r="C27" s="1"/>
      <c r="D27" s="1"/>
      <c r="E27" s="1"/>
      <c r="F27" s="1"/>
    </row>
    <row r="28" spans="1:6" ht="15" customHeight="1" x14ac:dyDescent="0.2">
      <c r="A28" s="12" t="s">
        <v>2</v>
      </c>
      <c r="B28" s="12" t="s">
        <v>11</v>
      </c>
      <c r="C28" s="12" t="s">
        <v>12</v>
      </c>
      <c r="D28" s="12" t="s">
        <v>13</v>
      </c>
      <c r="E28" s="21" t="s">
        <v>14</v>
      </c>
      <c r="F28" s="21" t="s">
        <v>15</v>
      </c>
    </row>
    <row r="29" spans="1:6" ht="15" customHeight="1" x14ac:dyDescent="0.2">
      <c r="A29" s="13" t="s">
        <v>4</v>
      </c>
      <c r="B29" s="36">
        <f>'Fund Economics'!B30</f>
        <v>2.6927833224803281</v>
      </c>
      <c r="C29" s="36">
        <f>'Fund Economics'!C30</f>
        <v>4.9931818028609003</v>
      </c>
      <c r="D29" s="36">
        <f>'Fund Economics'!D30</f>
        <v>0.26013475277443154</v>
      </c>
      <c r="E29" s="37">
        <f>'Fund Economics'!E30</f>
        <v>5.1385969316305182</v>
      </c>
      <c r="F29" s="37">
        <f>'Fund Economics'!F30</f>
        <v>3.2698576984921157</v>
      </c>
    </row>
    <row r="30" spans="1:6" ht="15" customHeight="1" x14ac:dyDescent="0.2">
      <c r="A30" s="13" t="s">
        <v>462</v>
      </c>
      <c r="B30" s="36">
        <f>'Fund Economics'!B28/Assumptions!$B$5</f>
        <v>2.6927833224803281</v>
      </c>
      <c r="C30" s="36">
        <f>'Fund Economics'!C28/Assumptions!$B$5</f>
        <v>4.9931818028609003</v>
      </c>
      <c r="D30" s="36">
        <f>'Fund Economics'!D28/Assumptions!$B$5</f>
        <v>0.26013475277443154</v>
      </c>
      <c r="E30" s="37">
        <f>'Fund Economics'!E28/Assumptions!$B$5</f>
        <v>5.1385969316305182</v>
      </c>
      <c r="F30" s="37">
        <f>'Fund Economics'!F28/Assumptions!$B$5</f>
        <v>3.2698576984921157</v>
      </c>
    </row>
    <row r="31" spans="1:6" ht="15" customHeight="1" x14ac:dyDescent="0.2">
      <c r="A31" s="13" t="s">
        <v>463</v>
      </c>
      <c r="B31" s="36">
        <f>'Fund Economics'!B22/Assumptions!$B$5</f>
        <v>3.1125230859055297</v>
      </c>
      <c r="C31" s="36">
        <f>'Fund Economics'!C22/Assumptions!$B$5</f>
        <v>5.9880211863812454</v>
      </c>
      <c r="D31" s="36">
        <f>'Fund Economics'!D22/Assumptions!$B$5</f>
        <v>0.40013475277443156</v>
      </c>
      <c r="E31" s="37">
        <f>'Fund Economics'!E22/Assumptions!$B$5</f>
        <v>6.1697900973432676</v>
      </c>
      <c r="F31" s="37">
        <f>'Fund Economics'!F22/Assumptions!$B$5</f>
        <v>3.883129412770455</v>
      </c>
    </row>
    <row r="32" spans="1:6" ht="15" customHeight="1" x14ac:dyDescent="0.2">
      <c r="A32" s="13" t="s">
        <v>3</v>
      </c>
      <c r="B32" s="15">
        <f>'Fund Economics'!B32</f>
        <v>0.15201290496463771</v>
      </c>
      <c r="C32" s="15">
        <f>'Fund Economics'!C32</f>
        <v>0.25825364455940703</v>
      </c>
      <c r="D32" s="15">
        <f>'Fund Economics'!D32</f>
        <v>-0.17499437274931617</v>
      </c>
      <c r="E32" s="39">
        <f>'Fund Economics'!E32</f>
        <v>0.26342428915744498</v>
      </c>
      <c r="F32" s="39">
        <f>'Fund Economics'!F32</f>
        <v>0.184415608120029</v>
      </c>
    </row>
    <row r="33" spans="1:6" ht="15" customHeight="1" x14ac:dyDescent="0.2">
      <c r="A33" s="13" t="s">
        <v>464</v>
      </c>
      <c r="B33" s="36">
        <f>(1+'PME, DPI &amp; Sensitivity'!$B$5)^7</f>
        <v>1.8280391208166906</v>
      </c>
      <c r="C33" s="36">
        <f>(1+'PME, DPI &amp; Sensitivity'!$B$5)^7</f>
        <v>1.8280391208166906</v>
      </c>
      <c r="D33" s="36">
        <f>(1+'PME, DPI &amp; Sensitivity'!$B$5)^7</f>
        <v>1.8280391208166906</v>
      </c>
      <c r="E33" s="37">
        <f>(1+'PME, DPI &amp; Sensitivity'!$B$5)^7</f>
        <v>1.8280391208166906</v>
      </c>
      <c r="F33" s="37">
        <f>(1+'PME, DPI &amp; Sensitivity'!$B$5)^7</f>
        <v>1.8280391208166906</v>
      </c>
    </row>
    <row r="34" spans="1:6" ht="15" customHeight="1" x14ac:dyDescent="0.2">
      <c r="A34" s="33" t="s">
        <v>465</v>
      </c>
      <c r="B34" s="35">
        <f>'Fund Economics'!B30/(1+'PME, DPI &amp; Sensitivity'!$B$5)^7</f>
        <v>1.4730446913397053</v>
      </c>
      <c r="C34" s="35">
        <f>'Fund Economics'!C30/(1+'PME, DPI &amp; Sensitivity'!$B$5)^7</f>
        <v>2.7314414368934061</v>
      </c>
      <c r="D34" s="35">
        <f>'Fund Economics'!D30/(1+'PME, DPI &amp; Sensitivity'!$B$5)^7</f>
        <v>0.14230261804146419</v>
      </c>
      <c r="E34" s="35">
        <f>'Fund Economics'!E30/(1+'PME, DPI &amp; Sensitivity'!$B$5)^7</f>
        <v>2.8109884920486876</v>
      </c>
      <c r="F34" s="35">
        <f>'Fund Economics'!F30/(1+'PME, DPI &amp; Sensitivity'!$B$5)^7</f>
        <v>1.788724136839742</v>
      </c>
    </row>
    <row r="35" spans="1:6" ht="15" customHeight="1" x14ac:dyDescent="0.2">
      <c r="A35" s="13" t="s">
        <v>466</v>
      </c>
      <c r="B35" s="15">
        <f>('Fund Economics'!B30/(1+'PME, DPI &amp; Sensitivity'!$B$5)^7)^(1/7)-1</f>
        <v>5.689257336205289E-2</v>
      </c>
      <c r="C35" s="15">
        <f>('Fund Economics'!C30/(1+'PME, DPI &amp; Sensitivity'!$B$5)^7)^(1/7)-1</f>
        <v>0.15436114179762117</v>
      </c>
      <c r="D35" s="15">
        <f>('Fund Economics'!D30/(1+'PME, DPI &amp; Sensitivity'!$B$5)^7)^(1/7)-1</f>
        <v>-0.2431141034397396</v>
      </c>
      <c r="E35" s="39">
        <f>('Fund Economics'!E30/(1+'PME, DPI &amp; Sensitivity'!$B$5)^7)^(1/7)-1</f>
        <v>0.15910485243802297</v>
      </c>
      <c r="F35" s="39">
        <f>('Fund Economics'!F30/(1+'PME, DPI &amp; Sensitivity'!$B$5)^7)^(1/7)-1</f>
        <v>8.6619823963329345E-2</v>
      </c>
    </row>
    <row r="36" spans="1:6" ht="15" customHeight="1" x14ac:dyDescent="0.2">
      <c r="A36" s="13" t="s">
        <v>467</v>
      </c>
      <c r="B36" s="36">
        <f>(1+'PME, DPI &amp; Sensitivity'!$B$6)^7</f>
        <v>2.352605480448168</v>
      </c>
      <c r="C36" s="36">
        <f>(1+'PME, DPI &amp; Sensitivity'!$B$6)^7</f>
        <v>2.352605480448168</v>
      </c>
      <c r="D36" s="36">
        <f>(1+'PME, DPI &amp; Sensitivity'!$B$6)^7</f>
        <v>2.352605480448168</v>
      </c>
      <c r="E36" s="37">
        <f>(1+'PME, DPI &amp; Sensitivity'!$B$6)^7</f>
        <v>2.352605480448168</v>
      </c>
      <c r="F36" s="37">
        <f>(1+'PME, DPI &amp; Sensitivity'!$B$6)^7</f>
        <v>2.352605480448168</v>
      </c>
    </row>
    <row r="37" spans="1:6" ht="15" customHeight="1" x14ac:dyDescent="0.2">
      <c r="A37" s="33" t="s">
        <v>468</v>
      </c>
      <c r="B37" s="35">
        <f>'Fund Economics'!B30/(1+'PME, DPI &amp; Sensitivity'!$B$6)^7</f>
        <v>1.1445962125223634</v>
      </c>
      <c r="C37" s="35">
        <f>'Fund Economics'!C30/(1+'PME, DPI &amp; Sensitivity'!$B$6)^7</f>
        <v>2.1224050714655762</v>
      </c>
      <c r="D37" s="35">
        <f>'Fund Economics'!D30/(1+'PME, DPI &amp; Sensitivity'!$B$6)^7</f>
        <v>0.11057304547504337</v>
      </c>
      <c r="E37" s="35">
        <f>'Fund Economics'!E30/(1+'PME, DPI &amp; Sensitivity'!$B$6)^7</f>
        <v>2.1842153197108183</v>
      </c>
      <c r="F37" s="35">
        <f>'Fund Economics'!F30/(1+'PME, DPI &amp; Sensitivity'!$B$6)^7</f>
        <v>1.3898878182793371</v>
      </c>
    </row>
    <row r="38" spans="1:6" ht="15" customHeight="1" x14ac:dyDescent="0.2">
      <c r="A38" s="13" t="s">
        <v>469</v>
      </c>
      <c r="B38" s="15">
        <f>('Fund Economics'!B30/(1+'PME, DPI &amp; Sensitivity'!$B$6)^7)^(1/7)-1</f>
        <v>1.9480446871360968E-2</v>
      </c>
      <c r="C38" s="15">
        <f>('Fund Economics'!C30/(1+'PME, DPI &amp; Sensitivity'!$B$6)^7)^(1/7)-1</f>
        <v>0.11349880049505057</v>
      </c>
      <c r="D38" s="15">
        <f>('Fund Economics'!D30/(1+'PME, DPI &amp; Sensitivity'!$B$6)^7)^(1/7)-1</f>
        <v>-0.26990652455691688</v>
      </c>
      <c r="E38" s="39">
        <f>('Fund Economics'!E30/(1+'PME, DPI &amp; Sensitivity'!$B$6)^7)^(1/7)-1</f>
        <v>0.11807459217473015</v>
      </c>
      <c r="F38" s="39">
        <f>('Fund Economics'!F30/(1+'PME, DPI &amp; Sensitivity'!$B$6)^7)^(1/7)-1</f>
        <v>4.8155405415955199E-2</v>
      </c>
    </row>
    <row r="39" spans="1:6" ht="15" customHeight="1" x14ac:dyDescent="0.2">
      <c r="A39" s="23" t="s">
        <v>470</v>
      </c>
      <c r="B39" s="36">
        <f>('Fund Economics'!B22/Assumptions!$B$5)/(1+'PME, DPI &amp; Sensitivity'!$B$5)^7</f>
        <v>1.7026567158557231</v>
      </c>
      <c r="C39" s="36">
        <f>('Fund Economics'!C22/Assumptions!$B$5)/(1+'PME, DPI &amp; Sensitivity'!$B$5)^7</f>
        <v>3.2756526477978496</v>
      </c>
      <c r="D39" s="36">
        <f>('Fund Economics'!D22/Assumptions!$B$5)/(1+'PME, DPI &amp; Sensitivity'!$B$5)^7</f>
        <v>0.21888741231952863</v>
      </c>
      <c r="E39" s="37">
        <f>('Fund Economics'!E22/Assumptions!$B$5)/(1+'PME, DPI &amp; Sensitivity'!$B$5)^7</f>
        <v>3.3750864667419513</v>
      </c>
      <c r="F39" s="37">
        <f>('Fund Economics'!F22/Assumptions!$B$5)/(1+'PME, DPI &amp; Sensitivity'!$B$5)^7</f>
        <v>2.1242047659437597</v>
      </c>
    </row>
    <row r="40" spans="1:6" ht="15" customHeight="1" x14ac:dyDescent="0.2">
      <c r="A40" s="23" t="s">
        <v>471</v>
      </c>
      <c r="B40" s="36">
        <f>('Fund Economics'!B22/Assumptions!$B$5)/(1+'PME, DPI &amp; Sensitivity'!$B$6)^7</f>
        <v>1.323011066569733</v>
      </c>
      <c r="C40" s="36">
        <f>('Fund Economics'!C22/Assumptions!$B$5)/(1+'PME, DPI &amp; Sensitivity'!$B$6)^7</f>
        <v>2.5452721402487493</v>
      </c>
      <c r="D40" s="36">
        <f>('Fund Economics'!D22/Assumptions!$B$5)/(1+'PME, DPI &amp; Sensitivity'!$B$6)^7</f>
        <v>0.17008153559950326</v>
      </c>
      <c r="E40" s="37">
        <f>('Fund Economics'!E22/Assumptions!$B$5)/(1+'PME, DPI &amp; Sensitivity'!$B$6)^7</f>
        <v>2.6225349505553015</v>
      </c>
      <c r="F40" s="37">
        <f>('Fund Economics'!F22/Assumptions!$B$5)/(1+'PME, DPI &amp; Sensitivity'!$B$6)^7</f>
        <v>1.6505654879417879</v>
      </c>
    </row>
    <row r="41" spans="1:6" ht="15" customHeight="1" x14ac:dyDescent="0.2">
      <c r="A41" s="1"/>
      <c r="B41" s="1"/>
      <c r="C41" s="1"/>
      <c r="D41" s="1"/>
      <c r="E41" s="1"/>
      <c r="F41" s="1"/>
    </row>
    <row r="42" spans="1:6" ht="15" customHeight="1" x14ac:dyDescent="0.2">
      <c r="A42" s="1"/>
      <c r="B42" s="1"/>
      <c r="C42" s="1"/>
      <c r="D42" s="1"/>
      <c r="E42" s="1"/>
      <c r="F42" s="1"/>
    </row>
    <row r="43" spans="1:6" ht="15" customHeight="1" x14ac:dyDescent="0.2">
      <c r="A43" s="28" t="s">
        <v>519</v>
      </c>
      <c r="B43" s="1"/>
      <c r="C43" s="1"/>
      <c r="D43" s="1"/>
      <c r="E43" s="1"/>
      <c r="F43" s="1"/>
    </row>
    <row r="44" spans="1:6" ht="15" customHeight="1" x14ac:dyDescent="0.2">
      <c r="A44" s="12" t="s">
        <v>2</v>
      </c>
      <c r="B44" s="12" t="s">
        <v>11</v>
      </c>
      <c r="C44" s="12" t="s">
        <v>12</v>
      </c>
      <c r="D44" s="12" t="s">
        <v>13</v>
      </c>
      <c r="E44" s="21" t="s">
        <v>14</v>
      </c>
      <c r="F44" s="21" t="s">
        <v>15</v>
      </c>
    </row>
    <row r="45" spans="1:6" ht="15" customHeight="1" x14ac:dyDescent="0.2">
      <c r="A45" s="13" t="s">
        <v>4</v>
      </c>
      <c r="B45" s="36">
        <f>'Fund Economics'!B46</f>
        <v>4.2684439945294228</v>
      </c>
      <c r="C45" s="36">
        <f>'Fund Economics'!C46</f>
        <v>10.464416004235042</v>
      </c>
      <c r="D45" s="36">
        <f>'Fund Economics'!D46</f>
        <v>9.5853415765215055E-2</v>
      </c>
      <c r="E45" s="37">
        <f>'Fund Economics'!E46</f>
        <v>11.169709659036627</v>
      </c>
      <c r="F45" s="37">
        <f>'Fund Economics'!F46</f>
        <v>6.2267382598172771</v>
      </c>
    </row>
    <row r="46" spans="1:6" ht="15" customHeight="1" x14ac:dyDescent="0.2">
      <c r="A46" s="13" t="s">
        <v>462</v>
      </c>
      <c r="B46" s="36">
        <f>'Fund Economics'!B44/Assumptions!$B$5</f>
        <v>4.2684439945294228</v>
      </c>
      <c r="C46" s="36">
        <f>'Fund Economics'!C44/Assumptions!$B$5</f>
        <v>10.464416004235042</v>
      </c>
      <c r="D46" s="36">
        <f>'Fund Economics'!D44/Assumptions!$B$5</f>
        <v>9.5853415765215055E-2</v>
      </c>
      <c r="E46" s="37">
        <f>'Fund Economics'!E44/Assumptions!$B$5</f>
        <v>11.169709659036627</v>
      </c>
      <c r="F46" s="37">
        <f>'Fund Economics'!F44/Assumptions!$B$5</f>
        <v>6.2267382598172771</v>
      </c>
    </row>
    <row r="47" spans="1:6" ht="15" customHeight="1" x14ac:dyDescent="0.2">
      <c r="A47" s="13" t="s">
        <v>463</v>
      </c>
      <c r="B47" s="36">
        <f>'Fund Economics'!B38/Assumptions!$B$5</f>
        <v>5.0458237438435809</v>
      </c>
      <c r="C47" s="36">
        <f>'Fund Economics'!C38/Assumptions!$B$5</f>
        <v>12.790788755975607</v>
      </c>
      <c r="D47" s="36">
        <f>'Fund Economics'!D38/Assumptions!$B$5</f>
        <v>0.29585341576521507</v>
      </c>
      <c r="E47" s="37">
        <f>'Fund Economics'!E38/Assumptions!$B$5</f>
        <v>13.672405824477588</v>
      </c>
      <c r="F47" s="37">
        <f>'Fund Economics'!F38/Assumptions!$B$5</f>
        <v>7.5635567597599351</v>
      </c>
    </row>
    <row r="48" spans="1:6" ht="15" customHeight="1" x14ac:dyDescent="0.2">
      <c r="A48" s="13" t="s">
        <v>3</v>
      </c>
      <c r="B48" s="15">
        <f>'Fund Economics'!B48</f>
        <v>0.15618400987328629</v>
      </c>
      <c r="C48" s="15">
        <f>'Fund Economics'!C48</f>
        <v>0.26465335248213018</v>
      </c>
      <c r="D48" s="15">
        <f>'Fund Economics'!D48</f>
        <v>-0.20902863853914744</v>
      </c>
      <c r="E48" s="39">
        <f>'Fund Economics'!E48</f>
        <v>0.27292902256243501</v>
      </c>
      <c r="F48" s="39">
        <f>'Fund Economics'!F48</f>
        <v>0.20067663957019932</v>
      </c>
    </row>
    <row r="49" spans="1:6" ht="15" customHeight="1" x14ac:dyDescent="0.2">
      <c r="A49" s="13" t="s">
        <v>464</v>
      </c>
      <c r="B49" s="36">
        <f>(1+'PME, DPI &amp; Sensitivity'!$B$5)^10</f>
        <v>2.3673636745921187</v>
      </c>
      <c r="C49" s="36">
        <f>(1+'PME, DPI &amp; Sensitivity'!$B$5)^10</f>
        <v>2.3673636745921187</v>
      </c>
      <c r="D49" s="36">
        <f>(1+'PME, DPI &amp; Sensitivity'!$B$5)^10</f>
        <v>2.3673636745921187</v>
      </c>
      <c r="E49" s="37">
        <f>(1+'PME, DPI &amp; Sensitivity'!$B$5)^10</f>
        <v>2.3673636745921187</v>
      </c>
      <c r="F49" s="37">
        <f>(1+'PME, DPI &amp; Sensitivity'!$B$5)^10</f>
        <v>2.3673636745921187</v>
      </c>
    </row>
    <row r="50" spans="1:6" ht="15" customHeight="1" x14ac:dyDescent="0.2">
      <c r="A50" s="33" t="s">
        <v>465</v>
      </c>
      <c r="B50" s="35">
        <f>'Fund Economics'!B46/(1+'PME, DPI &amp; Sensitivity'!$B$5)^10</f>
        <v>1.803036871918231</v>
      </c>
      <c r="C50" s="35">
        <f>'Fund Economics'!C46/(1+'PME, DPI &amp; Sensitivity'!$B$5)^10</f>
        <v>4.4202824080410847</v>
      </c>
      <c r="D50" s="35">
        <f>'Fund Economics'!D46/(1+'PME, DPI &amp; Sensitivity'!$B$5)^10</f>
        <v>4.0489518697092441E-2</v>
      </c>
      <c r="E50" s="35">
        <f>'Fund Economics'!E46/(1+'PME, DPI &amp; Sensitivity'!$B$5)^10</f>
        <v>4.7182060698642321</v>
      </c>
      <c r="F50" s="35">
        <f>'Fund Economics'!F46/(1+'PME, DPI &amp; Sensitivity'!$B$5)^10</f>
        <v>2.6302415326576738</v>
      </c>
    </row>
    <row r="51" spans="1:6" ht="15" customHeight="1" x14ac:dyDescent="0.2">
      <c r="A51" s="13" t="s">
        <v>466</v>
      </c>
      <c r="B51" s="15">
        <f>('Fund Economics'!B46/(1+'PME, DPI &amp; Sensitivity'!$B$5)^10)^(1/10)-1</f>
        <v>6.0719275113106708E-2</v>
      </c>
      <c r="C51" s="15">
        <f>('Fund Economics'!C46/(1+'PME, DPI &amp; Sensitivity'!$B$5)^10)^(1/10)-1</f>
        <v>0.16023243346984417</v>
      </c>
      <c r="D51" s="15">
        <f>('Fund Economics'!D46/(1+'PME, DPI &amp; Sensitivity'!$B$5)^10)^(1/10)-1</f>
        <v>-0.27433820049463076</v>
      </c>
      <c r="E51" s="39">
        <f>('Fund Economics'!E46/(1+'PME, DPI &amp; Sensitivity'!$B$5)^10)^(1/10)-1</f>
        <v>0.16782479134168349</v>
      </c>
      <c r="F51" s="39">
        <f>('Fund Economics'!F46/(1+'PME, DPI &amp; Sensitivity'!$B$5)^10)^(1/10)-1</f>
        <v>0.10153820144054992</v>
      </c>
    </row>
    <row r="52" spans="1:6" ht="15" customHeight="1" x14ac:dyDescent="0.2">
      <c r="A52" s="13" t="s">
        <v>467</v>
      </c>
      <c r="B52" s="36">
        <f>(1+'PME, DPI &amp; Sensitivity'!$B$6)^10</f>
        <v>3.3945673899222193</v>
      </c>
      <c r="C52" s="36">
        <f>(1+'PME, DPI &amp; Sensitivity'!$B$6)^10</f>
        <v>3.3945673899222193</v>
      </c>
      <c r="D52" s="36">
        <f>(1+'PME, DPI &amp; Sensitivity'!$B$6)^10</f>
        <v>3.3945673899222193</v>
      </c>
      <c r="E52" s="37">
        <f>(1+'PME, DPI &amp; Sensitivity'!$B$6)^10</f>
        <v>3.3945673899222193</v>
      </c>
      <c r="F52" s="37">
        <f>(1+'PME, DPI &amp; Sensitivity'!$B$6)^10</f>
        <v>3.3945673899222193</v>
      </c>
    </row>
    <row r="53" spans="1:6" ht="15" customHeight="1" x14ac:dyDescent="0.2">
      <c r="A53" s="33" t="s">
        <v>468</v>
      </c>
      <c r="B53" s="35">
        <f>'Fund Economics'!B46/(1+'PME, DPI &amp; Sensitivity'!$B$6)^10</f>
        <v>1.2574338654173034</v>
      </c>
      <c r="C53" s="35">
        <f>'Fund Economics'!C46/(1+'PME, DPI &amp; Sensitivity'!$B$6)^10</f>
        <v>3.082695024792192</v>
      </c>
      <c r="D53" s="35">
        <f>'Fund Economics'!D46/(1+'PME, DPI &amp; Sensitivity'!$B$6)^10</f>
        <v>2.823729941252142E-2</v>
      </c>
      <c r="E53" s="35">
        <f>'Fund Economics'!E46/(1+'PME, DPI &amp; Sensitivity'!$B$6)^10</f>
        <v>3.2904663175040287</v>
      </c>
      <c r="F53" s="35">
        <f>'Fund Economics'!F46/(1+'PME, DPI &amp; Sensitivity'!$B$6)^10</f>
        <v>1.8343245381733171</v>
      </c>
    </row>
    <row r="54" spans="1:6" ht="15" customHeight="1" x14ac:dyDescent="0.2">
      <c r="A54" s="13" t="s">
        <v>469</v>
      </c>
      <c r="B54" s="15">
        <f>('Fund Economics'!B46/(1+'PME, DPI &amp; Sensitivity'!$B$6)^10)^(1/10)-1</f>
        <v>2.3171690153350966E-2</v>
      </c>
      <c r="C54" s="15">
        <f>('Fund Economics'!C46/(1+'PME, DPI &amp; Sensitivity'!$B$6)^10)^(1/10)-1</f>
        <v>0.11916225883374376</v>
      </c>
      <c r="D54" s="15">
        <f>('Fund Economics'!D46/(1+'PME, DPI &amp; Sensitivity'!$B$6)^10)^(1/10)-1</f>
        <v>-0.30002534383995338</v>
      </c>
      <c r="E54" s="39">
        <f>('Fund Economics'!E46/(1+'PME, DPI &amp; Sensitivity'!$B$6)^10)^(1/10)-1</f>
        <v>0.12648586067472145</v>
      </c>
      <c r="F54" s="39">
        <f>('Fund Economics'!F46/(1+'PME, DPI &amp; Sensitivity'!$B$6)^10)^(1/10)-1</f>
        <v>6.2545698734689736E-2</v>
      </c>
    </row>
    <row r="55" spans="1:6" ht="15" customHeight="1" x14ac:dyDescent="0.2">
      <c r="A55" s="23" t="s">
        <v>470</v>
      </c>
      <c r="B55" s="36">
        <f>('Fund Economics'!B38/Assumptions!$B$5)/(1+'PME, DPI &amp; Sensitivity'!$B$5)^10</f>
        <v>2.1314104790903929</v>
      </c>
      <c r="C55" s="36">
        <f>('Fund Economics'!C38/Assumptions!$B$5)/(1+'PME, DPI &amp; Sensitivity'!$B$5)^10</f>
        <v>5.4029673992439609</v>
      </c>
      <c r="D55" s="36">
        <f>('Fund Economics'!D38/Assumptions!$B$5)/(1+'PME, DPI &amp; Sensitivity'!$B$5)^10</f>
        <v>0.12497168007623023</v>
      </c>
      <c r="E55" s="37">
        <f>('Fund Economics'!E38/Assumptions!$B$5)/(1+'PME, DPI &amp; Sensitivity'!$B$5)^10</f>
        <v>5.7753719765228952</v>
      </c>
      <c r="F55" s="37">
        <f>('Fund Economics'!F38/Assumptions!$B$5)/(1+'PME, DPI &amp; Sensitivity'!$B$5)^10</f>
        <v>3.1949281138915366</v>
      </c>
    </row>
    <row r="56" spans="1:6" ht="15" customHeight="1" x14ac:dyDescent="0.2">
      <c r="A56" s="23" t="s">
        <v>471</v>
      </c>
      <c r="B56" s="36">
        <f>('Fund Economics'!B38/Assumptions!$B$5)/(1+'PME, DPI &amp; Sensitivity'!$B$6)^10</f>
        <v>1.4864408816344628</v>
      </c>
      <c r="C56" s="36">
        <f>('Fund Economics'!C38/Assumptions!$B$5)/(1+'PME, DPI &amp; Sensitivity'!$B$6)^10</f>
        <v>3.7680173308530738</v>
      </c>
      <c r="D56" s="36">
        <f>('Fund Economics'!D38/Assumptions!$B$5)/(1+'PME, DPI &amp; Sensitivity'!$B$6)^10</f>
        <v>8.7154969037746527E-2</v>
      </c>
      <c r="E56" s="37">
        <f>('Fund Economics'!E38/Assumptions!$B$5)/(1+'PME, DPI &amp; Sensitivity'!$B$6)^10</f>
        <v>4.0277314467428695</v>
      </c>
      <c r="F56" s="37">
        <f>('Fund Economics'!F38/Assumptions!$B$5)/(1+'PME, DPI &amp; Sensitivity'!$B$6)^10</f>
        <v>2.2281356918158699</v>
      </c>
    </row>
    <row r="57" spans="1:6" ht="15" customHeight="1" x14ac:dyDescent="0.2">
      <c r="A57" s="1"/>
      <c r="B57" s="1"/>
      <c r="C57" s="1"/>
      <c r="D57" s="1"/>
      <c r="E57" s="1"/>
      <c r="F57" s="1"/>
    </row>
    <row r="58" spans="1:6" ht="15" customHeight="1" x14ac:dyDescent="0.2">
      <c r="A58" s="1"/>
      <c r="B58" s="1"/>
      <c r="C58" s="1"/>
      <c r="D58" s="1"/>
      <c r="E58" s="1"/>
      <c r="F58" s="1"/>
    </row>
    <row r="59" spans="1:6" ht="15" customHeight="1" x14ac:dyDescent="0.2">
      <c r="A59" s="85" t="s">
        <v>520</v>
      </c>
      <c r="B59" s="1"/>
      <c r="C59" s="1"/>
      <c r="D59" s="1"/>
      <c r="E59" s="1"/>
      <c r="F59" s="1"/>
    </row>
    <row r="60" spans="1:6" ht="25.5" customHeight="1" x14ac:dyDescent="0.2">
      <c r="A60" s="179" t="s">
        <v>521</v>
      </c>
      <c r="B60" s="177"/>
      <c r="C60" s="177"/>
      <c r="D60" s="177"/>
      <c r="E60" s="177"/>
      <c r="F60" s="177"/>
    </row>
    <row r="61" spans="1:6" ht="27.75" customHeight="1" x14ac:dyDescent="0.2">
      <c r="A61" s="21" t="s">
        <v>472</v>
      </c>
      <c r="B61" s="12" t="s">
        <v>473</v>
      </c>
      <c r="C61" s="12" t="s">
        <v>474</v>
      </c>
      <c r="D61" s="12" t="s">
        <v>475</v>
      </c>
      <c r="E61" s="12" t="s">
        <v>476</v>
      </c>
      <c r="F61" s="22"/>
    </row>
    <row r="62" spans="1:6" ht="15" customHeight="1" x14ac:dyDescent="0.2">
      <c r="A62" s="27">
        <v>0</v>
      </c>
      <c r="B62" s="15">
        <f>(((1-$A62)*('Defense Supercycle'!$B$17*'Fund Economics'!B12+'Defense Supercycle'!$B$18*'Fund Economics'!C12+'Defense Supercycle'!$B$19*'Fund Economics'!D12)/('Defense Supercycle'!$B$17+'Defense Supercycle'!$B$18+'Defense Supercycle'!$B$19)+$A62*'Fund Economics'!E12)/Assumptions!$B$5)^(1/5)-1</f>
        <v>0.15335889778711986</v>
      </c>
      <c r="C62" s="15">
        <f>(((1-$A62)*('Defense Supercycle'!$B$17*'Fund Economics'!B28+'Defense Supercycle'!$B$18*'Fund Economics'!C28+'Defense Supercycle'!$B$19*'Fund Economics'!D28)/('Defense Supercycle'!$B$17+'Defense Supercycle'!$B$18+'Defense Supercycle'!$B$19)+$A62*'Fund Economics'!E28)/Assumptions!$B$5)^(1/7)-1</f>
        <v>0.16656368731126281</v>
      </c>
      <c r="D62" s="15">
        <f>(((1-$A62)*('Defense Supercycle'!$B$17*'Fund Economics'!B44+'Defense Supercycle'!$B$18*'Fund Economics'!C44+'Defense Supercycle'!$B$19*'Fund Economics'!D44)/('Defense Supercycle'!$B$17+'Defense Supercycle'!$B$18+'Defense Supercycle'!$B$19)+$A62*'Fund Economics'!E44)/Assumptions!$B$5)^(1/10)-1</f>
        <v>0.18269151258868788</v>
      </c>
      <c r="E62" s="42" t="s">
        <v>477</v>
      </c>
      <c r="F62" s="86"/>
    </row>
    <row r="63" spans="1:6" ht="15" customHeight="1" x14ac:dyDescent="0.2">
      <c r="A63" s="27">
        <v>0.05</v>
      </c>
      <c r="B63" s="15">
        <f>(((1-$A63)*('Defense Supercycle'!$B$17*'Fund Economics'!B12+'Defense Supercycle'!$B$18*'Fund Economics'!C12+'Defense Supercycle'!$B$19*'Fund Economics'!D12)/('Defense Supercycle'!$B$17+'Defense Supercycle'!$B$18+'Defense Supercycle'!$B$19)+$A63*'Fund Economics'!E12)/Assumptions!$B$5)^(1/5)-1</f>
        <v>0.15941114946244617</v>
      </c>
      <c r="C63" s="15">
        <f>(((1-$A63)*('Defense Supercycle'!$B$17*'Fund Economics'!B28+'Defense Supercycle'!$B$18*'Fund Economics'!C28+'Defense Supercycle'!$B$19*'Fund Economics'!D28)/('Defense Supercycle'!$B$17+'Defense Supercycle'!$B$18+'Defense Supercycle'!$B$19)+$A63*'Fund Economics'!E28)/Assumptions!$B$5)^(1/7)-1</f>
        <v>0.17269699928347948</v>
      </c>
      <c r="D63" s="15">
        <f>(((1-$A63)*('Defense Supercycle'!$B$17*'Fund Economics'!B44+'Defense Supercycle'!$B$18*'Fund Economics'!C44+'Defense Supercycle'!$B$19*'Fund Economics'!D44)/('Defense Supercycle'!$B$17+'Defense Supercycle'!$B$18+'Defense Supercycle'!$B$19)+$A63*'Fund Economics'!E44)/Assumptions!$B$5)^(1/10)-1</f>
        <v>0.1889621443732743</v>
      </c>
      <c r="E63" s="42" t="str">
        <f>IF(ABS($A63-'Defense Supercycle'!$B$20)&lt;0.0001,"current base case","")</f>
        <v/>
      </c>
      <c r="F63" s="86"/>
    </row>
    <row r="64" spans="1:6" ht="15" customHeight="1" x14ac:dyDescent="0.2">
      <c r="A64" s="27">
        <v>0.1</v>
      </c>
      <c r="B64" s="15">
        <f>(((1-$A64)*('Defense Supercycle'!$B$17*'Fund Economics'!B12+'Defense Supercycle'!$B$18*'Fund Economics'!C12+'Defense Supercycle'!$B$19*'Fund Economics'!D12)/('Defense Supercycle'!$B$17+'Defense Supercycle'!$B$18+'Defense Supercycle'!$B$19)+$A64*'Fund Economics'!E12)/Assumptions!$B$5)^(1/5)-1</f>
        <v>0.16533960417580174</v>
      </c>
      <c r="C64" s="15">
        <f>(((1-$A64)*('Defense Supercycle'!$B$17*'Fund Economics'!B28+'Defense Supercycle'!$B$18*'Fund Economics'!C28+'Defense Supercycle'!$B$19*'Fund Economics'!D28)/('Defense Supercycle'!$B$17+'Defense Supercycle'!$B$18+'Defense Supercycle'!$B$19)+$A64*'Fund Economics'!E28)/Assumptions!$B$5)^(1/7)-1</f>
        <v>0.17864367812892756</v>
      </c>
      <c r="D64" s="15">
        <f>(((1-$A64)*('Defense Supercycle'!$B$17*'Fund Economics'!B44+'Defense Supercycle'!$B$18*'Fund Economics'!C44+'Defense Supercycle'!$B$19*'Fund Economics'!D44)/('Defense Supercycle'!$B$17+'Defense Supercycle'!$B$18+'Defense Supercycle'!$B$19)+$A64*'Fund Economics'!E44)/Assumptions!$B$5)^(1/10)-1</f>
        <v>0.19494855399670952</v>
      </c>
      <c r="E64" s="42" t="str">
        <f>IF(ABS($A64-'Defense Supercycle'!$B$20)&lt;0.0001,"current base case","")</f>
        <v/>
      </c>
      <c r="F64" s="86"/>
    </row>
    <row r="65" spans="1:6" ht="15" customHeight="1" x14ac:dyDescent="0.2">
      <c r="A65" s="87">
        <v>0.15</v>
      </c>
      <c r="B65" s="88">
        <f>(((1-$A65)*('Defense Supercycle'!$B$17*'Fund Economics'!B12+'Defense Supercycle'!$B$18*'Fund Economics'!C12+'Defense Supercycle'!$B$19*'Fund Economics'!D12)/('Defense Supercycle'!$B$17+'Defense Supercycle'!$B$18+'Defense Supercycle'!$B$19)+$A65*'Fund Economics'!E12)/Assumptions!$B$5)^(1/5)-1</f>
        <v>0.1711498177436066</v>
      </c>
      <c r="C65" s="88">
        <f>(((1-$A65)*('Defense Supercycle'!$B$17*'Fund Economics'!B28+'Defense Supercycle'!$B$18*'Fund Economics'!C28+'Defense Supercycle'!$B$19*'Fund Economics'!D28)/('Defense Supercycle'!$B$17+'Defense Supercycle'!$B$18+'Defense Supercycle'!$B$19)+$A65*'Fund Economics'!E28)/Assumptions!$B$5)^(1/7)-1</f>
        <v>0.184415608120029</v>
      </c>
      <c r="D65" s="88">
        <f>(((1-$A65)*('Defense Supercycle'!$B$17*'Fund Economics'!B44+'Defense Supercycle'!$B$18*'Fund Economics'!C44+'Defense Supercycle'!$B$19*'Fund Economics'!D44)/('Defense Supercycle'!$B$17+'Defense Supercycle'!$B$18+'Defense Supercycle'!$B$19)+$A65*'Fund Economics'!E44)/Assumptions!$B$5)^(1/10)-1</f>
        <v>0.20067663957019932</v>
      </c>
      <c r="E65" s="42" t="str">
        <f>IF(ABS($A65-'Defense Supercycle'!$B$20)&lt;0.0001,"current base case","")</f>
        <v>current base case</v>
      </c>
      <c r="F65" s="86"/>
    </row>
    <row r="66" spans="1:6" ht="15" customHeight="1" x14ac:dyDescent="0.2">
      <c r="A66" s="27">
        <v>0.2</v>
      </c>
      <c r="B66" s="15">
        <f>(((1-$A66)*('Defense Supercycle'!$B$17*'Fund Economics'!B12+'Defense Supercycle'!$B$18*'Fund Economics'!C12+'Defense Supercycle'!$B$19*'Fund Economics'!D12)/('Defense Supercycle'!$B$17+'Defense Supercycle'!$B$18+'Defense Supercycle'!$B$19)+$A66*'Fund Economics'!E12)/Assumptions!$B$5)^(1/5)-1</f>
        <v>0.17684696753817031</v>
      </c>
      <c r="C66" s="15">
        <f>(((1-$A66)*('Defense Supercycle'!$B$17*'Fund Economics'!B28+'Defense Supercycle'!$B$18*'Fund Economics'!C28+'Defense Supercycle'!$B$19*'Fund Economics'!D28)/('Defense Supercycle'!$B$17+'Defense Supercycle'!$B$18+'Defense Supercycle'!$B$19)+$A66*'Fund Economics'!E28)/Assumptions!$B$5)^(1/7)-1</f>
        <v>0.19002354776568176</v>
      </c>
      <c r="D66" s="15">
        <f>(((1-$A66)*('Defense Supercycle'!$B$17*'Fund Economics'!B44+'Defense Supercycle'!$B$18*'Fund Economics'!C44+'Defense Supercycle'!$B$19*'Fund Economics'!D44)/('Defense Supercycle'!$B$17+'Defense Supercycle'!$B$18+'Defense Supercycle'!$B$19)+$A66*'Fund Economics'!E44)/Assumptions!$B$5)^(1/10)-1</f>
        <v>0.20616886155027969</v>
      </c>
      <c r="E66" s="42" t="str">
        <f>IF(ABS($A66-'Defense Supercycle'!$B$20)&lt;0.0001,"current base case","")</f>
        <v/>
      </c>
      <c r="F66" s="86"/>
    </row>
    <row r="67" spans="1:6" ht="15" customHeight="1" x14ac:dyDescent="0.2">
      <c r="A67" s="27">
        <v>0.25</v>
      </c>
      <c r="B67" s="15">
        <f>(((1-$A67)*('Defense Supercycle'!$B$17*'Fund Economics'!B12+'Defense Supercycle'!$B$18*'Fund Economics'!C12+'Defense Supercycle'!$B$19*'Fund Economics'!D12)/('Defense Supercycle'!$B$17+'Defense Supercycle'!$B$18+'Defense Supercycle'!$B$19)+$A67*'Fund Economics'!E12)/Assumptions!$B$5)^(1/5)-1</f>
        <v>0.18243588664367949</v>
      </c>
      <c r="C67" s="15">
        <f>(((1-$A67)*('Defense Supercycle'!$B$17*'Fund Economics'!B28+'Defense Supercycle'!$B$18*'Fund Economics'!C28+'Defense Supercycle'!$B$19*'Fund Economics'!D28)/('Defense Supercycle'!$B$17+'Defense Supercycle'!$B$18+'Defense Supercycle'!$B$19)+$A67*'Fund Economics'!E28)/Assumptions!$B$5)^(1/7)-1</f>
        <v>0.195477269169543</v>
      </c>
      <c r="D67" s="15">
        <f>(((1-$A67)*('Defense Supercycle'!$B$17*'Fund Economics'!B44+'Defense Supercycle'!$B$18*'Fund Economics'!C44+'Defense Supercycle'!$B$19*'Fund Economics'!D44)/('Defense Supercycle'!$B$17+'Defense Supercycle'!$B$18+'Defense Supercycle'!$B$19)+$A67*'Fund Economics'!E44)/Assumptions!$B$5)^(1/10)-1</f>
        <v>0.21144482963633693</v>
      </c>
      <c r="E67" s="42" t="str">
        <f>IF(ABS($A67-'Defense Supercycle'!$B$20)&lt;0.0001,"current base case","")</f>
        <v/>
      </c>
      <c r="F67" s="86"/>
    </row>
    <row r="68" spans="1:6" ht="15" customHeight="1" x14ac:dyDescent="0.2">
      <c r="A68" s="27">
        <v>0.3</v>
      </c>
      <c r="B68" s="15">
        <f>(((1-$A68)*('Defense Supercycle'!$B$17*'Fund Economics'!B12+'Defense Supercycle'!$B$18*'Fund Economics'!C12+'Defense Supercycle'!$B$19*'Fund Economics'!D12)/('Defense Supercycle'!$B$17+'Defense Supercycle'!$B$18+'Defense Supercycle'!$B$19)+$A68*'Fund Economics'!E12)/Assumptions!$B$5)^(1/5)-1</f>
        <v>0.18792109420837977</v>
      </c>
      <c r="C68" s="15">
        <f>(((1-$A68)*('Defense Supercycle'!$B$17*'Fund Economics'!B28+'Defense Supercycle'!$B$18*'Fund Economics'!C28+'Defense Supercycle'!$B$19*'Fund Economics'!D28)/('Defense Supercycle'!$B$17+'Defense Supercycle'!$B$18+'Defense Supercycle'!$B$19)+$A68*'Fund Economics'!E28)/Assumptions!$B$5)^(1/7)-1</f>
        <v>0.20078567633820521</v>
      </c>
      <c r="D68" s="15">
        <f>(((1-$A68)*('Defense Supercycle'!$B$17*'Fund Economics'!B44+'Defense Supercycle'!$B$18*'Fund Economics'!C44+'Defense Supercycle'!$B$19*'Fund Economics'!D44)/('Defense Supercycle'!$B$17+'Defense Supercycle'!$B$18+'Defense Supercycle'!$B$19)+$A68*'Fund Economics'!E44)/Assumptions!$B$5)^(1/10)-1</f>
        <v>0.21652176903785647</v>
      </c>
      <c r="E68" s="42" t="str">
        <f>IF(ABS($A68-'Defense Supercycle'!$B$20)&lt;0.0001,"current base case","")</f>
        <v/>
      </c>
      <c r="F68" s="86"/>
    </row>
    <row r="69" spans="1:6" ht="15" customHeight="1" x14ac:dyDescent="0.2">
      <c r="A69" s="27">
        <v>0.4</v>
      </c>
      <c r="B69" s="15">
        <f>(((1-$A69)*('Defense Supercycle'!$B$17*'Fund Economics'!B12+'Defense Supercycle'!$B$18*'Fund Economics'!C12+'Defense Supercycle'!$B$19*'Fund Economics'!D12)/('Defense Supercycle'!$B$17+'Defense Supercycle'!$B$18+'Defense Supercycle'!$B$19)+$A69*'Fund Economics'!E12)/Assumptions!$B$5)^(1/5)-1</f>
        <v>0.19859704104191289</v>
      </c>
      <c r="C69" s="15">
        <f>(((1-$A69)*('Defense Supercycle'!$B$17*'Fund Economics'!B28+'Defense Supercycle'!$B$18*'Fund Economics'!C28+'Defense Supercycle'!$B$19*'Fund Economics'!D28)/('Defense Supercycle'!$B$17+'Defense Supercycle'!$B$18+'Defense Supercycle'!$B$19)+$A69*'Fund Economics'!E28)/Assumptions!$B$5)^(1/7)-1</f>
        <v>0.2109984150139752</v>
      </c>
      <c r="D69" s="15">
        <f>(((1-$A69)*('Defense Supercycle'!$B$17*'Fund Economics'!B44+'Defense Supercycle'!$B$18*'Fund Economics'!C44+'Defense Supercycle'!$B$19*'Fund Economics'!D44)/('Defense Supercycle'!$B$17+'Defense Supercycle'!$B$18+'Defense Supercycle'!$B$19)+$A69*'Fund Economics'!E44)/Assumptions!$B$5)^(1/10)-1</f>
        <v>0.22613771496596824</v>
      </c>
      <c r="E69" s="42" t="str">
        <f>IF(ABS($A69-'Defense Supercycle'!$B$20)&lt;0.0001,"current base case","")</f>
        <v/>
      </c>
      <c r="F69" s="86"/>
    </row>
    <row r="72" spans="1:6" x14ac:dyDescent="0.2">
      <c r="A72" s="138" t="s">
        <v>522</v>
      </c>
      <c r="B72" s="138"/>
      <c r="C72" s="138"/>
      <c r="D72" s="138"/>
      <c r="E72" s="138"/>
      <c r="F72" s="138"/>
    </row>
    <row r="73" spans="1:6" x14ac:dyDescent="0.2">
      <c r="A73" s="147" t="s">
        <v>2</v>
      </c>
      <c r="B73" s="147" t="s">
        <v>523</v>
      </c>
      <c r="C73" s="147" t="s">
        <v>524</v>
      </c>
      <c r="D73" s="147" t="s">
        <v>525</v>
      </c>
    </row>
    <row r="74" spans="1:6" x14ac:dyDescent="0.2">
      <c r="A74" s="141" t="s">
        <v>4</v>
      </c>
      <c r="B74" s="161">
        <f>'Holdco Summary'!F38</f>
        <v>2.2818242131652275</v>
      </c>
      <c r="C74" s="161">
        <f>'Holdco Summary'!F59</f>
        <v>3.4649937071415819</v>
      </c>
      <c r="D74" s="161">
        <f>'Holdco Summary'!F80</f>
        <v>6.9528996262886498</v>
      </c>
    </row>
    <row r="75" spans="1:6" x14ac:dyDescent="0.2">
      <c r="A75" s="141" t="s">
        <v>115</v>
      </c>
      <c r="B75" s="161">
        <f>'Holdco Summary'!F39</f>
        <v>2.2818242131652275</v>
      </c>
      <c r="C75" s="161">
        <f>'Holdco Summary'!F60</f>
        <v>3.4649937071415819</v>
      </c>
      <c r="D75" s="161">
        <f>'Holdco Summary'!F81</f>
        <v>6.9528996262886498</v>
      </c>
    </row>
    <row r="76" spans="1:6" x14ac:dyDescent="0.2">
      <c r="A76" s="141" t="s">
        <v>3</v>
      </c>
      <c r="B76" s="149">
        <f>'Holdco Summary'!F40</f>
        <v>0.17938727284114453</v>
      </c>
      <c r="C76" s="149">
        <f>'Holdco Summary'!F61</f>
        <v>0.19426402458728487</v>
      </c>
      <c r="D76" s="149">
        <f>'Holdco Summary'!F82</f>
        <v>0.21399415564936652</v>
      </c>
    </row>
    <row r="77" spans="1:6" x14ac:dyDescent="0.2">
      <c r="A77" s="163" t="s">
        <v>465</v>
      </c>
      <c r="B77" s="164">
        <f>'Holdco Summary'!F41</f>
        <v>1.4830291741516073</v>
      </c>
      <c r="C77" s="164">
        <f>'Holdco Summary'!F62</f>
        <v>1.8954702159730417</v>
      </c>
      <c r="D77" s="164">
        <f>'Holdco Summary'!F83</f>
        <v>2.9369799414053226</v>
      </c>
    </row>
    <row r="78" spans="1:6" x14ac:dyDescent="0.2">
      <c r="A78" s="163" t="s">
        <v>468</v>
      </c>
      <c r="B78" s="164">
        <f>'Holdco Summary'!F42</f>
        <v>1.238482763899551</v>
      </c>
      <c r="C78" s="164">
        <f>'Holdco Summary'!F63</f>
        <v>1.4728324557339318</v>
      </c>
      <c r="D78" s="164">
        <f>'Holdco Summary'!F84</f>
        <v>2.0482432155951287</v>
      </c>
    </row>
    <row r="79" spans="1:6" x14ac:dyDescent="0.2">
      <c r="A79" s="163" t="s">
        <v>526</v>
      </c>
      <c r="B79" s="164">
        <f>'Holdco Summary'!F43</f>
        <v>1.1344699128260769</v>
      </c>
      <c r="C79" s="164">
        <f>'Holdco Summary'!F64</f>
        <v>1.3026194776149498</v>
      </c>
      <c r="D79" s="164">
        <f>'Holdco Summary'!F85</f>
        <v>1.7186504508189908</v>
      </c>
    </row>
    <row r="80" spans="1:6" x14ac:dyDescent="0.2">
      <c r="A80" s="141" t="s">
        <v>119</v>
      </c>
      <c r="B80" s="150">
        <f>'Holdco Summary'!F44</f>
        <v>2.5554150296647427E-2</v>
      </c>
      <c r="C80" s="150">
        <f>'Holdco Summary'!F65</f>
        <v>3.8490456162856512E-2</v>
      </c>
      <c r="D80" s="150">
        <f>'Holdco Summary'!F86</f>
        <v>5.5647091869014398E-2</v>
      </c>
    </row>
    <row r="81" spans="1:6" x14ac:dyDescent="0.2">
      <c r="A81" s="142" t="s">
        <v>466</v>
      </c>
      <c r="B81" s="151">
        <f>B77^(1/5)-1</f>
        <v>8.2006672331325081E-2</v>
      </c>
      <c r="C81" s="151">
        <f>C77^(1/7)-1</f>
        <v>9.565506842870164E-2</v>
      </c>
      <c r="D81" s="151">
        <f>D77^(1/10)-1</f>
        <v>0.11375610610033626</v>
      </c>
    </row>
    <row r="82" spans="1:6" x14ac:dyDescent="0.2">
      <c r="A82" s="140" t="s">
        <v>527</v>
      </c>
    </row>
    <row r="84" spans="1:6" x14ac:dyDescent="0.2">
      <c r="A84" s="139" t="s">
        <v>528</v>
      </c>
      <c r="B84" s="139"/>
      <c r="C84" s="139"/>
      <c r="D84" s="139"/>
      <c r="E84" s="139"/>
      <c r="F84" s="139"/>
    </row>
    <row r="85" spans="1:6" x14ac:dyDescent="0.2">
      <c r="A85" s="140" t="s">
        <v>529</v>
      </c>
    </row>
    <row r="86" spans="1:6" x14ac:dyDescent="0.2">
      <c r="A86" s="147" t="s">
        <v>472</v>
      </c>
      <c r="B86" s="147" t="s">
        <v>473</v>
      </c>
      <c r="C86" s="147" t="s">
        <v>474</v>
      </c>
      <c r="D86" s="147" t="s">
        <v>475</v>
      </c>
      <c r="E86" s="147" t="s">
        <v>476</v>
      </c>
    </row>
    <row r="87" spans="1:6" x14ac:dyDescent="0.2">
      <c r="A87" s="143">
        <v>0</v>
      </c>
      <c r="B87" s="152">
        <f>(((1-$A87)*('Defense Supercycle'!$B$17*'Holdco Summary'!B37+'Defense Supercycle'!$B$18*'Holdco Summary'!C37+'Defense Supercycle'!$B$19*'Holdco Summary'!D37)/('Defense Supercycle'!$B$17+'Defense Supercycle'!$B$18+'Defense Supercycle'!$B$19)+$A87*'Holdco Summary'!E37)/'Holdco Summary'!$B$9)^(1/5)-1</f>
        <v>0.17293188612228838</v>
      </c>
      <c r="C87" s="152">
        <f>(((1-$A87)*('Defense Supercycle'!$B$17*'Holdco Summary'!B58+'Defense Supercycle'!$B$18*'Holdco Summary'!C58+'Defense Supercycle'!$B$19*'Holdco Summary'!D58)/('Defense Supercycle'!$B$17+'Defense Supercycle'!$B$18+'Defense Supercycle'!$B$19)+$A87*'Holdco Summary'!E58)/'Holdco Summary'!$B$9)^(1/7)-1</f>
        <v>0.18645781086763669</v>
      </c>
      <c r="D87" s="152">
        <f>(((1-$A87)*('Defense Supercycle'!$B$17*'Holdco Summary'!B79+'Defense Supercycle'!$B$18*'Holdco Summary'!C79+'Defense Supercycle'!$B$19*'Holdco Summary'!D79)/('Defense Supercycle'!$B$17+'Defense Supercycle'!$B$18+'Defense Supercycle'!$B$19)+$A87*'Holdco Summary'!E79)/'Holdco Summary'!$B$9)^(1/10)-1</f>
        <v>0.20487451652202671</v>
      </c>
      <c r="E87" s="144" t="s">
        <v>477</v>
      </c>
    </row>
    <row r="88" spans="1:6" x14ac:dyDescent="0.2">
      <c r="A88" s="143">
        <v>0.05</v>
      </c>
      <c r="B88" s="152">
        <f>(((1-$A88)*('Defense Supercycle'!$B$17*'Holdco Summary'!B37+'Defense Supercycle'!$B$18*'Holdco Summary'!C37+'Defense Supercycle'!$B$19*'Holdco Summary'!D37)/('Defense Supercycle'!$B$17+'Defense Supercycle'!$B$18+'Defense Supercycle'!$B$19)+$A88*'Holdco Summary'!E37)/'Holdco Summary'!$B$9)^(1/5)-1</f>
        <v>0.1750994715549723</v>
      </c>
      <c r="C88" s="152">
        <f>(((1-$A88)*('Defense Supercycle'!$B$17*'Holdco Summary'!B58+'Defense Supercycle'!$B$18*'Holdco Summary'!C58+'Defense Supercycle'!$B$19*'Holdco Summary'!D58)/('Defense Supercycle'!$B$17+'Defense Supercycle'!$B$18+'Defense Supercycle'!$B$19)+$A88*'Holdco Summary'!E58)/'Holdco Summary'!$B$9)^(1/7)-1</f>
        <v>0.18909416992141348</v>
      </c>
      <c r="D88" s="152">
        <f>(((1-$A88)*('Defense Supercycle'!$B$17*'Holdco Summary'!B79+'Defense Supercycle'!$B$18*'Holdco Summary'!C79+'Defense Supercycle'!$B$19*'Holdco Summary'!D79)/('Defense Supercycle'!$B$17+'Defense Supercycle'!$B$18+'Defense Supercycle'!$B$19)+$A88*'Holdco Summary'!E79)/'Holdco Summary'!$B$9)^(1/10)-1</f>
        <v>0.20798369895239222</v>
      </c>
      <c r="E88" s="144" t="str">
        <f>IF(ABS($A88-'Defense Supercycle'!$B$20)&lt;0.0001,"current base case","")</f>
        <v/>
      </c>
    </row>
    <row r="89" spans="1:6" x14ac:dyDescent="0.2">
      <c r="A89" s="143">
        <v>0.1</v>
      </c>
      <c r="B89" s="152">
        <f>(((1-$A89)*('Defense Supercycle'!$B$17*'Holdco Summary'!B37+'Defense Supercycle'!$B$18*'Holdco Summary'!C37+'Defense Supercycle'!$B$19*'Holdco Summary'!D37)/('Defense Supercycle'!$B$17+'Defense Supercycle'!$B$18+'Defense Supercycle'!$B$19)+$A89*'Holdco Summary'!E37)/'Holdco Summary'!$B$9)^(1/5)-1</f>
        <v>0.17725118070515999</v>
      </c>
      <c r="C89" s="152">
        <f>(((1-$A89)*('Defense Supercycle'!$B$17*'Holdco Summary'!B58+'Defense Supercycle'!$B$18*'Holdco Summary'!C58+'Defense Supercycle'!$B$19*'Holdco Summary'!D58)/('Defense Supercycle'!$B$17+'Defense Supercycle'!$B$18+'Defense Supercycle'!$B$19)+$A89*'Holdco Summary'!E58)/'Holdco Summary'!$B$9)^(1/7)-1</f>
        <v>0.1916959179373392</v>
      </c>
      <c r="D89" s="152">
        <f>(((1-$A89)*('Defense Supercycle'!$B$17*'Holdco Summary'!B79+'Defense Supercycle'!$B$18*'Holdco Summary'!C79+'Defense Supercycle'!$B$19*'Holdco Summary'!D79)/('Defense Supercycle'!$B$17+'Defense Supercycle'!$B$18+'Defense Supercycle'!$B$19)+$A89*'Holdco Summary'!E79)/'Holdco Summary'!$B$9)^(1/10)-1</f>
        <v>0.21102248449349181</v>
      </c>
      <c r="E89" s="144" t="str">
        <f>IF(ABS($A89-'Defense Supercycle'!$B$20)&lt;0.0001,"current base case","")</f>
        <v/>
      </c>
    </row>
    <row r="90" spans="1:6" x14ac:dyDescent="0.2">
      <c r="A90" s="143">
        <v>0.15</v>
      </c>
      <c r="B90" s="152">
        <f>(((1-$A90)*('Defense Supercycle'!$B$17*'Holdco Summary'!B37+'Defense Supercycle'!$B$18*'Holdco Summary'!C37+'Defense Supercycle'!$B$19*'Holdco Summary'!D37)/('Defense Supercycle'!$B$17+'Defense Supercycle'!$B$18+'Defense Supercycle'!$B$19)+$A90*'Holdco Summary'!E37)/'Holdco Summary'!$B$9)^(1/5)-1</f>
        <v>0.17938727284114453</v>
      </c>
      <c r="C90" s="152">
        <f>(((1-$A90)*('Defense Supercycle'!$B$17*'Holdco Summary'!B58+'Defense Supercycle'!$B$18*'Holdco Summary'!C58+'Defense Supercycle'!$B$19*'Holdco Summary'!D58)/('Defense Supercycle'!$B$17+'Defense Supercycle'!$B$18+'Defense Supercycle'!$B$19)+$A90*'Holdco Summary'!E58)/'Holdco Summary'!$B$9)^(1/7)-1</f>
        <v>0.19426402458728487</v>
      </c>
      <c r="D90" s="152">
        <f>(((1-$A90)*('Defense Supercycle'!$B$17*'Holdco Summary'!B79+'Defense Supercycle'!$B$18*'Holdco Summary'!C79+'Defense Supercycle'!$B$19*'Holdco Summary'!D79)/('Defense Supercycle'!$B$17+'Defense Supercycle'!$B$18+'Defense Supercycle'!$B$19)+$A90*'Holdco Summary'!E79)/'Holdco Summary'!$B$9)^(1/10)-1</f>
        <v>0.21399415564936652</v>
      </c>
      <c r="E90" s="144" t="str">
        <f>IF(ABS($A90-'Defense Supercycle'!$B$20)&lt;0.0001,"current base case","")</f>
        <v>current base case</v>
      </c>
    </row>
    <row r="91" spans="1:6" x14ac:dyDescent="0.2">
      <c r="A91" s="143">
        <v>0.2</v>
      </c>
      <c r="B91" s="152">
        <f>(((1-$A91)*('Defense Supercycle'!$B$17*'Holdco Summary'!B37+'Defense Supercycle'!$B$18*'Holdco Summary'!C37+'Defense Supercycle'!$B$19*'Holdco Summary'!D37)/('Defense Supercycle'!$B$17+'Defense Supercycle'!$B$18+'Defense Supercycle'!$B$19)+$A91*'Holdco Summary'!E37)/'Holdco Summary'!$B$9)^(1/5)-1</f>
        <v>0.18150800070417339</v>
      </c>
      <c r="C91" s="152">
        <f>(((1-$A91)*('Defense Supercycle'!$B$17*'Holdco Summary'!B58+'Defense Supercycle'!$B$18*'Holdco Summary'!C58+'Defense Supercycle'!$B$19*'Holdco Summary'!D58)/('Defense Supercycle'!$B$17+'Defense Supercycle'!$B$18+'Defense Supercycle'!$B$19)+$A91*'Holdco Summary'!E58)/'Holdco Summary'!$B$9)^(1/7)-1</f>
        <v>0.19679941836864789</v>
      </c>
      <c r="D91" s="152">
        <f>(((1-$A91)*('Defense Supercycle'!$B$17*'Holdco Summary'!B79+'Defense Supercycle'!$B$18*'Holdco Summary'!C79+'Defense Supercycle'!$B$19*'Holdco Summary'!D79)/('Defense Supercycle'!$B$17+'Defense Supercycle'!$B$18+'Defense Supercycle'!$B$19)+$A91*'Holdco Summary'!E79)/'Holdco Summary'!$B$9)^(1/10)-1</f>
        <v>0.21690176689257079</v>
      </c>
      <c r="E91" s="144" t="str">
        <f>IF(ABS($A91-'Defense Supercycle'!$B$20)&lt;0.0001,"current base case","")</f>
        <v/>
      </c>
    </row>
    <row r="92" spans="1:6" x14ac:dyDescent="0.2">
      <c r="A92" s="143">
        <v>0.25</v>
      </c>
      <c r="B92" s="152">
        <f>(((1-$A92)*('Defense Supercycle'!$B$17*'Holdco Summary'!B37+'Defense Supercycle'!$B$18*'Holdco Summary'!C37+'Defense Supercycle'!$B$19*'Holdco Summary'!D37)/('Defense Supercycle'!$B$17+'Defense Supercycle'!$B$18+'Defense Supercycle'!$B$19)+$A92*'Holdco Summary'!E37)/'Holdco Summary'!$B$9)^(1/5)-1</f>
        <v>0.18361361072946547</v>
      </c>
      <c r="C92" s="152">
        <f>(((1-$A92)*('Defense Supercycle'!$B$17*'Holdco Summary'!B58+'Defense Supercycle'!$B$18*'Holdco Summary'!C58+'Defense Supercycle'!$B$19*'Holdco Summary'!D58)/('Defense Supercycle'!$B$17+'Defense Supercycle'!$B$18+'Defense Supercycle'!$B$19)+$A92*'Holdco Summary'!E58)/'Holdco Summary'!$B$9)^(1/7)-1</f>
        <v>0.19930298893012455</v>
      </c>
      <c r="D92" s="152">
        <f>(((1-$A92)*('Defense Supercycle'!$B$17*'Holdco Summary'!B79+'Defense Supercycle'!$B$18*'Holdco Summary'!C79+'Defense Supercycle'!$B$19*'Holdco Summary'!D79)/('Defense Supercycle'!$B$17+'Defense Supercycle'!$B$18+'Defense Supercycle'!$B$19)+$A92*'Holdco Summary'!E79)/'Holdco Summary'!$B$9)^(1/10)-1</f>
        <v>0.21974816547033571</v>
      </c>
      <c r="E92" s="144" t="str">
        <f>IF(ABS($A92-'Defense Supercycle'!$B$20)&lt;0.0001,"current base case","")</f>
        <v/>
      </c>
    </row>
    <row r="93" spans="1:6" x14ac:dyDescent="0.2">
      <c r="A93" s="143">
        <v>0.3</v>
      </c>
      <c r="B93" s="152">
        <f>(((1-$A93)*('Defense Supercycle'!$B$17*'Holdco Summary'!B37+'Defense Supercycle'!$B$18*'Holdco Summary'!C37+'Defense Supercycle'!$B$19*'Holdco Summary'!D37)/('Defense Supercycle'!$B$17+'Defense Supercycle'!$B$18+'Defense Supercycle'!$B$19)+$A93*'Holdco Summary'!E37)/'Holdco Summary'!$B$9)^(1/5)-1</f>
        <v>0.18570434325785734</v>
      </c>
      <c r="C93" s="152">
        <f>(((1-$A93)*('Defense Supercycle'!$B$17*'Holdco Summary'!B58+'Defense Supercycle'!$B$18*'Holdco Summary'!C58+'Defense Supercycle'!$B$19*'Holdco Summary'!D58)/('Defense Supercycle'!$B$17+'Defense Supercycle'!$B$18+'Defense Supercycle'!$B$19)+$A93*'Holdco Summary'!E58)/'Holdco Summary'!$B$9)^(1/7)-1</f>
        <v>0.20177558923443284</v>
      </c>
      <c r="D93" s="152">
        <f>(((1-$A93)*('Defense Supercycle'!$B$17*'Holdco Summary'!B79+'Defense Supercycle'!$B$18*'Holdco Summary'!C79+'Defense Supercycle'!$B$19*'Holdco Summary'!D79)/('Defense Supercycle'!$B$17+'Defense Supercycle'!$B$18+'Defense Supercycle'!$B$19)+$A93*'Holdco Summary'!E79)/'Holdco Summary'!$B$9)^(1/10)-1</f>
        <v>0.22253600987997024</v>
      </c>
      <c r="E93" s="144" t="str">
        <f>IF(ABS($A93-'Defense Supercycle'!$B$20)&lt;0.0001,"current base case","")</f>
        <v/>
      </c>
    </row>
    <row r="94" spans="1:6" x14ac:dyDescent="0.2">
      <c r="A94" s="145">
        <v>0.4</v>
      </c>
      <c r="B94" s="153">
        <f>(((1-$A94)*('Defense Supercycle'!$B$17*'Holdco Summary'!B37+'Defense Supercycle'!$B$18*'Holdco Summary'!C37+'Defense Supercycle'!$B$19*'Holdco Summary'!D37)/('Defense Supercycle'!$B$17+'Defense Supercycle'!$B$18+'Defense Supercycle'!$B$19)+$A94*'Holdco Summary'!E37)/'Holdco Summary'!$B$9)^(1/5)-1</f>
        <v>0.1898421079234478</v>
      </c>
      <c r="C94" s="153">
        <f>(((1-$A94)*('Defense Supercycle'!$B$17*'Holdco Summary'!B58+'Defense Supercycle'!$B$18*'Holdco Summary'!C58+'Defense Supercycle'!$B$19*'Holdco Summary'!D58)/('Defense Supercycle'!$B$17+'Defense Supercycle'!$B$18+'Defense Supercycle'!$B$19)+$A94*'Holdco Summary'!E58)/'Holdco Summary'!$B$9)^(1/7)-1</f>
        <v>0.20663111943492396</v>
      </c>
      <c r="D94" s="153">
        <f>(((1-$A94)*('Defense Supercycle'!$B$17*'Holdco Summary'!B79+'Defense Supercycle'!$B$18*'Holdco Summary'!C79+'Defense Supercycle'!$B$19*'Holdco Summary'!D79)/('Defense Supercycle'!$B$17+'Defense Supercycle'!$B$18+'Defense Supercycle'!$B$19)+$A94*'Holdco Summary'!E79)/'Holdco Summary'!$B$9)^(1/10)-1</f>
        <v>0.22794582338413649</v>
      </c>
      <c r="E94" s="146" t="str">
        <f>IF(ABS($A94-'Defense Supercycle'!$B$20)&lt;0.0001,"current base case","")</f>
        <v/>
      </c>
    </row>
    <row r="97" spans="1:6" x14ac:dyDescent="0.2">
      <c r="A97" s="137" t="s">
        <v>530</v>
      </c>
      <c r="B97" s="137"/>
      <c r="C97" s="137"/>
      <c r="D97" s="137"/>
      <c r="E97" s="137"/>
      <c r="F97" s="137"/>
    </row>
    <row r="98" spans="1:6" x14ac:dyDescent="0.2">
      <c r="A98" s="175" t="s">
        <v>531</v>
      </c>
    </row>
    <row r="99" spans="1:6" x14ac:dyDescent="0.2">
      <c r="A99" s="148" t="s">
        <v>2</v>
      </c>
      <c r="B99" s="148" t="s">
        <v>523</v>
      </c>
      <c r="C99" s="148" t="s">
        <v>524</v>
      </c>
      <c r="D99" s="148" t="s">
        <v>525</v>
      </c>
    </row>
    <row r="100" spans="1:6" x14ac:dyDescent="0.2">
      <c r="A100" t="s">
        <v>532</v>
      </c>
      <c r="B100" s="174">
        <v>5</v>
      </c>
      <c r="C100" s="174">
        <v>7</v>
      </c>
      <c r="D100" s="174">
        <v>10</v>
      </c>
    </row>
    <row r="101" spans="1:6" x14ac:dyDescent="0.2">
      <c r="A101" t="s">
        <v>533</v>
      </c>
      <c r="B101" s="154">
        <f>'Holdco Summary'!$B$7</f>
        <v>390</v>
      </c>
      <c r="C101" s="154">
        <f>'Holdco Summary'!$B$7</f>
        <v>390</v>
      </c>
      <c r="D101" s="154">
        <f>'Holdco Summary'!$B$7</f>
        <v>390</v>
      </c>
    </row>
    <row r="102" spans="1:6" x14ac:dyDescent="0.2">
      <c r="A102" t="s">
        <v>534</v>
      </c>
      <c r="B102" s="154">
        <f>'Holdco Summary'!F29</f>
        <v>1106.6295920999651</v>
      </c>
      <c r="C102" s="154">
        <f>'Holdco Summary'!F50</f>
        <v>1764.8532338104269</v>
      </c>
      <c r="D102" s="154">
        <f>'Holdco Summary'!F71</f>
        <v>3753.4344975263066</v>
      </c>
    </row>
    <row r="103" spans="1:6" x14ac:dyDescent="0.2">
      <c r="A103" t="s">
        <v>371</v>
      </c>
      <c r="B103" s="155">
        <f>B102/B101</f>
        <v>2.8375117746152951</v>
      </c>
      <c r="C103" s="155">
        <f>C102/C101</f>
        <v>4.5252647020780179</v>
      </c>
      <c r="D103" s="155">
        <f>D102/D101</f>
        <v>9.6241910192982214</v>
      </c>
    </row>
    <row r="104" spans="1:6" x14ac:dyDescent="0.2">
      <c r="A104" t="s">
        <v>373</v>
      </c>
      <c r="B104" s="156">
        <f>B103^(1/B$100)-1</f>
        <v>0.23193426393062455</v>
      </c>
      <c r="C104" s="156">
        <f>C103^(1/C$100)-1</f>
        <v>0.24069041436595517</v>
      </c>
      <c r="D104" s="156">
        <f>D103^(1/D$100)-1</f>
        <v>0.25411228876284531</v>
      </c>
    </row>
    <row r="105" spans="1:6" x14ac:dyDescent="0.2">
      <c r="A105" t="s">
        <v>535</v>
      </c>
      <c r="B105" s="157">
        <f>'Holdco Summary'!F37/'Holdco Summary'!F31</f>
        <v>0.86681673041639762</v>
      </c>
      <c r="C105" s="157">
        <f>'Holdco Summary'!F58/'Holdco Summary'!F52</f>
        <v>0.84301814297688082</v>
      </c>
      <c r="D105" s="157">
        <f>'Holdco Summary'!F79/'Holdco Summary'!F73</f>
        <v>0.82275104305514712</v>
      </c>
    </row>
    <row r="106" spans="1:6" x14ac:dyDescent="0.2">
      <c r="A106" t="s">
        <v>536</v>
      </c>
      <c r="B106" s="158">
        <f>B102*B105</f>
        <v>959.24504480612347</v>
      </c>
      <c r="C106" s="158">
        <f>C102*C105</f>
        <v>1487.8032957936089</v>
      </c>
      <c r="D106" s="158">
        <f>D102*D105</f>
        <v>3088.1421478789407</v>
      </c>
    </row>
    <row r="107" spans="1:6" x14ac:dyDescent="0.2">
      <c r="A107" t="s">
        <v>537</v>
      </c>
      <c r="B107" s="155">
        <f>B106/B101</f>
        <v>2.45960267899006</v>
      </c>
      <c r="C107" s="155">
        <f>C106/C101</f>
        <v>3.814880245624638</v>
      </c>
      <c r="D107" s="155">
        <f>D106/D101</f>
        <v>7.9183131996895915</v>
      </c>
    </row>
    <row r="108" spans="1:6" x14ac:dyDescent="0.2">
      <c r="A108" t="s">
        <v>3</v>
      </c>
      <c r="B108" s="156">
        <f>B107^(1/B$100)-1</f>
        <v>0.19721732105016554</v>
      </c>
      <c r="C108" s="156">
        <f>C107^(1/C$100)-1</f>
        <v>0.21078965404981664</v>
      </c>
      <c r="D108" s="156">
        <f>D107^(1/D$100)-1</f>
        <v>0.22988149637283217</v>
      </c>
    </row>
    <row r="109" spans="1:6" x14ac:dyDescent="0.2">
      <c r="A109" s="165" t="s">
        <v>465</v>
      </c>
      <c r="B109" s="166">
        <f>B107/(1+'Holdco Summary'!$B$21)^B$100</f>
        <v>1.5985729788991336</v>
      </c>
      <c r="C109" s="166">
        <f>C107/(1+'Holdco Summary'!$B$21)^C$100</f>
        <v>2.0868701343329628</v>
      </c>
      <c r="D109" s="166">
        <f>D107/(1+'Holdco Summary'!$B$21)^D$100</f>
        <v>3.3447810679336647</v>
      </c>
    </row>
    <row r="110" spans="1:6" x14ac:dyDescent="0.2">
      <c r="A110" s="165" t="s">
        <v>468</v>
      </c>
      <c r="B110" s="166">
        <f>B107/(1+'Holdco Summary'!$B$22)^B$100</f>
        <v>1.3349737926327172</v>
      </c>
      <c r="C110" s="166">
        <f>C107/(1+'Holdco Summary'!$B$22)^C$100</f>
        <v>1.621555453019649</v>
      </c>
      <c r="D110" s="166">
        <f>D107/(1+'Holdco Summary'!$B$22)^D$100</f>
        <v>2.3326428054418522</v>
      </c>
    </row>
    <row r="111" spans="1:6" x14ac:dyDescent="0.2">
      <c r="A111" s="165" t="s">
        <v>526</v>
      </c>
      <c r="B111" s="166">
        <f>B107/(1+'Holdco Summary'!$B$23)^B$100</f>
        <v>1.2228572300712057</v>
      </c>
      <c r="C111" s="166">
        <f>C107/(1+'Holdco Summary'!$B$23)^C$100</f>
        <v>1.434154787201207</v>
      </c>
      <c r="D111" s="166">
        <f>D107/(1+'Holdco Summary'!$B$23)^D$100</f>
        <v>1.9572859212461631</v>
      </c>
    </row>
    <row r="112" spans="1:6" x14ac:dyDescent="0.2">
      <c r="A112" t="s">
        <v>119</v>
      </c>
      <c r="B112" s="162">
        <f>B111^(1/B$100)-1</f>
        <v>4.1058540043622305E-2</v>
      </c>
      <c r="C112" s="162">
        <f>C111^(1/C$100)-1</f>
        <v>5.2860568738971159E-2</v>
      </c>
      <c r="D112" s="162">
        <f>D111^(1/D$100)-1</f>
        <v>6.9462170758984643E-2</v>
      </c>
    </row>
    <row r="113" spans="1:6" x14ac:dyDescent="0.2">
      <c r="A113" t="s">
        <v>466</v>
      </c>
      <c r="B113" s="162">
        <f>B109^(1/B$100)-1</f>
        <v>9.8364514724922358E-2</v>
      </c>
      <c r="C113" s="162">
        <f>C109^(1/C$100)-1</f>
        <v>0.11081619637597862</v>
      </c>
      <c r="D113" s="162">
        <f>D109^(1/D$100)-1</f>
        <v>0.12833164804846975</v>
      </c>
    </row>
    <row r="115" spans="1:6" x14ac:dyDescent="0.2">
      <c r="A115" s="137" t="s">
        <v>538</v>
      </c>
      <c r="B115" s="137"/>
      <c r="C115" s="137"/>
      <c r="D115" s="137"/>
      <c r="E115" s="137"/>
      <c r="F115" s="137"/>
    </row>
    <row r="116" spans="1:6" x14ac:dyDescent="0.2">
      <c r="A116" s="148" t="s">
        <v>2</v>
      </c>
      <c r="B116" s="148" t="s">
        <v>11</v>
      </c>
      <c r="C116" s="148" t="s">
        <v>12</v>
      </c>
      <c r="D116" s="148" t="s">
        <v>13</v>
      </c>
      <c r="E116" s="167" t="s">
        <v>14</v>
      </c>
      <c r="F116" s="167" t="s">
        <v>15</v>
      </c>
    </row>
    <row r="117" spans="1:6" x14ac:dyDescent="0.2">
      <c r="A117" t="s">
        <v>539</v>
      </c>
      <c r="B117" s="159">
        <f>'Defense Supercycle'!B17</f>
        <v>0.45</v>
      </c>
      <c r="C117" s="159">
        <f>'Defense Supercycle'!B18</f>
        <v>0.25</v>
      </c>
      <c r="D117" s="159">
        <f>'Defense Supercycle'!B19</f>
        <v>0.15</v>
      </c>
      <c r="E117" s="168">
        <f>'Defense Supercycle'!B20</f>
        <v>0.15</v>
      </c>
      <c r="F117" s="169">
        <f>SUM(B117:E117)</f>
        <v>1</v>
      </c>
    </row>
    <row r="118" spans="1:6" x14ac:dyDescent="0.2">
      <c r="A118" t="s">
        <v>540</v>
      </c>
      <c r="B118" s="154">
        <f>'Weapons Sleeve'!C48</f>
        <v>1335.6852599158549</v>
      </c>
      <c r="C118" s="154">
        <f>'Weapons Sleeve'!F48</f>
        <v>2734.3077189594756</v>
      </c>
      <c r="D118" s="154">
        <f>'Weapons Sleeve'!I48</f>
        <v>463.72368318945121</v>
      </c>
      <c r="E118" s="170">
        <f>'Weapons Sleeve'!L48</f>
        <v>2737.7292308667038</v>
      </c>
      <c r="F118" s="171">
        <f>SUMPRODUCT(B117:E117,B118:E118)</f>
        <v>1764.8532338104269</v>
      </c>
    </row>
    <row r="119" spans="1:6" x14ac:dyDescent="0.2">
      <c r="A119" t="s">
        <v>371</v>
      </c>
      <c r="B119" s="160">
        <f>'Weapons Sleeve'!D48</f>
        <v>3.4248339997842434</v>
      </c>
      <c r="C119" s="160">
        <f>'Weapons Sleeve'!G48</f>
        <v>7.0110454332294241</v>
      </c>
      <c r="D119" s="160">
        <f>'Weapons Sleeve'!J48</f>
        <v>1.1890350851011569</v>
      </c>
      <c r="E119" s="172">
        <f>'Weapons Sleeve'!M48</f>
        <v>7.0198185406838558</v>
      </c>
      <c r="F119" s="173">
        <f>F118/'Weapons Sleeve'!B48</f>
        <v>4.5252647020780179</v>
      </c>
    </row>
    <row r="120" spans="1:6" x14ac:dyDescent="0.2">
      <c r="A120" t="s">
        <v>373</v>
      </c>
      <c r="B120" s="159">
        <f>'Weapons Sleeve'!E48</f>
        <v>0.19227675029385383</v>
      </c>
      <c r="C120" s="159">
        <f>'Weapons Sleeve'!H48</f>
        <v>0.32076670288480602</v>
      </c>
      <c r="D120" s="159">
        <f>'Weapons Sleeve'!K48</f>
        <v>2.5043027066785628E-2</v>
      </c>
      <c r="E120" s="168">
        <f>'Weapons Sleeve'!N48</f>
        <v>0.32100267786161396</v>
      </c>
      <c r="F120" s="169">
        <f>F119^(1/$C$100)-1</f>
        <v>0.24069041436595517</v>
      </c>
    </row>
    <row r="121" spans="1:6" x14ac:dyDescent="0.2">
      <c r="A121" s="165" t="s">
        <v>541</v>
      </c>
      <c r="B121" s="166">
        <f>B119/(1+'Holdco Summary'!$B$23)^$C$100</f>
        <v>1.2875219561068543</v>
      </c>
      <c r="C121" s="166">
        <f>C119/(1+'Holdco Summary'!$B$23)^$C$100</f>
        <v>2.6357116669345864</v>
      </c>
      <c r="D121" s="166">
        <f>D119/(1+'Holdco Summary'!$B$23)^$C$100</f>
        <v>0.44700233025763147</v>
      </c>
      <c r="E121" s="166">
        <f>E119/(1+'Holdco Summary'!$B$23)^$C$100</f>
        <v>2.6390098029819327</v>
      </c>
      <c r="F121" s="166">
        <f>F119/(1+'Holdco Summary'!$B$23)^$C$100</f>
        <v>1.7012146169676658</v>
      </c>
    </row>
  </sheetData>
  <mergeCells count="2">
    <mergeCell ref="A9:F9"/>
    <mergeCell ref="A60:F60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2A44"/>
    <pageSetUpPr fitToPage="1"/>
  </sheetPr>
  <dimension ref="A1:F29"/>
  <sheetViews>
    <sheetView showGridLines="0" zoomScale="9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22" customWidth="1"/>
    <col min="2" max="4" width="12" customWidth="1"/>
    <col min="5" max="6" width="13" customWidth="1"/>
    <col min="7" max="7" width="2" customWidth="1"/>
  </cols>
  <sheetData>
    <row r="1" spans="1:6" ht="18" customHeight="1" x14ac:dyDescent="0.2">
      <c r="A1" s="9" t="s">
        <v>478</v>
      </c>
      <c r="B1" s="1"/>
      <c r="C1" s="1"/>
      <c r="D1" s="1"/>
      <c r="E1" s="1"/>
      <c r="F1" s="1"/>
    </row>
    <row r="2" spans="1:6" ht="15" customHeight="1" x14ac:dyDescent="0.2">
      <c r="A2" s="10" t="s">
        <v>479</v>
      </c>
      <c r="B2" s="1"/>
      <c r="C2" s="1"/>
      <c r="D2" s="1"/>
      <c r="E2" s="1"/>
      <c r="F2" s="1"/>
    </row>
    <row r="3" spans="1:6" ht="15" customHeight="1" x14ac:dyDescent="0.2">
      <c r="A3" s="1"/>
      <c r="B3" s="1"/>
      <c r="C3" s="1"/>
      <c r="D3" s="1"/>
      <c r="E3" s="1"/>
      <c r="F3" s="1"/>
    </row>
    <row r="4" spans="1:6" ht="15" customHeight="1" x14ac:dyDescent="0.2">
      <c r="A4" s="28" t="s">
        <v>480</v>
      </c>
      <c r="B4" s="1"/>
      <c r="C4" s="1"/>
      <c r="D4" s="1"/>
      <c r="E4" s="1"/>
      <c r="F4" s="1"/>
    </row>
    <row r="5" spans="1:6" ht="15" customHeight="1" x14ac:dyDescent="0.2">
      <c r="A5" s="12" t="s">
        <v>10</v>
      </c>
      <c r="B5" s="12" t="s">
        <v>11</v>
      </c>
      <c r="C5" s="12" t="s">
        <v>12</v>
      </c>
      <c r="D5" s="12" t="s">
        <v>13</v>
      </c>
      <c r="E5" s="21" t="s">
        <v>14</v>
      </c>
      <c r="F5" s="29" t="s">
        <v>15</v>
      </c>
    </row>
    <row r="6" spans="1:6" ht="15" customHeight="1" x14ac:dyDescent="0.2">
      <c r="A6" s="89" t="s">
        <v>16</v>
      </c>
      <c r="B6" s="26">
        <f>'Fund Economics'!B16</f>
        <v>0.14921756925053842</v>
      </c>
      <c r="C6" s="26">
        <f>'Fund Economics'!C16</f>
        <v>0.2529405230598698</v>
      </c>
      <c r="D6" s="26">
        <f>'Fund Economics'!D16</f>
        <v>-0.1653039932407776</v>
      </c>
      <c r="E6" s="72">
        <f>'Fund Economics'!E16</f>
        <v>0.25579574901845725</v>
      </c>
      <c r="F6" s="90">
        <f>'Fund Economics'!F16</f>
        <v>0.1711498177436066</v>
      </c>
    </row>
    <row r="7" spans="1:6" ht="15" customHeight="1" x14ac:dyDescent="0.2">
      <c r="A7" s="89" t="s">
        <v>17</v>
      </c>
      <c r="B7" s="26">
        <f>'Fund Economics'!B32</f>
        <v>0.15201290496463771</v>
      </c>
      <c r="C7" s="26">
        <f>'Fund Economics'!C32</f>
        <v>0.25825364455940703</v>
      </c>
      <c r="D7" s="26">
        <f>'Fund Economics'!D32</f>
        <v>-0.17499437274931617</v>
      </c>
      <c r="E7" s="72">
        <f>'Fund Economics'!E32</f>
        <v>0.26342428915744498</v>
      </c>
      <c r="F7" s="90">
        <f>'Fund Economics'!F32</f>
        <v>0.184415608120029</v>
      </c>
    </row>
    <row r="8" spans="1:6" ht="15" customHeight="1" x14ac:dyDescent="0.2">
      <c r="A8" s="89" t="s">
        <v>18</v>
      </c>
      <c r="B8" s="26">
        <f>'Fund Economics'!B48</f>
        <v>0.15618400987328629</v>
      </c>
      <c r="C8" s="26">
        <f>'Fund Economics'!C48</f>
        <v>0.26465335248213018</v>
      </c>
      <c r="D8" s="26">
        <f>'Fund Economics'!D48</f>
        <v>-0.20902863853914744</v>
      </c>
      <c r="E8" s="72">
        <f>'Fund Economics'!E48</f>
        <v>0.27292902256243501</v>
      </c>
      <c r="F8" s="90">
        <f>'Fund Economics'!F48</f>
        <v>0.20067663957019932</v>
      </c>
    </row>
    <row r="9" spans="1:6" ht="15" customHeight="1" x14ac:dyDescent="0.2">
      <c r="A9" s="1"/>
      <c r="B9" s="1"/>
      <c r="C9" s="1"/>
      <c r="D9" s="1"/>
      <c r="E9" s="1"/>
      <c r="F9" s="1"/>
    </row>
    <row r="10" spans="1:6" ht="15" customHeight="1" x14ac:dyDescent="0.2">
      <c r="A10" s="1"/>
      <c r="B10" s="1"/>
      <c r="C10" s="1"/>
      <c r="D10" s="1"/>
      <c r="E10" s="1"/>
      <c r="F10" s="1"/>
    </row>
    <row r="11" spans="1:6" ht="15" customHeight="1" x14ac:dyDescent="0.2">
      <c r="A11" s="28" t="s">
        <v>481</v>
      </c>
      <c r="B11" s="1"/>
      <c r="C11" s="1"/>
      <c r="D11" s="1"/>
      <c r="E11" s="1"/>
      <c r="F11" s="1"/>
    </row>
    <row r="12" spans="1:6" ht="15" customHeight="1" x14ac:dyDescent="0.2">
      <c r="A12" s="12" t="s">
        <v>10</v>
      </c>
      <c r="B12" s="12" t="s">
        <v>11</v>
      </c>
      <c r="C12" s="12" t="s">
        <v>12</v>
      </c>
      <c r="D12" s="12" t="s">
        <v>13</v>
      </c>
      <c r="E12" s="21" t="s">
        <v>14</v>
      </c>
      <c r="F12" s="29" t="s">
        <v>15</v>
      </c>
    </row>
    <row r="13" spans="1:6" ht="15" customHeight="1" x14ac:dyDescent="0.2">
      <c r="A13" s="89" t="s">
        <v>16</v>
      </c>
      <c r="B13" s="91">
        <f>'Fund Economics'!B14</f>
        <v>2.0045241105768166</v>
      </c>
      <c r="C13" s="91">
        <f>'Fund Economics'!C14</f>
        <v>3.0878221475160164</v>
      </c>
      <c r="D13" s="91">
        <f>'Fund Economics'!D14</f>
        <v>0.40517410275635002</v>
      </c>
      <c r="E13" s="92">
        <f>'Fund Economics'!E14</f>
        <v>3.1231658193606862</v>
      </c>
      <c r="F13" s="92">
        <f>'Fund Economics'!F14</f>
        <v>2.2032423749561265</v>
      </c>
    </row>
    <row r="14" spans="1:6" ht="15" customHeight="1" x14ac:dyDescent="0.2">
      <c r="A14" s="89" t="s">
        <v>17</v>
      </c>
      <c r="B14" s="91">
        <f>'Fund Economics'!B30</f>
        <v>2.6927833224803281</v>
      </c>
      <c r="C14" s="91">
        <f>'Fund Economics'!C30</f>
        <v>4.9931818028609003</v>
      </c>
      <c r="D14" s="91">
        <f>'Fund Economics'!D30</f>
        <v>0.26013475277443154</v>
      </c>
      <c r="E14" s="92">
        <f>'Fund Economics'!E30</f>
        <v>5.1385969316305182</v>
      </c>
      <c r="F14" s="92">
        <f>'Fund Economics'!F30</f>
        <v>3.2698576984921157</v>
      </c>
    </row>
    <row r="15" spans="1:6" ht="15" customHeight="1" x14ac:dyDescent="0.2">
      <c r="A15" s="89" t="s">
        <v>18</v>
      </c>
      <c r="B15" s="91">
        <f>'Fund Economics'!B46</f>
        <v>4.2684439945294228</v>
      </c>
      <c r="C15" s="91">
        <f>'Fund Economics'!C46</f>
        <v>10.464416004235042</v>
      </c>
      <c r="D15" s="91">
        <f>'Fund Economics'!D46</f>
        <v>9.5853415765215055E-2</v>
      </c>
      <c r="E15" s="92">
        <f>'Fund Economics'!E46</f>
        <v>11.169709659036627</v>
      </c>
      <c r="F15" s="92">
        <f>'Fund Economics'!F46</f>
        <v>6.2267382598172771</v>
      </c>
    </row>
    <row r="16" spans="1:6" ht="15" customHeight="1" x14ac:dyDescent="0.2">
      <c r="A16" s="1"/>
      <c r="B16" s="1"/>
      <c r="C16" s="1"/>
      <c r="D16" s="1"/>
      <c r="E16" s="1"/>
      <c r="F16" s="1"/>
    </row>
    <row r="17" spans="1:6" ht="15" customHeight="1" x14ac:dyDescent="0.2">
      <c r="A17" s="1"/>
      <c r="B17" s="1"/>
      <c r="C17" s="1"/>
      <c r="D17" s="1"/>
      <c r="E17" s="1"/>
      <c r="F17" s="1"/>
    </row>
    <row r="18" spans="1:6" ht="15" customHeight="1" x14ac:dyDescent="0.2">
      <c r="A18" s="28" t="s">
        <v>482</v>
      </c>
      <c r="B18" s="1"/>
      <c r="C18" s="1"/>
      <c r="D18" s="1"/>
      <c r="E18" s="1"/>
      <c r="F18" s="1"/>
    </row>
    <row r="19" spans="1:6" ht="15" customHeight="1" x14ac:dyDescent="0.2">
      <c r="A19" s="12" t="s">
        <v>10</v>
      </c>
      <c r="B19" s="12" t="s">
        <v>11</v>
      </c>
      <c r="C19" s="12" t="s">
        <v>12</v>
      </c>
      <c r="D19" s="12" t="s">
        <v>13</v>
      </c>
      <c r="E19" s="21" t="s">
        <v>14</v>
      </c>
      <c r="F19" s="29" t="s">
        <v>15</v>
      </c>
    </row>
    <row r="20" spans="1:6" ht="15" customHeight="1" x14ac:dyDescent="0.2">
      <c r="A20" s="89" t="s">
        <v>16</v>
      </c>
      <c r="B20" s="93">
        <f>'Fund Economics'!B12</f>
        <v>501.1310276442041</v>
      </c>
      <c r="C20" s="93">
        <f>'Fund Economics'!C12</f>
        <v>771.95553687900406</v>
      </c>
      <c r="D20" s="93">
        <f>'Fund Economics'!D12</f>
        <v>101.2935256890875</v>
      </c>
      <c r="E20" s="94">
        <f>'Fund Economics'!E12</f>
        <v>780.79145484017158</v>
      </c>
      <c r="F20" s="94">
        <f>'Fund Economics'!F12</f>
        <v>550.81059373903167</v>
      </c>
    </row>
    <row r="21" spans="1:6" ht="15" customHeight="1" x14ac:dyDescent="0.2">
      <c r="A21" s="89" t="s">
        <v>17</v>
      </c>
      <c r="B21" s="93">
        <f>'Fund Economics'!B28</f>
        <v>673.19583062008201</v>
      </c>
      <c r="C21" s="93">
        <f>'Fund Economics'!C28</f>
        <v>1248.2954507152251</v>
      </c>
      <c r="D21" s="93">
        <f>'Fund Economics'!D28</f>
        <v>65.033688193607887</v>
      </c>
      <c r="E21" s="94">
        <f>'Fund Economics'!E28</f>
        <v>1284.6492329076295</v>
      </c>
      <c r="F21" s="94">
        <f>'Fund Economics'!F28</f>
        <v>817.46442462302889</v>
      </c>
    </row>
    <row r="22" spans="1:6" ht="15" customHeight="1" x14ac:dyDescent="0.2">
      <c r="A22" s="89" t="s">
        <v>18</v>
      </c>
      <c r="B22" s="93">
        <f>'Fund Economics'!B44</f>
        <v>1067.1109986323556</v>
      </c>
      <c r="C22" s="93">
        <f>'Fund Economics'!C44</f>
        <v>2616.1040010587608</v>
      </c>
      <c r="D22" s="93">
        <f>'Fund Economics'!D44</f>
        <v>23.963353941303765</v>
      </c>
      <c r="E22" s="94">
        <f>'Fund Economics'!E44</f>
        <v>2792.4274147591568</v>
      </c>
      <c r="F22" s="94">
        <f>'Fund Economics'!F44</f>
        <v>1556.6845649543193</v>
      </c>
    </row>
    <row r="23" spans="1:6" ht="15" customHeight="1" x14ac:dyDescent="0.2">
      <c r="A23" s="1"/>
      <c r="B23" s="1"/>
      <c r="C23" s="1"/>
      <c r="D23" s="1"/>
      <c r="E23" s="1"/>
      <c r="F23" s="1"/>
    </row>
    <row r="24" spans="1:6" ht="15" customHeight="1" x14ac:dyDescent="0.2">
      <c r="A24" s="1"/>
      <c r="B24" s="1"/>
      <c r="C24" s="1"/>
      <c r="D24" s="1"/>
      <c r="E24" s="1"/>
      <c r="F24" s="1"/>
    </row>
    <row r="25" spans="1:6" ht="15" customHeight="1" x14ac:dyDescent="0.2">
      <c r="A25" s="11" t="s">
        <v>52</v>
      </c>
      <c r="B25" s="1"/>
      <c r="C25" s="1"/>
      <c r="D25" s="1"/>
      <c r="E25" s="1"/>
      <c r="F25" s="1"/>
    </row>
    <row r="26" spans="1:6" ht="27.75" customHeight="1" x14ac:dyDescent="0.2">
      <c r="A26" s="181" t="s">
        <v>483</v>
      </c>
      <c r="B26" s="177"/>
      <c r="C26" s="177"/>
      <c r="D26" s="177"/>
      <c r="E26" s="177"/>
      <c r="F26" s="177"/>
    </row>
    <row r="27" spans="1:6" ht="40.5" customHeight="1" x14ac:dyDescent="0.2">
      <c r="A27" s="181" t="s">
        <v>484</v>
      </c>
      <c r="B27" s="177"/>
      <c r="C27" s="177"/>
      <c r="D27" s="177"/>
      <c r="E27" s="177"/>
      <c r="F27" s="177"/>
    </row>
    <row r="28" spans="1:6" ht="27.75" customHeight="1" x14ac:dyDescent="0.2">
      <c r="A28" s="181" t="s">
        <v>485</v>
      </c>
      <c r="B28" s="177"/>
      <c r="C28" s="177"/>
      <c r="D28" s="177"/>
      <c r="E28" s="177"/>
      <c r="F28" s="177"/>
    </row>
    <row r="29" spans="1:6" ht="27.75" customHeight="1" x14ac:dyDescent="0.2">
      <c r="A29" s="187" t="str">
        <f>"• Recommended: 7-year vehicle, base sizing, "&amp;TEXT(Assumptions!B7,"$#,##0")&amp;"M reserve steered to Substrate + EUV Tech + EdgeCortix pro-rata."</f>
        <v>• Recommended: 7-year vehicle, base sizing, $25M reserve steered to Substrate + EUV Tech + EdgeCortix pro-rata.</v>
      </c>
      <c r="B29" s="177"/>
      <c r="C29" s="177"/>
      <c r="D29" s="177"/>
      <c r="E29" s="177"/>
      <c r="F29" s="177"/>
    </row>
  </sheetData>
  <mergeCells count="4">
    <mergeCell ref="A26:F26"/>
    <mergeCell ref="A29:F29"/>
    <mergeCell ref="A28:F28"/>
    <mergeCell ref="A27:F27"/>
  </mergeCells>
  <printOptions horizontalCentered="1"/>
  <pageMargins left="0.4" right="0.4" top="1" bottom="1" header="0.511811023622047" footer="0.511811023622047"/>
  <pageSetup paperSize="9" fitToHeight="0" orientation="landscape" horizontalDpi="300" verticalDpi="300"/>
  <headerFooter>
    <oddFooter>&amp;LLeviathan Core PE Holdco — Internal / Confidential&amp;R&amp;A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IC Summary</vt:lpstr>
      <vt:lpstr>Holdco Summary</vt:lpstr>
      <vt:lpstr>Macro Overlay</vt:lpstr>
      <vt:lpstr>Assumptions</vt:lpstr>
      <vt:lpstr>Defense Supercycle</vt:lpstr>
      <vt:lpstr>Allocation</vt:lpstr>
      <vt:lpstr>Portfolio Returns</vt:lpstr>
      <vt:lpstr>Fund Economics</vt:lpstr>
      <vt:lpstr>IQT Clusters</vt:lpstr>
      <vt:lpstr>Weapons Sleeve</vt:lpstr>
      <vt:lpstr>Consumer Sleeve</vt:lpstr>
      <vt:lpstr>PME, DPI &amp; Sensitivity</vt:lpstr>
      <vt:lpstr>Scenario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Ritts</cp:lastModifiedBy>
  <cp:revision>0</cp:revision>
  <dcterms:created xsi:type="dcterms:W3CDTF">2026-09-22T13:41:58Z</dcterms:created>
  <dcterms:modified xsi:type="dcterms:W3CDTF">2026-10-02T04:43:43Z</dcterms:modified>
  <dc:language>en-US</dc:language>
</cp:coreProperties>
</file>